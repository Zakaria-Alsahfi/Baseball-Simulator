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zakariaalsahfi/Desktop/"/>
    </mc:Choice>
  </mc:AlternateContent>
  <xr:revisionPtr revIDLastSave="0" documentId="13_ncr:1_{1A052B8D-A3CB-DF42-BF98-6BE10A33B61E}" xr6:coauthVersionLast="45" xr6:coauthVersionMax="45" xr10:uidLastSave="{00000000-0000-0000-0000-000000000000}"/>
  <bookViews>
    <workbookView xWindow="14280" yWindow="440" windowWidth="18300" windowHeight="19860" activeTab="7" xr2:uid="{D8021652-045A-9041-AC24-56B89A52DF86}"/>
  </bookViews>
  <sheets>
    <sheet name="Data" sheetId="1" r:id="rId1"/>
    <sheet name="Batting Data" sheetId="6" r:id="rId2"/>
    <sheet name="Pitching Data" sheetId="5" r:id="rId3"/>
    <sheet name="MLB Avg" sheetId="7" r:id="rId4"/>
    <sheet name="Team &amp; Year" sheetId="2" r:id="rId5"/>
    <sheet name="Pivot Hits" sheetId="3" r:id="rId6"/>
    <sheet name="Data Table" sheetId="4" r:id="rId7"/>
    <sheet name="Prediction" sheetId="8" r:id="rId8"/>
  </sheets>
  <functionGroups builtInGroupCount="19"/>
  <definedNames>
    <definedName name="_RA1">Prediction!$A$15</definedName>
    <definedName name="_RA2">Prediction!$I$15</definedName>
    <definedName name="_RS1">Prediction!$A$14</definedName>
    <definedName name="_RS2">Prediction!$I$14</definedName>
    <definedName name="RA">Prediction!$A$15</definedName>
    <definedName name="RS">Prediction!$A$14</definedName>
    <definedName name="TeamFinalProject" localSheetId="0">Data!$B$1:$AV$571</definedName>
  </definedNames>
  <calcPr calcId="191029"/>
  <pivotCaches>
    <pivotCache cacheId="2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4" i="8" l="1"/>
  <c r="B14" i="8"/>
  <c r="C12" i="8"/>
  <c r="I14" i="8" s="1"/>
  <c r="K4" i="2"/>
  <c r="H4" i="2"/>
  <c r="L4" i="2" s="1"/>
  <c r="I15" i="8" l="1"/>
  <c r="A15" i="8"/>
  <c r="A14" i="8"/>
  <c r="J3" i="7"/>
  <c r="F16" i="8"/>
  <c r="B16" i="8"/>
  <c r="C22" i="7" l="1"/>
  <c r="D22" i="7"/>
  <c r="E22" i="7"/>
  <c r="F22" i="7"/>
  <c r="G22" i="7"/>
  <c r="H22" i="7"/>
  <c r="I22" i="7"/>
  <c r="J22" i="7"/>
  <c r="K22" i="7"/>
  <c r="B22" i="7"/>
  <c r="C20" i="7"/>
  <c r="D20" i="7"/>
  <c r="E20" i="7"/>
  <c r="F20" i="7"/>
  <c r="G20" i="7"/>
  <c r="H20" i="7"/>
  <c r="I20" i="7"/>
  <c r="J20" i="7"/>
  <c r="K20" i="7"/>
  <c r="C19" i="7"/>
  <c r="D19" i="7"/>
  <c r="E19" i="7"/>
  <c r="F19" i="7"/>
  <c r="G19" i="7"/>
  <c r="H19" i="7"/>
  <c r="I19" i="7"/>
  <c r="J19" i="7"/>
  <c r="K19" i="7"/>
  <c r="C18" i="7"/>
  <c r="D18" i="7"/>
  <c r="E18" i="7"/>
  <c r="F18" i="7"/>
  <c r="G18" i="7"/>
  <c r="H18" i="7"/>
  <c r="I18" i="7"/>
  <c r="J18" i="7"/>
  <c r="K18" i="7"/>
  <c r="C17" i="7"/>
  <c r="D17" i="7"/>
  <c r="E17" i="7"/>
  <c r="F17" i="7"/>
  <c r="G17" i="7"/>
  <c r="H17" i="7"/>
  <c r="I17" i="7"/>
  <c r="J17" i="7"/>
  <c r="K17" i="7"/>
  <c r="C16" i="7"/>
  <c r="D16" i="7"/>
  <c r="E16" i="7"/>
  <c r="F16" i="7"/>
  <c r="G16" i="7"/>
  <c r="H16" i="7"/>
  <c r="I16" i="7"/>
  <c r="J16" i="7"/>
  <c r="K16" i="7"/>
  <c r="C15" i="7"/>
  <c r="D15" i="7"/>
  <c r="E15" i="7"/>
  <c r="F15" i="7"/>
  <c r="G15" i="7"/>
  <c r="H15" i="7"/>
  <c r="I15" i="7"/>
  <c r="J15" i="7"/>
  <c r="K15" i="7"/>
  <c r="C14" i="7"/>
  <c r="D14" i="7"/>
  <c r="E14" i="7"/>
  <c r="F14" i="7"/>
  <c r="G14" i="7"/>
  <c r="H14" i="7"/>
  <c r="I14" i="7"/>
  <c r="J14" i="7"/>
  <c r="K14" i="7"/>
  <c r="C13" i="7"/>
  <c r="D13" i="7"/>
  <c r="E13" i="7"/>
  <c r="F13" i="7"/>
  <c r="G13" i="7"/>
  <c r="H13" i="7"/>
  <c r="I13" i="7"/>
  <c r="J13" i="7"/>
  <c r="K13" i="7"/>
  <c r="C12" i="7"/>
  <c r="D12" i="7"/>
  <c r="E12" i="7"/>
  <c r="F12" i="7"/>
  <c r="G12" i="7"/>
  <c r="H12" i="7"/>
  <c r="I12" i="7"/>
  <c r="J12" i="7"/>
  <c r="K12" i="7"/>
  <c r="C11" i="7"/>
  <c r="D11" i="7"/>
  <c r="E11" i="7"/>
  <c r="F11" i="7"/>
  <c r="G11" i="7"/>
  <c r="H11" i="7"/>
  <c r="I11" i="7"/>
  <c r="J11" i="7"/>
  <c r="K11" i="7"/>
  <c r="C10" i="7"/>
  <c r="D10" i="7"/>
  <c r="E10" i="7"/>
  <c r="F10" i="7"/>
  <c r="G10" i="7"/>
  <c r="H10" i="7"/>
  <c r="I10" i="7"/>
  <c r="J10" i="7"/>
  <c r="K10" i="7"/>
  <c r="C9" i="7"/>
  <c r="D9" i="7"/>
  <c r="E9" i="7"/>
  <c r="F9" i="7"/>
  <c r="G9" i="7"/>
  <c r="H9" i="7"/>
  <c r="I9" i="7"/>
  <c r="J9" i="7"/>
  <c r="K9" i="7"/>
  <c r="C8" i="7"/>
  <c r="D8" i="7"/>
  <c r="E8" i="7"/>
  <c r="F8" i="7"/>
  <c r="G8" i="7"/>
  <c r="H8" i="7"/>
  <c r="I8" i="7"/>
  <c r="J8" i="7"/>
  <c r="K8" i="7"/>
  <c r="C7" i="7"/>
  <c r="D7" i="7"/>
  <c r="E7" i="7"/>
  <c r="F7" i="7"/>
  <c r="G7" i="7"/>
  <c r="H7" i="7"/>
  <c r="I7" i="7"/>
  <c r="J7" i="7"/>
  <c r="K7" i="7"/>
  <c r="C6" i="7"/>
  <c r="D6" i="7"/>
  <c r="E6" i="7"/>
  <c r="F6" i="7"/>
  <c r="G6" i="7"/>
  <c r="H6" i="7"/>
  <c r="I6" i="7"/>
  <c r="J6" i="7"/>
  <c r="K6" i="7"/>
  <c r="K5" i="7"/>
  <c r="C5" i="7"/>
  <c r="D5" i="7"/>
  <c r="E5" i="7"/>
  <c r="F5" i="7"/>
  <c r="G5" i="7"/>
  <c r="H5" i="7"/>
  <c r="I5" i="7"/>
  <c r="J5" i="7"/>
  <c r="C4" i="7"/>
  <c r="D4" i="7"/>
  <c r="E4" i="7"/>
  <c r="F4" i="7"/>
  <c r="G4" i="7"/>
  <c r="H4" i="7"/>
  <c r="I4" i="7"/>
  <c r="J4" i="7"/>
  <c r="K4" i="7"/>
  <c r="C3" i="7"/>
  <c r="D3" i="7"/>
  <c r="E3" i="7"/>
  <c r="F3" i="7"/>
  <c r="G3" i="7"/>
  <c r="H3" i="7"/>
  <c r="I3" i="7"/>
  <c r="K3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C2" i="7"/>
  <c r="D2" i="7"/>
  <c r="E2" i="7"/>
  <c r="F2" i="7"/>
  <c r="G2" i="7"/>
  <c r="H2" i="7"/>
  <c r="I2" i="7"/>
  <c r="J2" i="7"/>
  <c r="K2" i="7"/>
  <c r="B2" i="7"/>
  <c r="B3" i="7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2" i="5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N505" i="5"/>
  <c r="N506" i="5"/>
  <c r="N507" i="5"/>
  <c r="N508" i="5"/>
  <c r="N509" i="5"/>
  <c r="N510" i="5"/>
  <c r="N511" i="5"/>
  <c r="N512" i="5"/>
  <c r="N513" i="5"/>
  <c r="N514" i="5"/>
  <c r="N515" i="5"/>
  <c r="N516" i="5"/>
  <c r="N517" i="5"/>
  <c r="N518" i="5"/>
  <c r="N519" i="5"/>
  <c r="N520" i="5"/>
  <c r="N521" i="5"/>
  <c r="N522" i="5"/>
  <c r="N523" i="5"/>
  <c r="N524" i="5"/>
  <c r="N525" i="5"/>
  <c r="N526" i="5"/>
  <c r="N527" i="5"/>
  <c r="N528" i="5"/>
  <c r="N529" i="5"/>
  <c r="N530" i="5"/>
  <c r="N531" i="5"/>
  <c r="N532" i="5"/>
  <c r="N533" i="5"/>
  <c r="N534" i="5"/>
  <c r="N535" i="5"/>
  <c r="N536" i="5"/>
  <c r="N537" i="5"/>
  <c r="N538" i="5"/>
  <c r="N539" i="5"/>
  <c r="N540" i="5"/>
  <c r="N541" i="5"/>
  <c r="N542" i="5"/>
  <c r="N543" i="5"/>
  <c r="N544" i="5"/>
  <c r="N545" i="5"/>
  <c r="N546" i="5"/>
  <c r="N547" i="5"/>
  <c r="N548" i="5"/>
  <c r="N549" i="5"/>
  <c r="N550" i="5"/>
  <c r="N551" i="5"/>
  <c r="N552" i="5"/>
  <c r="N553" i="5"/>
  <c r="N554" i="5"/>
  <c r="N555" i="5"/>
  <c r="N556" i="5"/>
  <c r="N557" i="5"/>
  <c r="N558" i="5"/>
  <c r="N559" i="5"/>
  <c r="N560" i="5"/>
  <c r="N561" i="5"/>
  <c r="N562" i="5"/>
  <c r="N563" i="5"/>
  <c r="N564" i="5"/>
  <c r="N565" i="5"/>
  <c r="N566" i="5"/>
  <c r="N567" i="5"/>
  <c r="N568" i="5"/>
  <c r="N569" i="5"/>
  <c r="N570" i="5"/>
  <c r="N571" i="5"/>
  <c r="N2" i="5"/>
  <c r="N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N448" i="6"/>
  <c r="N449" i="6"/>
  <c r="N450" i="6"/>
  <c r="N451" i="6"/>
  <c r="N452" i="6"/>
  <c r="N453" i="6"/>
  <c r="N454" i="6"/>
  <c r="N455" i="6"/>
  <c r="N456" i="6"/>
  <c r="N457" i="6"/>
  <c r="N458" i="6"/>
  <c r="N459" i="6"/>
  <c r="N460" i="6"/>
  <c r="N461" i="6"/>
  <c r="N462" i="6"/>
  <c r="N463" i="6"/>
  <c r="N464" i="6"/>
  <c r="N465" i="6"/>
  <c r="N466" i="6"/>
  <c r="N467" i="6"/>
  <c r="N468" i="6"/>
  <c r="N469" i="6"/>
  <c r="N470" i="6"/>
  <c r="N471" i="6"/>
  <c r="N472" i="6"/>
  <c r="N473" i="6"/>
  <c r="N474" i="6"/>
  <c r="N475" i="6"/>
  <c r="N476" i="6"/>
  <c r="N477" i="6"/>
  <c r="N478" i="6"/>
  <c r="N479" i="6"/>
  <c r="N480" i="6"/>
  <c r="N481" i="6"/>
  <c r="N482" i="6"/>
  <c r="N483" i="6"/>
  <c r="N484" i="6"/>
  <c r="N485" i="6"/>
  <c r="N486" i="6"/>
  <c r="N487" i="6"/>
  <c r="N488" i="6"/>
  <c r="N489" i="6"/>
  <c r="N490" i="6"/>
  <c r="N491" i="6"/>
  <c r="N492" i="6"/>
  <c r="N493" i="6"/>
  <c r="N494" i="6"/>
  <c r="N495" i="6"/>
  <c r="N496" i="6"/>
  <c r="N497" i="6"/>
  <c r="N498" i="6"/>
  <c r="N499" i="6"/>
  <c r="N500" i="6"/>
  <c r="N501" i="6"/>
  <c r="N502" i="6"/>
  <c r="N503" i="6"/>
  <c r="N504" i="6"/>
  <c r="N505" i="6"/>
  <c r="N506" i="6"/>
  <c r="N507" i="6"/>
  <c r="N508" i="6"/>
  <c r="N509" i="6"/>
  <c r="N510" i="6"/>
  <c r="N511" i="6"/>
  <c r="N512" i="6"/>
  <c r="N513" i="6"/>
  <c r="N514" i="6"/>
  <c r="N515" i="6"/>
  <c r="N516" i="6"/>
  <c r="N517" i="6"/>
  <c r="N518" i="6"/>
  <c r="N519" i="6"/>
  <c r="N520" i="6"/>
  <c r="N521" i="6"/>
  <c r="N522" i="6"/>
  <c r="N523" i="6"/>
  <c r="N524" i="6"/>
  <c r="N525" i="6"/>
  <c r="N526" i="6"/>
  <c r="N527" i="6"/>
  <c r="N528" i="6"/>
  <c r="N529" i="6"/>
  <c r="N530" i="6"/>
  <c r="N531" i="6"/>
  <c r="N532" i="6"/>
  <c r="N533" i="6"/>
  <c r="N534" i="6"/>
  <c r="N535" i="6"/>
  <c r="N536" i="6"/>
  <c r="N537" i="6"/>
  <c r="N538" i="6"/>
  <c r="N539" i="6"/>
  <c r="N540" i="6"/>
  <c r="N541" i="6"/>
  <c r="N542" i="6"/>
  <c r="N543" i="6"/>
  <c r="N544" i="6"/>
  <c r="N545" i="6"/>
  <c r="N546" i="6"/>
  <c r="N547" i="6"/>
  <c r="N548" i="6"/>
  <c r="N549" i="6"/>
  <c r="N550" i="6"/>
  <c r="N551" i="6"/>
  <c r="N552" i="6"/>
  <c r="N553" i="6"/>
  <c r="N554" i="6"/>
  <c r="N555" i="6"/>
  <c r="N556" i="6"/>
  <c r="N557" i="6"/>
  <c r="N558" i="6"/>
  <c r="N559" i="6"/>
  <c r="N560" i="6"/>
  <c r="N561" i="6"/>
  <c r="N562" i="6"/>
  <c r="N563" i="6"/>
  <c r="N564" i="6"/>
  <c r="N565" i="6"/>
  <c r="N566" i="6"/>
  <c r="N567" i="6"/>
  <c r="N568" i="6"/>
  <c r="N569" i="6"/>
  <c r="N570" i="6"/>
  <c r="N571" i="6"/>
  <c r="U22" i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2" i="6"/>
  <c r="O22" i="1"/>
  <c r="BB3" i="1"/>
  <c r="BB4" i="1"/>
  <c r="BB5" i="1"/>
  <c r="BB6" i="1"/>
  <c r="BB7" i="1"/>
  <c r="BB8" i="1"/>
  <c r="BB10" i="1"/>
  <c r="BB11" i="1"/>
  <c r="BB12" i="1"/>
  <c r="BB13" i="1"/>
  <c r="BB14" i="1"/>
  <c r="BB15" i="1"/>
  <c r="BB16" i="1"/>
  <c r="BB18" i="1"/>
  <c r="BB19" i="1"/>
  <c r="BB20" i="1"/>
  <c r="BB21" i="1"/>
  <c r="BB22" i="1"/>
  <c r="BB23" i="1"/>
  <c r="BB24" i="1"/>
  <c r="BB26" i="1"/>
  <c r="BB27" i="1"/>
  <c r="BB28" i="1"/>
  <c r="BB29" i="1"/>
  <c r="BB30" i="1"/>
  <c r="BB31" i="1"/>
  <c r="BB32" i="1"/>
  <c r="BB34" i="1"/>
  <c r="BB35" i="1"/>
  <c r="BB36" i="1"/>
  <c r="BB37" i="1"/>
  <c r="BB38" i="1"/>
  <c r="BB39" i="1"/>
  <c r="BB40" i="1"/>
  <c r="BB42" i="1"/>
  <c r="BB43" i="1"/>
  <c r="BB44" i="1"/>
  <c r="BB45" i="1"/>
  <c r="BB46" i="1"/>
  <c r="BB47" i="1"/>
  <c r="BB48" i="1"/>
  <c r="BB50" i="1"/>
  <c r="BB51" i="1"/>
  <c r="BB52" i="1"/>
  <c r="BB53" i="1"/>
  <c r="BB54" i="1"/>
  <c r="BB55" i="1"/>
  <c r="BB56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6" i="1"/>
  <c r="BB107" i="1"/>
  <c r="BB108" i="1"/>
  <c r="BB109" i="1"/>
  <c r="BB110" i="1"/>
  <c r="BB111" i="1"/>
  <c r="BB112" i="1"/>
  <c r="BB114" i="1"/>
  <c r="BB115" i="1"/>
  <c r="BB116" i="1"/>
  <c r="BB117" i="1"/>
  <c r="BB118" i="1"/>
  <c r="BB119" i="1"/>
  <c r="BB120" i="1"/>
  <c r="BB122" i="1"/>
  <c r="BB123" i="1"/>
  <c r="BB124" i="1"/>
  <c r="BB125" i="1"/>
  <c r="BB126" i="1"/>
  <c r="BB127" i="1"/>
  <c r="BB128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6" i="1"/>
  <c r="BB147" i="1"/>
  <c r="BB148" i="1"/>
  <c r="BB149" i="1"/>
  <c r="BB150" i="1"/>
  <c r="BB151" i="1"/>
  <c r="BB152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BB443" i="1"/>
  <c r="BB444" i="1"/>
  <c r="BB445" i="1"/>
  <c r="BB446" i="1"/>
  <c r="BB447" i="1"/>
  <c r="BB448" i="1"/>
  <c r="BB449" i="1"/>
  <c r="BB450" i="1"/>
  <c r="BB451" i="1"/>
  <c r="BB452" i="1"/>
  <c r="BB453" i="1"/>
  <c r="BB454" i="1"/>
  <c r="BB455" i="1"/>
  <c r="BB456" i="1"/>
  <c r="BB457" i="1"/>
  <c r="BB458" i="1"/>
  <c r="BB459" i="1"/>
  <c r="BB460" i="1"/>
  <c r="BB461" i="1"/>
  <c r="BB462" i="1"/>
  <c r="BB463" i="1"/>
  <c r="BB464" i="1"/>
  <c r="BB465" i="1"/>
  <c r="BB466" i="1"/>
  <c r="BB467" i="1"/>
  <c r="BB468" i="1"/>
  <c r="BB469" i="1"/>
  <c r="BB470" i="1"/>
  <c r="BB471" i="1"/>
  <c r="BB472" i="1"/>
  <c r="BB473" i="1"/>
  <c r="BB474" i="1"/>
  <c r="BB475" i="1"/>
  <c r="BB476" i="1"/>
  <c r="BB477" i="1"/>
  <c r="BB478" i="1"/>
  <c r="BB479" i="1"/>
  <c r="BB480" i="1"/>
  <c r="BB481" i="1"/>
  <c r="BB482" i="1"/>
  <c r="BB483" i="1"/>
  <c r="BB484" i="1"/>
  <c r="BB485" i="1"/>
  <c r="BB486" i="1"/>
  <c r="BB487" i="1"/>
  <c r="BB488" i="1"/>
  <c r="BB489" i="1"/>
  <c r="BB490" i="1"/>
  <c r="BB491" i="1"/>
  <c r="BB492" i="1"/>
  <c r="BB493" i="1"/>
  <c r="BB494" i="1"/>
  <c r="BB495" i="1"/>
  <c r="BB496" i="1"/>
  <c r="BB497" i="1"/>
  <c r="BB498" i="1"/>
  <c r="BB499" i="1"/>
  <c r="BB500" i="1"/>
  <c r="BB501" i="1"/>
  <c r="BB502" i="1"/>
  <c r="BB503" i="1"/>
  <c r="BB504" i="1"/>
  <c r="BB505" i="1"/>
  <c r="BB506" i="1"/>
  <c r="BB507" i="1"/>
  <c r="BB508" i="1"/>
  <c r="BB509" i="1"/>
  <c r="BB510" i="1"/>
  <c r="BB511" i="1"/>
  <c r="BB512" i="1"/>
  <c r="BB513" i="1"/>
  <c r="BB514" i="1"/>
  <c r="BB515" i="1"/>
  <c r="BB516" i="1"/>
  <c r="BB517" i="1"/>
  <c r="BB518" i="1"/>
  <c r="BB519" i="1"/>
  <c r="BB520" i="1"/>
  <c r="BB521" i="1"/>
  <c r="BB522" i="1"/>
  <c r="BB523" i="1"/>
  <c r="BB524" i="1"/>
  <c r="BB525" i="1"/>
  <c r="BB526" i="1"/>
  <c r="BB527" i="1"/>
  <c r="BB528" i="1"/>
  <c r="BB529" i="1"/>
  <c r="BB530" i="1"/>
  <c r="BB531" i="1"/>
  <c r="BB532" i="1"/>
  <c r="BB533" i="1"/>
  <c r="BB534" i="1"/>
  <c r="BB535" i="1"/>
  <c r="BB536" i="1"/>
  <c r="BB537" i="1"/>
  <c r="BB538" i="1"/>
  <c r="BB539" i="1"/>
  <c r="BB540" i="1"/>
  <c r="BB541" i="1"/>
  <c r="BB542" i="1"/>
  <c r="BB543" i="1"/>
  <c r="BB544" i="1"/>
  <c r="BB545" i="1"/>
  <c r="BB546" i="1"/>
  <c r="BB547" i="1"/>
  <c r="BB548" i="1"/>
  <c r="BB549" i="1"/>
  <c r="BB550" i="1"/>
  <c r="BB551" i="1"/>
  <c r="BB552" i="1"/>
  <c r="BB553" i="1"/>
  <c r="BB554" i="1"/>
  <c r="BB555" i="1"/>
  <c r="BB556" i="1"/>
  <c r="BB557" i="1"/>
  <c r="BB558" i="1"/>
  <c r="BB559" i="1"/>
  <c r="BB560" i="1"/>
  <c r="BB561" i="1"/>
  <c r="BB562" i="1"/>
  <c r="BB563" i="1"/>
  <c r="BB564" i="1"/>
  <c r="BB565" i="1"/>
  <c r="BB566" i="1"/>
  <c r="BB567" i="1"/>
  <c r="BB568" i="1"/>
  <c r="BB569" i="1"/>
  <c r="BB570" i="1"/>
  <c r="BB571" i="1"/>
  <c r="BB2" i="1"/>
  <c r="AZ3" i="1"/>
  <c r="AZ4" i="1"/>
  <c r="AZ5" i="1"/>
  <c r="AZ6" i="1"/>
  <c r="AZ7" i="1"/>
  <c r="AZ8" i="1"/>
  <c r="AZ10" i="1"/>
  <c r="AZ11" i="1"/>
  <c r="AZ12" i="1"/>
  <c r="AZ13" i="1"/>
  <c r="AZ14" i="1"/>
  <c r="AZ15" i="1"/>
  <c r="AZ16" i="1"/>
  <c r="AZ18" i="1"/>
  <c r="AZ19" i="1"/>
  <c r="AZ20" i="1"/>
  <c r="AZ21" i="1"/>
  <c r="AZ22" i="1"/>
  <c r="AZ23" i="1"/>
  <c r="AZ24" i="1"/>
  <c r="AZ26" i="1"/>
  <c r="AZ27" i="1"/>
  <c r="AZ28" i="1"/>
  <c r="AZ29" i="1"/>
  <c r="AZ30" i="1"/>
  <c r="AZ31" i="1"/>
  <c r="AZ32" i="1"/>
  <c r="AZ34" i="1"/>
  <c r="AZ35" i="1"/>
  <c r="AZ36" i="1"/>
  <c r="AZ37" i="1"/>
  <c r="AZ38" i="1"/>
  <c r="AZ39" i="1"/>
  <c r="AZ40" i="1"/>
  <c r="AZ42" i="1"/>
  <c r="AZ43" i="1"/>
  <c r="AZ44" i="1"/>
  <c r="AZ45" i="1"/>
  <c r="AZ46" i="1"/>
  <c r="AZ47" i="1"/>
  <c r="AZ48" i="1"/>
  <c r="AZ50" i="1"/>
  <c r="AZ51" i="1"/>
  <c r="AZ52" i="1"/>
  <c r="AZ53" i="1"/>
  <c r="AZ54" i="1"/>
  <c r="AZ55" i="1"/>
  <c r="AZ56" i="1"/>
  <c r="AZ58" i="1"/>
  <c r="AZ59" i="1"/>
  <c r="AZ60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6" i="1"/>
  <c r="AZ107" i="1"/>
  <c r="AZ108" i="1"/>
  <c r="AZ109" i="1"/>
  <c r="AZ110" i="1"/>
  <c r="AZ111" i="1"/>
  <c r="AZ112" i="1"/>
  <c r="AZ114" i="1"/>
  <c r="AZ115" i="1"/>
  <c r="AZ116" i="1"/>
  <c r="AZ117" i="1"/>
  <c r="AZ118" i="1"/>
  <c r="AZ119" i="1"/>
  <c r="AZ120" i="1"/>
  <c r="AZ122" i="1"/>
  <c r="AZ123" i="1"/>
  <c r="AZ124" i="1"/>
  <c r="AZ125" i="1"/>
  <c r="AZ126" i="1"/>
  <c r="AZ127" i="1"/>
  <c r="AZ128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6" i="1"/>
  <c r="AZ147" i="1"/>
  <c r="AZ148" i="1"/>
  <c r="AZ149" i="1"/>
  <c r="AZ150" i="1"/>
  <c r="AZ151" i="1"/>
  <c r="AZ152" i="1"/>
  <c r="AZ154" i="1"/>
  <c r="AZ155" i="1"/>
  <c r="AZ156" i="1"/>
  <c r="AZ157" i="1"/>
  <c r="AZ158" i="1"/>
  <c r="AZ159" i="1"/>
  <c r="AZ160" i="1"/>
  <c r="AZ161" i="1"/>
  <c r="AZ162" i="1"/>
  <c r="AZ163" i="1"/>
  <c r="AZ164" i="1"/>
  <c r="AZ165" i="1"/>
  <c r="AZ166" i="1"/>
  <c r="AZ167" i="1"/>
  <c r="AZ168" i="1"/>
  <c r="AZ169" i="1"/>
  <c r="AZ170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220" i="1"/>
  <c r="AZ221" i="1"/>
  <c r="AZ222" i="1"/>
  <c r="AZ223" i="1"/>
  <c r="AZ224" i="1"/>
  <c r="AZ225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75" i="1"/>
  <c r="AZ276" i="1"/>
  <c r="AZ277" i="1"/>
  <c r="AZ278" i="1"/>
  <c r="AZ279" i="1"/>
  <c r="AZ280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330" i="1"/>
  <c r="AZ331" i="1"/>
  <c r="AZ332" i="1"/>
  <c r="AZ333" i="1"/>
  <c r="AZ334" i="1"/>
  <c r="AZ335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85" i="1"/>
  <c r="AZ386" i="1"/>
  <c r="AZ387" i="1"/>
  <c r="AZ388" i="1"/>
  <c r="AZ389" i="1"/>
  <c r="AZ390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440" i="1"/>
  <c r="AZ441" i="1"/>
  <c r="AZ442" i="1"/>
  <c r="AZ443" i="1"/>
  <c r="AZ444" i="1"/>
  <c r="AZ445" i="1"/>
  <c r="AZ446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96" i="1"/>
  <c r="AZ497" i="1"/>
  <c r="AZ498" i="1"/>
  <c r="AZ499" i="1"/>
  <c r="AZ500" i="1"/>
  <c r="AZ501" i="1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51" i="1"/>
  <c r="AZ552" i="1"/>
  <c r="AZ553" i="1"/>
  <c r="AZ554" i="1"/>
  <c r="AZ555" i="1"/>
  <c r="AZ556" i="1"/>
  <c r="AZ557" i="1"/>
  <c r="AZ558" i="1"/>
  <c r="AZ559" i="1"/>
  <c r="AZ560" i="1"/>
  <c r="AZ561" i="1"/>
  <c r="AZ562" i="1"/>
  <c r="AZ563" i="1"/>
  <c r="AZ564" i="1"/>
  <c r="AZ565" i="1"/>
  <c r="AZ566" i="1"/>
  <c r="AZ567" i="1"/>
  <c r="AZ568" i="1"/>
  <c r="AZ569" i="1"/>
  <c r="AZ570" i="1"/>
  <c r="AZ571" i="1"/>
  <c r="AZ2" i="1"/>
  <c r="BA11" i="1"/>
  <c r="BA12" i="1"/>
  <c r="BA13" i="1"/>
  <c r="BA14" i="1"/>
  <c r="BA15" i="1"/>
  <c r="BA19" i="1"/>
  <c r="BA20" i="1"/>
  <c r="BA21" i="1"/>
  <c r="BA22" i="1"/>
  <c r="BA23" i="1"/>
  <c r="BA27" i="1"/>
  <c r="BA28" i="1"/>
  <c r="BA29" i="1"/>
  <c r="BA30" i="1"/>
  <c r="BA31" i="1"/>
  <c r="BA35" i="1"/>
  <c r="BA36" i="1"/>
  <c r="BA37" i="1"/>
  <c r="BA38" i="1"/>
  <c r="BA39" i="1"/>
  <c r="BA43" i="1"/>
  <c r="BA44" i="1"/>
  <c r="BA45" i="1"/>
  <c r="BA46" i="1"/>
  <c r="BA47" i="1"/>
  <c r="BA51" i="1"/>
  <c r="BA52" i="1"/>
  <c r="BA53" i="1"/>
  <c r="BA54" i="1"/>
  <c r="BA55" i="1"/>
  <c r="BA59" i="1"/>
  <c r="BA60" i="1"/>
  <c r="BA61" i="1"/>
  <c r="BA62" i="1"/>
  <c r="BA63" i="1"/>
  <c r="BA67" i="1"/>
  <c r="BA68" i="1"/>
  <c r="BA69" i="1"/>
  <c r="BA70" i="1"/>
  <c r="BA71" i="1"/>
  <c r="BA75" i="1"/>
  <c r="BA76" i="1"/>
  <c r="BA77" i="1"/>
  <c r="BA78" i="1"/>
  <c r="BA79" i="1"/>
  <c r="BA83" i="1"/>
  <c r="BA84" i="1"/>
  <c r="BA85" i="1"/>
  <c r="BA86" i="1"/>
  <c r="BA87" i="1"/>
  <c r="BA91" i="1"/>
  <c r="BA92" i="1"/>
  <c r="BA93" i="1"/>
  <c r="BA94" i="1"/>
  <c r="BA95" i="1"/>
  <c r="BA99" i="1"/>
  <c r="BA100" i="1"/>
  <c r="BA101" i="1"/>
  <c r="BA102" i="1"/>
  <c r="BA103" i="1"/>
  <c r="BA107" i="1"/>
  <c r="BA108" i="1"/>
  <c r="BA109" i="1"/>
  <c r="BA110" i="1"/>
  <c r="BA111" i="1"/>
  <c r="BA115" i="1"/>
  <c r="BA116" i="1"/>
  <c r="BA117" i="1"/>
  <c r="BA118" i="1"/>
  <c r="BA119" i="1"/>
  <c r="BA123" i="1"/>
  <c r="BA124" i="1"/>
  <c r="BA125" i="1"/>
  <c r="BA126" i="1"/>
  <c r="BA127" i="1"/>
  <c r="BA131" i="1"/>
  <c r="BA132" i="1"/>
  <c r="BA133" i="1"/>
  <c r="BA134" i="1"/>
  <c r="BA135" i="1"/>
  <c r="BA139" i="1"/>
  <c r="BA140" i="1"/>
  <c r="BA141" i="1"/>
  <c r="BA142" i="1"/>
  <c r="BA143" i="1"/>
  <c r="BA147" i="1"/>
  <c r="BA148" i="1"/>
  <c r="BA149" i="1"/>
  <c r="BA150" i="1"/>
  <c r="BA151" i="1"/>
  <c r="BA155" i="1"/>
  <c r="BA156" i="1"/>
  <c r="BA157" i="1"/>
  <c r="BA158" i="1"/>
  <c r="BA159" i="1"/>
  <c r="BA163" i="1"/>
  <c r="BA164" i="1"/>
  <c r="BA165" i="1"/>
  <c r="BA166" i="1"/>
  <c r="BA167" i="1"/>
  <c r="BA171" i="1"/>
  <c r="BA172" i="1"/>
  <c r="BA173" i="1"/>
  <c r="BA174" i="1"/>
  <c r="BA175" i="1"/>
  <c r="BA179" i="1"/>
  <c r="BA180" i="1"/>
  <c r="BA181" i="1"/>
  <c r="BA182" i="1"/>
  <c r="BA183" i="1"/>
  <c r="BA187" i="1"/>
  <c r="BA188" i="1"/>
  <c r="BA189" i="1"/>
  <c r="BA190" i="1"/>
  <c r="BA191" i="1"/>
  <c r="BA195" i="1"/>
  <c r="BA196" i="1"/>
  <c r="BA197" i="1"/>
  <c r="BA198" i="1"/>
  <c r="BA199" i="1"/>
  <c r="BA203" i="1"/>
  <c r="BA204" i="1"/>
  <c r="BA205" i="1"/>
  <c r="BA206" i="1"/>
  <c r="BA207" i="1"/>
  <c r="BA211" i="1"/>
  <c r="BA212" i="1"/>
  <c r="BA213" i="1"/>
  <c r="BA214" i="1"/>
  <c r="BA215" i="1"/>
  <c r="BA219" i="1"/>
  <c r="BA220" i="1"/>
  <c r="BA221" i="1"/>
  <c r="BA222" i="1"/>
  <c r="BA223" i="1"/>
  <c r="BA227" i="1"/>
  <c r="BA228" i="1"/>
  <c r="BA229" i="1"/>
  <c r="BA230" i="1"/>
  <c r="BA231" i="1"/>
  <c r="BA235" i="1"/>
  <c r="BA236" i="1"/>
  <c r="BA237" i="1"/>
  <c r="BA238" i="1"/>
  <c r="BA239" i="1"/>
  <c r="BA243" i="1"/>
  <c r="BA244" i="1"/>
  <c r="BA245" i="1"/>
  <c r="BA246" i="1"/>
  <c r="BA247" i="1"/>
  <c r="BA251" i="1"/>
  <c r="BA252" i="1"/>
  <c r="BA253" i="1"/>
  <c r="BA254" i="1"/>
  <c r="BA255" i="1"/>
  <c r="BA259" i="1"/>
  <c r="BA260" i="1"/>
  <c r="BA261" i="1"/>
  <c r="BA262" i="1"/>
  <c r="BA263" i="1"/>
  <c r="BA267" i="1"/>
  <c r="BA268" i="1"/>
  <c r="BA269" i="1"/>
  <c r="BA270" i="1"/>
  <c r="BA271" i="1"/>
  <c r="BA275" i="1"/>
  <c r="BA276" i="1"/>
  <c r="BA277" i="1"/>
  <c r="BA278" i="1"/>
  <c r="BA279" i="1"/>
  <c r="BA283" i="1"/>
  <c r="BA284" i="1"/>
  <c r="BA285" i="1"/>
  <c r="BA286" i="1"/>
  <c r="BA287" i="1"/>
  <c r="BA291" i="1"/>
  <c r="BA292" i="1"/>
  <c r="BA293" i="1"/>
  <c r="BA294" i="1"/>
  <c r="BA295" i="1"/>
  <c r="BA299" i="1"/>
  <c r="BA300" i="1"/>
  <c r="BA301" i="1"/>
  <c r="BA302" i="1"/>
  <c r="BA303" i="1"/>
  <c r="BA307" i="1"/>
  <c r="BA308" i="1"/>
  <c r="BA309" i="1"/>
  <c r="BA310" i="1"/>
  <c r="BA311" i="1"/>
  <c r="BA315" i="1"/>
  <c r="BA316" i="1"/>
  <c r="BA317" i="1"/>
  <c r="BA318" i="1"/>
  <c r="BA319" i="1"/>
  <c r="BA323" i="1"/>
  <c r="BA324" i="1"/>
  <c r="BA325" i="1"/>
  <c r="BA326" i="1"/>
  <c r="BA327" i="1"/>
  <c r="BA331" i="1"/>
  <c r="BA332" i="1"/>
  <c r="BA333" i="1"/>
  <c r="BA334" i="1"/>
  <c r="BA335" i="1"/>
  <c r="BA339" i="1"/>
  <c r="BA340" i="1"/>
  <c r="BA341" i="1"/>
  <c r="BA342" i="1"/>
  <c r="BA343" i="1"/>
  <c r="BA347" i="1"/>
  <c r="BA348" i="1"/>
  <c r="BA349" i="1"/>
  <c r="BA350" i="1"/>
  <c r="BA351" i="1"/>
  <c r="BA355" i="1"/>
  <c r="BA356" i="1"/>
  <c r="BA357" i="1"/>
  <c r="BA358" i="1"/>
  <c r="BA359" i="1"/>
  <c r="BA363" i="1"/>
  <c r="BA364" i="1"/>
  <c r="BA365" i="1"/>
  <c r="BA366" i="1"/>
  <c r="BA367" i="1"/>
  <c r="BA371" i="1"/>
  <c r="BA372" i="1"/>
  <c r="BA373" i="1"/>
  <c r="BA374" i="1"/>
  <c r="BA375" i="1"/>
  <c r="BA379" i="1"/>
  <c r="BA380" i="1"/>
  <c r="BA381" i="1"/>
  <c r="BA382" i="1"/>
  <c r="BA383" i="1"/>
  <c r="BA387" i="1"/>
  <c r="BA388" i="1"/>
  <c r="BA389" i="1"/>
  <c r="BA390" i="1"/>
  <c r="BA391" i="1"/>
  <c r="BA395" i="1"/>
  <c r="BA396" i="1"/>
  <c r="BA397" i="1"/>
  <c r="BA398" i="1"/>
  <c r="BA399" i="1"/>
  <c r="BA403" i="1"/>
  <c r="BA404" i="1"/>
  <c r="BA405" i="1"/>
  <c r="BA406" i="1"/>
  <c r="BA407" i="1"/>
  <c r="BA411" i="1"/>
  <c r="BA412" i="1"/>
  <c r="BA413" i="1"/>
  <c r="BA414" i="1"/>
  <c r="BA415" i="1"/>
  <c r="BA419" i="1"/>
  <c r="BA420" i="1"/>
  <c r="BA421" i="1"/>
  <c r="BA422" i="1"/>
  <c r="BA423" i="1"/>
  <c r="BA427" i="1"/>
  <c r="BA428" i="1"/>
  <c r="BA429" i="1"/>
  <c r="BA430" i="1"/>
  <c r="BA431" i="1"/>
  <c r="BA435" i="1"/>
  <c r="BA436" i="1"/>
  <c r="BA437" i="1"/>
  <c r="BA438" i="1"/>
  <c r="BA439" i="1"/>
  <c r="BA443" i="1"/>
  <c r="BA444" i="1"/>
  <c r="BA445" i="1"/>
  <c r="BA446" i="1"/>
  <c r="BA447" i="1"/>
  <c r="BA451" i="1"/>
  <c r="BA452" i="1"/>
  <c r="BA453" i="1"/>
  <c r="BA454" i="1"/>
  <c r="BA455" i="1"/>
  <c r="BA459" i="1"/>
  <c r="BA460" i="1"/>
  <c r="BA461" i="1"/>
  <c r="BA462" i="1"/>
  <c r="BA463" i="1"/>
  <c r="BA467" i="1"/>
  <c r="BA468" i="1"/>
  <c r="BA469" i="1"/>
  <c r="BA470" i="1"/>
  <c r="BA471" i="1"/>
  <c r="BA475" i="1"/>
  <c r="BA476" i="1"/>
  <c r="BA477" i="1"/>
  <c r="BA478" i="1"/>
  <c r="BA479" i="1"/>
  <c r="BA483" i="1"/>
  <c r="BA484" i="1"/>
  <c r="BA485" i="1"/>
  <c r="BA486" i="1"/>
  <c r="BA487" i="1"/>
  <c r="BA491" i="1"/>
  <c r="BA492" i="1"/>
  <c r="BA493" i="1"/>
  <c r="BA494" i="1"/>
  <c r="BA495" i="1"/>
  <c r="BA499" i="1"/>
  <c r="BA500" i="1"/>
  <c r="BA501" i="1"/>
  <c r="BA502" i="1"/>
  <c r="BA503" i="1"/>
  <c r="BA507" i="1"/>
  <c r="BA508" i="1"/>
  <c r="BA509" i="1"/>
  <c r="BA510" i="1"/>
  <c r="BA511" i="1"/>
  <c r="BA515" i="1"/>
  <c r="BA516" i="1"/>
  <c r="BA517" i="1"/>
  <c r="BA518" i="1"/>
  <c r="BA519" i="1"/>
  <c r="BA523" i="1"/>
  <c r="BA524" i="1"/>
  <c r="BA525" i="1"/>
  <c r="BA526" i="1"/>
  <c r="BA527" i="1"/>
  <c r="BA531" i="1"/>
  <c r="BA532" i="1"/>
  <c r="BA533" i="1"/>
  <c r="BA534" i="1"/>
  <c r="BA535" i="1"/>
  <c r="BA539" i="1"/>
  <c r="BA540" i="1"/>
  <c r="BA541" i="1"/>
  <c r="BA542" i="1"/>
  <c r="BA543" i="1"/>
  <c r="BA547" i="1"/>
  <c r="BA548" i="1"/>
  <c r="BA549" i="1"/>
  <c r="BA550" i="1"/>
  <c r="BA551" i="1"/>
  <c r="BA555" i="1"/>
  <c r="BA556" i="1"/>
  <c r="BA557" i="1"/>
  <c r="BA558" i="1"/>
  <c r="BA559" i="1"/>
  <c r="BA563" i="1"/>
  <c r="BA564" i="1"/>
  <c r="BA565" i="1"/>
  <c r="BA566" i="1"/>
  <c r="BA567" i="1"/>
  <c r="BA571" i="1"/>
  <c r="BA7" i="1"/>
  <c r="BA6" i="1"/>
  <c r="BA5" i="1"/>
  <c r="BA4" i="1"/>
  <c r="BA3" i="1"/>
  <c r="A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2" i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2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2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2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2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2" i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2" i="1"/>
  <c r="AY3" i="1" s="1"/>
  <c r="BA554" i="1" l="1"/>
  <c r="BA546" i="1"/>
  <c r="BA562" i="1"/>
  <c r="BA570" i="1"/>
  <c r="BA322" i="1"/>
  <c r="BA314" i="1"/>
  <c r="BA306" i="1"/>
  <c r="BA330" i="1"/>
  <c r="BA130" i="1"/>
  <c r="BA122" i="1"/>
  <c r="BA146" i="1"/>
  <c r="BA138" i="1"/>
  <c r="AY570" i="1"/>
  <c r="AY566" i="1"/>
  <c r="AY562" i="1"/>
  <c r="AY558" i="1"/>
  <c r="AY554" i="1"/>
  <c r="AY550" i="1"/>
  <c r="AY546" i="1"/>
  <c r="AY542" i="1"/>
  <c r="AY538" i="1"/>
  <c r="AY534" i="1"/>
  <c r="AY530" i="1"/>
  <c r="AY526" i="1"/>
  <c r="AY522" i="1"/>
  <c r="AY518" i="1"/>
  <c r="AY514" i="1"/>
  <c r="AY510" i="1"/>
  <c r="AY506" i="1"/>
  <c r="AY502" i="1"/>
  <c r="AY498" i="1"/>
  <c r="AY494" i="1"/>
  <c r="AY490" i="1"/>
  <c r="AY486" i="1"/>
  <c r="AY482" i="1"/>
  <c r="AY478" i="1"/>
  <c r="AY474" i="1"/>
  <c r="AY470" i="1"/>
  <c r="AY465" i="1"/>
  <c r="AY460" i="1"/>
  <c r="AY454" i="1"/>
  <c r="AY449" i="1"/>
  <c r="AY444" i="1"/>
  <c r="AY438" i="1"/>
  <c r="AY433" i="1"/>
  <c r="AY428" i="1"/>
  <c r="AY422" i="1"/>
  <c r="AY417" i="1"/>
  <c r="AY412" i="1"/>
  <c r="AY406" i="1"/>
  <c r="AY401" i="1"/>
  <c r="AY396" i="1"/>
  <c r="AY390" i="1"/>
  <c r="AY385" i="1"/>
  <c r="AY380" i="1"/>
  <c r="AY373" i="1"/>
  <c r="AY367" i="1"/>
  <c r="AY360" i="1"/>
  <c r="AY352" i="1"/>
  <c r="AY345" i="1"/>
  <c r="AY339" i="1"/>
  <c r="AY331" i="1"/>
  <c r="AY324" i="1"/>
  <c r="AY317" i="1"/>
  <c r="AY309" i="1"/>
  <c r="AY303" i="1"/>
  <c r="AY296" i="1"/>
  <c r="AY288" i="1"/>
  <c r="AY277" i="1"/>
  <c r="AY267" i="1"/>
  <c r="AY256" i="1"/>
  <c r="AY245" i="1"/>
  <c r="AY235" i="1"/>
  <c r="AY224" i="1"/>
  <c r="AY213" i="1"/>
  <c r="AY203" i="1"/>
  <c r="AY190" i="1"/>
  <c r="AY175" i="1"/>
  <c r="AY162" i="1"/>
  <c r="AY147" i="1"/>
  <c r="AY132" i="1"/>
  <c r="AY119" i="1"/>
  <c r="AY104" i="1"/>
  <c r="AY90" i="1"/>
  <c r="AY76" i="1"/>
  <c r="AY62" i="1"/>
  <c r="AY47" i="1"/>
  <c r="AY34" i="1"/>
  <c r="AY19" i="1"/>
  <c r="AY4" i="1"/>
  <c r="BA482" i="1"/>
  <c r="BA490" i="1"/>
  <c r="BA498" i="1"/>
  <c r="BA506" i="1"/>
  <c r="BA450" i="1"/>
  <c r="BA434" i="1"/>
  <c r="BA426" i="1"/>
  <c r="BA442" i="1"/>
  <c r="BA258" i="1"/>
  <c r="BA250" i="1"/>
  <c r="BA242" i="1"/>
  <c r="BA266" i="1"/>
  <c r="BA544" i="1"/>
  <c r="BA560" i="1"/>
  <c r="BA552" i="1"/>
  <c r="BA568" i="1"/>
  <c r="BA504" i="1"/>
  <c r="BA488" i="1"/>
  <c r="BA496" i="1"/>
  <c r="BA440" i="1"/>
  <c r="BA424" i="1"/>
  <c r="BA448" i="1"/>
  <c r="BA432" i="1"/>
  <c r="BA376" i="1"/>
  <c r="BA368" i="1"/>
  <c r="BA384" i="1"/>
  <c r="BA312" i="1"/>
  <c r="BA304" i="1"/>
  <c r="BA328" i="1"/>
  <c r="BA320" i="1"/>
  <c r="BA248" i="1"/>
  <c r="BA264" i="1"/>
  <c r="BA256" i="1"/>
  <c r="BA184" i="1"/>
  <c r="BA208" i="1"/>
  <c r="BA200" i="1"/>
  <c r="BA192" i="1"/>
  <c r="BA144" i="1"/>
  <c r="BA136" i="1"/>
  <c r="BA128" i="1"/>
  <c r="BA88" i="1"/>
  <c r="BA80" i="1"/>
  <c r="BA72" i="1"/>
  <c r="BA64" i="1"/>
  <c r="AY569" i="1"/>
  <c r="AY565" i="1"/>
  <c r="AY561" i="1"/>
  <c r="AY557" i="1"/>
  <c r="AY553" i="1"/>
  <c r="AY549" i="1"/>
  <c r="AY545" i="1"/>
  <c r="AY541" i="1"/>
  <c r="AY537" i="1"/>
  <c r="AY533" i="1"/>
  <c r="AY529" i="1"/>
  <c r="AY525" i="1"/>
  <c r="AY521" i="1"/>
  <c r="AY517" i="1"/>
  <c r="AY513" i="1"/>
  <c r="AY509" i="1"/>
  <c r="AY505" i="1"/>
  <c r="AY501" i="1"/>
  <c r="AY497" i="1"/>
  <c r="AY493" i="1"/>
  <c r="AY489" i="1"/>
  <c r="AY485" i="1"/>
  <c r="AY481" i="1"/>
  <c r="AY477" i="1"/>
  <c r="AY473" i="1"/>
  <c r="AY469" i="1"/>
  <c r="AY464" i="1"/>
  <c r="AY458" i="1"/>
  <c r="AY453" i="1"/>
  <c r="AY448" i="1"/>
  <c r="AY442" i="1"/>
  <c r="AY437" i="1"/>
  <c r="AY432" i="1"/>
  <c r="AY426" i="1"/>
  <c r="AY421" i="1"/>
  <c r="AY416" i="1"/>
  <c r="AY410" i="1"/>
  <c r="AY405" i="1"/>
  <c r="AY400" i="1"/>
  <c r="AY394" i="1"/>
  <c r="AY389" i="1"/>
  <c r="AY384" i="1"/>
  <c r="AY378" i="1"/>
  <c r="AY372" i="1"/>
  <c r="AY365" i="1"/>
  <c r="AY357" i="1"/>
  <c r="AY351" i="1"/>
  <c r="AY344" i="1"/>
  <c r="AY336" i="1"/>
  <c r="AY329" i="1"/>
  <c r="AY323" i="1"/>
  <c r="AY315" i="1"/>
  <c r="AY308" i="1"/>
  <c r="AY301" i="1"/>
  <c r="AY293" i="1"/>
  <c r="AY287" i="1"/>
  <c r="AY276" i="1"/>
  <c r="AY265" i="1"/>
  <c r="AY255" i="1"/>
  <c r="AY244" i="1"/>
  <c r="AY233" i="1"/>
  <c r="AY223" i="1"/>
  <c r="AY212" i="1"/>
  <c r="AY201" i="1"/>
  <c r="AY188" i="1"/>
  <c r="AY174" i="1"/>
  <c r="AY159" i="1"/>
  <c r="AY146" i="1"/>
  <c r="AY131" i="1"/>
  <c r="AY116" i="1"/>
  <c r="AY103" i="1"/>
  <c r="AY88" i="1"/>
  <c r="AY74" i="1"/>
  <c r="AY60" i="1"/>
  <c r="AY46" i="1"/>
  <c r="AY31" i="1"/>
  <c r="AY18" i="1"/>
  <c r="BA386" i="1"/>
  <c r="BA378" i="1"/>
  <c r="BA370" i="1"/>
  <c r="BA362" i="1"/>
  <c r="BA194" i="1"/>
  <c r="BA186" i="1"/>
  <c r="BA210" i="1"/>
  <c r="BA202" i="1"/>
  <c r="BA66" i="1"/>
  <c r="BA90" i="1"/>
  <c r="BA82" i="1"/>
  <c r="BA74" i="1"/>
  <c r="BA26" i="1"/>
  <c r="BA2" i="1"/>
  <c r="BA18" i="1"/>
  <c r="BA10" i="1"/>
  <c r="AY5" i="1"/>
  <c r="AY13" i="1"/>
  <c r="AY21" i="1"/>
  <c r="AY29" i="1"/>
  <c r="AY37" i="1"/>
  <c r="AY45" i="1"/>
  <c r="AY53" i="1"/>
  <c r="AY61" i="1"/>
  <c r="AY65" i="1"/>
  <c r="AY69" i="1"/>
  <c r="AY77" i="1"/>
  <c r="AY81" i="1"/>
  <c r="AY85" i="1"/>
  <c r="AY93" i="1"/>
  <c r="AY97" i="1"/>
  <c r="AY101" i="1"/>
  <c r="AY109" i="1"/>
  <c r="AY117" i="1"/>
  <c r="AY125" i="1"/>
  <c r="AY133" i="1"/>
  <c r="AY137" i="1"/>
  <c r="AY141" i="1"/>
  <c r="AY149" i="1"/>
  <c r="AY157" i="1"/>
  <c r="AY161" i="1"/>
  <c r="AY165" i="1"/>
  <c r="AY169" i="1"/>
  <c r="AY173" i="1"/>
  <c r="AY177" i="1"/>
  <c r="AY181" i="1"/>
  <c r="AY185" i="1"/>
  <c r="AY189" i="1"/>
  <c r="AY193" i="1"/>
  <c r="AY197" i="1"/>
  <c r="AY6" i="1"/>
  <c r="AY11" i="1"/>
  <c r="AY16" i="1"/>
  <c r="AY22" i="1"/>
  <c r="AY27" i="1"/>
  <c r="AY32" i="1"/>
  <c r="AY38" i="1"/>
  <c r="AY43" i="1"/>
  <c r="AY48" i="1"/>
  <c r="AY54" i="1"/>
  <c r="AY59" i="1"/>
  <c r="AY64" i="1"/>
  <c r="AY70" i="1"/>
  <c r="AY75" i="1"/>
  <c r="AY80" i="1"/>
  <c r="AY86" i="1"/>
  <c r="AY91" i="1"/>
  <c r="AY96" i="1"/>
  <c r="AY102" i="1"/>
  <c r="AY107" i="1"/>
  <c r="AY112" i="1"/>
  <c r="AY118" i="1"/>
  <c r="AY123" i="1"/>
  <c r="AY128" i="1"/>
  <c r="AY134" i="1"/>
  <c r="AY139" i="1"/>
  <c r="AY144" i="1"/>
  <c r="AY150" i="1"/>
  <c r="AY155" i="1"/>
  <c r="AY160" i="1"/>
  <c r="AY166" i="1"/>
  <c r="AY171" i="1"/>
  <c r="AY176" i="1"/>
  <c r="AY182" i="1"/>
  <c r="AY187" i="1"/>
  <c r="AY192" i="1"/>
  <c r="AY198" i="1"/>
  <c r="AY202" i="1"/>
  <c r="AY206" i="1"/>
  <c r="AY210" i="1"/>
  <c r="AY214" i="1"/>
  <c r="AY218" i="1"/>
  <c r="AY222" i="1"/>
  <c r="AY226" i="1"/>
  <c r="AY230" i="1"/>
  <c r="AY234" i="1"/>
  <c r="AY238" i="1"/>
  <c r="AY242" i="1"/>
  <c r="AY246" i="1"/>
  <c r="AY250" i="1"/>
  <c r="AY254" i="1"/>
  <c r="AY258" i="1"/>
  <c r="AY262" i="1"/>
  <c r="AY266" i="1"/>
  <c r="AY270" i="1"/>
  <c r="AY274" i="1"/>
  <c r="AY278" i="1"/>
  <c r="AY282" i="1"/>
  <c r="AY286" i="1"/>
  <c r="AY290" i="1"/>
  <c r="AY294" i="1"/>
  <c r="AY298" i="1"/>
  <c r="AY302" i="1"/>
  <c r="AY306" i="1"/>
  <c r="AY310" i="1"/>
  <c r="AY314" i="1"/>
  <c r="AY318" i="1"/>
  <c r="AY322" i="1"/>
  <c r="AY326" i="1"/>
  <c r="AY330" i="1"/>
  <c r="AY334" i="1"/>
  <c r="AY338" i="1"/>
  <c r="AY342" i="1"/>
  <c r="AY346" i="1"/>
  <c r="AY350" i="1"/>
  <c r="AY354" i="1"/>
  <c r="AY358" i="1"/>
  <c r="AY362" i="1"/>
  <c r="AY366" i="1"/>
  <c r="AY370" i="1"/>
  <c r="AY374" i="1"/>
  <c r="AY7" i="1"/>
  <c r="AY14" i="1"/>
  <c r="AY20" i="1"/>
  <c r="AY28" i="1"/>
  <c r="AY35" i="1"/>
  <c r="AY42" i="1"/>
  <c r="AY50" i="1"/>
  <c r="AY56" i="1"/>
  <c r="AY63" i="1"/>
  <c r="AY71" i="1"/>
  <c r="AY78" i="1"/>
  <c r="AY84" i="1"/>
  <c r="AY92" i="1"/>
  <c r="AY99" i="1"/>
  <c r="AY106" i="1"/>
  <c r="AY114" i="1"/>
  <c r="AY120" i="1"/>
  <c r="AY127" i="1"/>
  <c r="AY135" i="1"/>
  <c r="AY142" i="1"/>
  <c r="AY148" i="1"/>
  <c r="AY156" i="1"/>
  <c r="AY163" i="1"/>
  <c r="AY170" i="1"/>
  <c r="AY178" i="1"/>
  <c r="AY184" i="1"/>
  <c r="AY191" i="1"/>
  <c r="AY199" i="1"/>
  <c r="AY204" i="1"/>
  <c r="AY209" i="1"/>
  <c r="AY215" i="1"/>
  <c r="AY220" i="1"/>
  <c r="AY225" i="1"/>
  <c r="AY231" i="1"/>
  <c r="AY236" i="1"/>
  <c r="AY241" i="1"/>
  <c r="AY247" i="1"/>
  <c r="AY252" i="1"/>
  <c r="AY257" i="1"/>
  <c r="AY263" i="1"/>
  <c r="AY268" i="1"/>
  <c r="AY273" i="1"/>
  <c r="AY279" i="1"/>
  <c r="AY284" i="1"/>
  <c r="AY289" i="1"/>
  <c r="AY295" i="1"/>
  <c r="AY300" i="1"/>
  <c r="AY305" i="1"/>
  <c r="AY311" i="1"/>
  <c r="AY316" i="1"/>
  <c r="AY321" i="1"/>
  <c r="AY327" i="1"/>
  <c r="AY332" i="1"/>
  <c r="AY337" i="1"/>
  <c r="AY343" i="1"/>
  <c r="AY348" i="1"/>
  <c r="AY353" i="1"/>
  <c r="AY359" i="1"/>
  <c r="AY364" i="1"/>
  <c r="AY369" i="1"/>
  <c r="AY375" i="1"/>
  <c r="AY379" i="1"/>
  <c r="AY383" i="1"/>
  <c r="AY387" i="1"/>
  <c r="AY391" i="1"/>
  <c r="AY395" i="1"/>
  <c r="AY399" i="1"/>
  <c r="AY403" i="1"/>
  <c r="AY407" i="1"/>
  <c r="AY411" i="1"/>
  <c r="AY415" i="1"/>
  <c r="AY419" i="1"/>
  <c r="AY423" i="1"/>
  <c r="AY427" i="1"/>
  <c r="AY431" i="1"/>
  <c r="AY435" i="1"/>
  <c r="AY439" i="1"/>
  <c r="AY443" i="1"/>
  <c r="AY447" i="1"/>
  <c r="AY451" i="1"/>
  <c r="AY455" i="1"/>
  <c r="AY459" i="1"/>
  <c r="AY463" i="1"/>
  <c r="AY467" i="1"/>
  <c r="AY8" i="1"/>
  <c r="AY15" i="1"/>
  <c r="AY23" i="1"/>
  <c r="AY30" i="1"/>
  <c r="AY36" i="1"/>
  <c r="AY44" i="1"/>
  <c r="AY51" i="1"/>
  <c r="AY58" i="1"/>
  <c r="AY66" i="1"/>
  <c r="AY72" i="1"/>
  <c r="AY79" i="1"/>
  <c r="AY87" i="1"/>
  <c r="AY94" i="1"/>
  <c r="AY100" i="1"/>
  <c r="AY108" i="1"/>
  <c r="AY115" i="1"/>
  <c r="AY122" i="1"/>
  <c r="AY130" i="1"/>
  <c r="AY136" i="1"/>
  <c r="AY143" i="1"/>
  <c r="AY151" i="1"/>
  <c r="AY158" i="1"/>
  <c r="AY164" i="1"/>
  <c r="AY172" i="1"/>
  <c r="AY179" i="1"/>
  <c r="AY186" i="1"/>
  <c r="AY194" i="1"/>
  <c r="AY200" i="1"/>
  <c r="AY205" i="1"/>
  <c r="AY211" i="1"/>
  <c r="AY216" i="1"/>
  <c r="AY221" i="1"/>
  <c r="AY227" i="1"/>
  <c r="AY232" i="1"/>
  <c r="AY237" i="1"/>
  <c r="AY243" i="1"/>
  <c r="AY248" i="1"/>
  <c r="AY253" i="1"/>
  <c r="AY259" i="1"/>
  <c r="AY264" i="1"/>
  <c r="AY269" i="1"/>
  <c r="AY275" i="1"/>
  <c r="AY280" i="1"/>
  <c r="AY285" i="1"/>
  <c r="BA514" i="1"/>
  <c r="BA522" i="1"/>
  <c r="BA530" i="1"/>
  <c r="BA538" i="1"/>
  <c r="BA458" i="1"/>
  <c r="BA466" i="1"/>
  <c r="BA474" i="1"/>
  <c r="BA418" i="1"/>
  <c r="BA402" i="1"/>
  <c r="BA394" i="1"/>
  <c r="BA410" i="1"/>
  <c r="BA354" i="1"/>
  <c r="BA346" i="1"/>
  <c r="BA338" i="1"/>
  <c r="BA290" i="1"/>
  <c r="BA282" i="1"/>
  <c r="BA274" i="1"/>
  <c r="BA298" i="1"/>
  <c r="BA226" i="1"/>
  <c r="BA218" i="1"/>
  <c r="BA234" i="1"/>
  <c r="BA162" i="1"/>
  <c r="BA154" i="1"/>
  <c r="BA178" i="1"/>
  <c r="BA170" i="1"/>
  <c r="BA98" i="1"/>
  <c r="BA114" i="1"/>
  <c r="BA106" i="1"/>
  <c r="BA34" i="1"/>
  <c r="BA58" i="1"/>
  <c r="BA50" i="1"/>
  <c r="BA42" i="1"/>
  <c r="AY2" i="1"/>
  <c r="AY568" i="1"/>
  <c r="AY564" i="1"/>
  <c r="AY560" i="1"/>
  <c r="AY556" i="1"/>
  <c r="AY552" i="1"/>
  <c r="AY548" i="1"/>
  <c r="AY544" i="1"/>
  <c r="AY540" i="1"/>
  <c r="AY536" i="1"/>
  <c r="AY532" i="1"/>
  <c r="AY528" i="1"/>
  <c r="AY524" i="1"/>
  <c r="AY520" i="1"/>
  <c r="AY516" i="1"/>
  <c r="AY512" i="1"/>
  <c r="AY508" i="1"/>
  <c r="AY504" i="1"/>
  <c r="AY500" i="1"/>
  <c r="AY496" i="1"/>
  <c r="AY492" i="1"/>
  <c r="AY488" i="1"/>
  <c r="AY484" i="1"/>
  <c r="AY480" i="1"/>
  <c r="AY476" i="1"/>
  <c r="AY472" i="1"/>
  <c r="AY468" i="1"/>
  <c r="AY462" i="1"/>
  <c r="AY457" i="1"/>
  <c r="AY452" i="1"/>
  <c r="AY446" i="1"/>
  <c r="AY441" i="1"/>
  <c r="AY436" i="1"/>
  <c r="AY430" i="1"/>
  <c r="AY425" i="1"/>
  <c r="AY420" i="1"/>
  <c r="AY414" i="1"/>
  <c r="AY409" i="1"/>
  <c r="AY404" i="1"/>
  <c r="AY398" i="1"/>
  <c r="AY393" i="1"/>
  <c r="AY388" i="1"/>
  <c r="AY382" i="1"/>
  <c r="AY377" i="1"/>
  <c r="AY371" i="1"/>
  <c r="AY363" i="1"/>
  <c r="AY356" i="1"/>
  <c r="AY349" i="1"/>
  <c r="AY341" i="1"/>
  <c r="AY335" i="1"/>
  <c r="AY328" i="1"/>
  <c r="AY320" i="1"/>
  <c r="AY313" i="1"/>
  <c r="AY307" i="1"/>
  <c r="AY299" i="1"/>
  <c r="AY292" i="1"/>
  <c r="AY283" i="1"/>
  <c r="AY272" i="1"/>
  <c r="AY261" i="1"/>
  <c r="AY251" i="1"/>
  <c r="AY240" i="1"/>
  <c r="AY229" i="1"/>
  <c r="AY219" i="1"/>
  <c r="AY208" i="1"/>
  <c r="AY196" i="1"/>
  <c r="AY183" i="1"/>
  <c r="AY168" i="1"/>
  <c r="AY154" i="1"/>
  <c r="AY140" i="1"/>
  <c r="AY126" i="1"/>
  <c r="AY111" i="1"/>
  <c r="AY98" i="1"/>
  <c r="AY83" i="1"/>
  <c r="AY68" i="1"/>
  <c r="AY55" i="1"/>
  <c r="AY40" i="1"/>
  <c r="AY26" i="1"/>
  <c r="AY12" i="1"/>
  <c r="BA24" i="1"/>
  <c r="BA16" i="1"/>
  <c r="BA8" i="1"/>
  <c r="BA512" i="1"/>
  <c r="BA520" i="1"/>
  <c r="BA536" i="1"/>
  <c r="BA528" i="1"/>
  <c r="BA472" i="1"/>
  <c r="BA456" i="1"/>
  <c r="BA480" i="1"/>
  <c r="BA464" i="1"/>
  <c r="BA408" i="1"/>
  <c r="BA392" i="1"/>
  <c r="BA416" i="1"/>
  <c r="BA400" i="1"/>
  <c r="BA344" i="1"/>
  <c r="BA336" i="1"/>
  <c r="BA360" i="1"/>
  <c r="BA352" i="1"/>
  <c r="BA280" i="1"/>
  <c r="BA272" i="1"/>
  <c r="BA296" i="1"/>
  <c r="BA288" i="1"/>
  <c r="BA216" i="1"/>
  <c r="BA240" i="1"/>
  <c r="BA232" i="1"/>
  <c r="BA224" i="1"/>
  <c r="BA152" i="1"/>
  <c r="BA176" i="1"/>
  <c r="BA168" i="1"/>
  <c r="BA160" i="1"/>
  <c r="BA120" i="1"/>
  <c r="BA112" i="1"/>
  <c r="BA104" i="1"/>
  <c r="BA96" i="1"/>
  <c r="BA56" i="1"/>
  <c r="BA48" i="1"/>
  <c r="BA40" i="1"/>
  <c r="BA32" i="1"/>
  <c r="AY571" i="1"/>
  <c r="AY567" i="1"/>
  <c r="AY563" i="1"/>
  <c r="AY559" i="1"/>
  <c r="AY555" i="1"/>
  <c r="AY551" i="1"/>
  <c r="AY547" i="1"/>
  <c r="AY543" i="1"/>
  <c r="AY539" i="1"/>
  <c r="AY535" i="1"/>
  <c r="AY531" i="1"/>
  <c r="AY527" i="1"/>
  <c r="AY523" i="1"/>
  <c r="AY519" i="1"/>
  <c r="AY515" i="1"/>
  <c r="AY511" i="1"/>
  <c r="AY507" i="1"/>
  <c r="AY503" i="1"/>
  <c r="AY499" i="1"/>
  <c r="AY495" i="1"/>
  <c r="AY491" i="1"/>
  <c r="AY487" i="1"/>
  <c r="AY483" i="1"/>
  <c r="AY479" i="1"/>
  <c r="AY475" i="1"/>
  <c r="AY471" i="1"/>
  <c r="AY466" i="1"/>
  <c r="AY461" i="1"/>
  <c r="AY456" i="1"/>
  <c r="AY450" i="1"/>
  <c r="AY445" i="1"/>
  <c r="AY440" i="1"/>
  <c r="AY434" i="1"/>
  <c r="AY429" i="1"/>
  <c r="AY424" i="1"/>
  <c r="AY418" i="1"/>
  <c r="AY413" i="1"/>
  <c r="AY408" i="1"/>
  <c r="AY402" i="1"/>
  <c r="AY397" i="1"/>
  <c r="AY392" i="1"/>
  <c r="AY386" i="1"/>
  <c r="AY381" i="1"/>
  <c r="AY376" i="1"/>
  <c r="AY368" i="1"/>
  <c r="AY361" i="1"/>
  <c r="AY355" i="1"/>
  <c r="AY347" i="1"/>
  <c r="AY340" i="1"/>
  <c r="AY333" i="1"/>
  <c r="AY325" i="1"/>
  <c r="AY319" i="1"/>
  <c r="AY312" i="1"/>
  <c r="AY304" i="1"/>
  <c r="AY297" i="1"/>
  <c r="AY291" i="1"/>
  <c r="AY281" i="1"/>
  <c r="AY271" i="1"/>
  <c r="AY260" i="1"/>
  <c r="AY249" i="1"/>
  <c r="AY239" i="1"/>
  <c r="AY228" i="1"/>
  <c r="AY217" i="1"/>
  <c r="AY207" i="1"/>
  <c r="AY195" i="1"/>
  <c r="AY180" i="1"/>
  <c r="AY167" i="1"/>
  <c r="AY152" i="1"/>
  <c r="AY138" i="1"/>
  <c r="AY124" i="1"/>
  <c r="AY110" i="1"/>
  <c r="AY95" i="1"/>
  <c r="AY82" i="1"/>
  <c r="AY67" i="1"/>
  <c r="AY52" i="1"/>
  <c r="AY39" i="1"/>
  <c r="AY24" i="1"/>
  <c r="AY10" i="1"/>
  <c r="AN51" i="1"/>
  <c r="AN47" i="1"/>
  <c r="AN43" i="1"/>
  <c r="AN39" i="1"/>
  <c r="AN35" i="1"/>
  <c r="AN31" i="1"/>
  <c r="AN27" i="1"/>
  <c r="AN23" i="1"/>
  <c r="AN19" i="1"/>
  <c r="AN15" i="1"/>
  <c r="AN11" i="1"/>
  <c r="AN7" i="1"/>
  <c r="AN3" i="1"/>
  <c r="AN571" i="1"/>
  <c r="AN567" i="1"/>
  <c r="AN563" i="1"/>
  <c r="AN559" i="1"/>
  <c r="AN555" i="1"/>
  <c r="AN551" i="1"/>
  <c r="AN547" i="1"/>
  <c r="AN543" i="1"/>
  <c r="AN539" i="1"/>
  <c r="AN535" i="1"/>
  <c r="AN531" i="1"/>
  <c r="AN527" i="1"/>
  <c r="AN523" i="1"/>
  <c r="AN519" i="1"/>
  <c r="AN515" i="1"/>
  <c r="AN511" i="1"/>
  <c r="AN507" i="1"/>
  <c r="AN503" i="1"/>
  <c r="AN499" i="1"/>
  <c r="AN495" i="1"/>
  <c r="AN491" i="1"/>
  <c r="AN487" i="1"/>
  <c r="AN483" i="1"/>
  <c r="AN479" i="1"/>
  <c r="AN475" i="1"/>
  <c r="AN471" i="1"/>
  <c r="AN467" i="1"/>
  <c r="AN463" i="1"/>
  <c r="AN459" i="1"/>
  <c r="AN455" i="1"/>
  <c r="AN451" i="1"/>
  <c r="AN447" i="1"/>
  <c r="AN443" i="1"/>
  <c r="AN439" i="1"/>
  <c r="AN435" i="1"/>
  <c r="AN431" i="1"/>
  <c r="AN427" i="1"/>
  <c r="AN423" i="1"/>
  <c r="AN419" i="1"/>
  <c r="AN415" i="1"/>
  <c r="AN411" i="1"/>
  <c r="AN407" i="1"/>
  <c r="AN403" i="1"/>
  <c r="AN399" i="1"/>
  <c r="AN395" i="1"/>
  <c r="AN391" i="1"/>
  <c r="AN387" i="1"/>
  <c r="AN383" i="1"/>
  <c r="AN379" i="1"/>
  <c r="AN375" i="1"/>
  <c r="AN371" i="1"/>
  <c r="AN367" i="1"/>
  <c r="AN363" i="1"/>
  <c r="AN359" i="1"/>
  <c r="AN355" i="1"/>
  <c r="AN351" i="1"/>
  <c r="AN347" i="1"/>
  <c r="AN343" i="1"/>
  <c r="AN339" i="1"/>
  <c r="AN335" i="1"/>
  <c r="AN331" i="1"/>
  <c r="AN327" i="1"/>
  <c r="AN323" i="1"/>
  <c r="AN319" i="1"/>
  <c r="AN315" i="1"/>
  <c r="AN311" i="1"/>
  <c r="AN307" i="1"/>
  <c r="AN303" i="1"/>
  <c r="AN299" i="1"/>
  <c r="AN295" i="1"/>
  <c r="AN291" i="1"/>
  <c r="AN287" i="1"/>
  <c r="AN283" i="1"/>
  <c r="AN279" i="1"/>
  <c r="AN275" i="1"/>
  <c r="AN271" i="1"/>
  <c r="AN267" i="1"/>
  <c r="AN263" i="1"/>
  <c r="AN259" i="1"/>
  <c r="AN255" i="1"/>
  <c r="AN251" i="1"/>
  <c r="AN247" i="1"/>
  <c r="AN243" i="1"/>
  <c r="AN239" i="1"/>
  <c r="AN235" i="1"/>
  <c r="AN231" i="1"/>
  <c r="AN227" i="1"/>
  <c r="AN223" i="1"/>
  <c r="AN219" i="1"/>
  <c r="AN215" i="1"/>
  <c r="AN211" i="1"/>
  <c r="AN207" i="1"/>
  <c r="AN203" i="1"/>
  <c r="AN199" i="1"/>
  <c r="AN195" i="1"/>
  <c r="AN191" i="1"/>
  <c r="AN187" i="1"/>
  <c r="AN183" i="1"/>
  <c r="AN179" i="1"/>
  <c r="AN175" i="1"/>
  <c r="AN171" i="1"/>
  <c r="AN167" i="1"/>
  <c r="AN163" i="1"/>
  <c r="AN159" i="1"/>
  <c r="AN155" i="1"/>
  <c r="AN151" i="1"/>
  <c r="AN147" i="1"/>
  <c r="AN143" i="1"/>
  <c r="AN139" i="1"/>
  <c r="AN135" i="1"/>
  <c r="AN131" i="1"/>
  <c r="AN127" i="1"/>
  <c r="AN123" i="1"/>
  <c r="AN119" i="1"/>
  <c r="AN115" i="1"/>
  <c r="AN111" i="1"/>
  <c r="AN107" i="1"/>
  <c r="AN103" i="1"/>
  <c r="AN99" i="1"/>
  <c r="AN95" i="1"/>
  <c r="AN91" i="1"/>
  <c r="AN87" i="1"/>
  <c r="AN83" i="1"/>
  <c r="AN79" i="1"/>
  <c r="AN75" i="1"/>
  <c r="AN71" i="1"/>
  <c r="AN67" i="1"/>
  <c r="AN63" i="1"/>
  <c r="AN59" i="1"/>
  <c r="AN55" i="1"/>
  <c r="AN565" i="1"/>
  <c r="AN557" i="1"/>
  <c r="AN553" i="1"/>
  <c r="AN549" i="1"/>
  <c r="AN537" i="1"/>
  <c r="AN529" i="1"/>
  <c r="AN525" i="1"/>
  <c r="AN513" i="1"/>
  <c r="AN509" i="1"/>
  <c r="AN501" i="1"/>
  <c r="AN493" i="1"/>
  <c r="AN485" i="1"/>
  <c r="AN477" i="1"/>
  <c r="AN465" i="1"/>
  <c r="AN461" i="1"/>
  <c r="AN449" i="1"/>
  <c r="AN441" i="1"/>
  <c r="AN437" i="1"/>
  <c r="AN425" i="1"/>
  <c r="AN417" i="1"/>
  <c r="AN409" i="1"/>
  <c r="AN401" i="1"/>
  <c r="AN393" i="1"/>
  <c r="AN385" i="1"/>
  <c r="AN377" i="1"/>
  <c r="AN373" i="1"/>
  <c r="AN365" i="1"/>
  <c r="AN357" i="1"/>
  <c r="AN349" i="1"/>
  <c r="AN341" i="1"/>
  <c r="AN329" i="1"/>
  <c r="AN321" i="1"/>
  <c r="AN313" i="1"/>
  <c r="AN305" i="1"/>
  <c r="AN297" i="1"/>
  <c r="AN289" i="1"/>
  <c r="AN281" i="1"/>
  <c r="AN273" i="1"/>
  <c r="AN265" i="1"/>
  <c r="AN257" i="1"/>
  <c r="AN249" i="1"/>
  <c r="AN241" i="1"/>
  <c r="AN233" i="1"/>
  <c r="AN225" i="1"/>
  <c r="AN217" i="1"/>
  <c r="AN209" i="1"/>
  <c r="AN201" i="1"/>
  <c r="AN197" i="1"/>
  <c r="AN189" i="1"/>
  <c r="AN177" i="1"/>
  <c r="AN169" i="1"/>
  <c r="AN161" i="1"/>
  <c r="AN153" i="1"/>
  <c r="AN145" i="1"/>
  <c r="AN137" i="1"/>
  <c r="AN129" i="1"/>
  <c r="AN121" i="1"/>
  <c r="AN113" i="1"/>
  <c r="AN105" i="1"/>
  <c r="AN97" i="1"/>
  <c r="AN89" i="1"/>
  <c r="AN81" i="1"/>
  <c r="AN73" i="1"/>
  <c r="AN61" i="1"/>
  <c r="AN569" i="1"/>
  <c r="AN561" i="1"/>
  <c r="AN545" i="1"/>
  <c r="AN541" i="1"/>
  <c r="AN533" i="1"/>
  <c r="AN521" i="1"/>
  <c r="AN517" i="1"/>
  <c r="AN505" i="1"/>
  <c r="AN497" i="1"/>
  <c r="AN489" i="1"/>
  <c r="AN481" i="1"/>
  <c r="AN473" i="1"/>
  <c r="AN469" i="1"/>
  <c r="AN457" i="1"/>
  <c r="AN453" i="1"/>
  <c r="AN445" i="1"/>
  <c r="AN433" i="1"/>
  <c r="AN429" i="1"/>
  <c r="AN421" i="1"/>
  <c r="AN413" i="1"/>
  <c r="AN405" i="1"/>
  <c r="AN397" i="1"/>
  <c r="AN389" i="1"/>
  <c r="AN381" i="1"/>
  <c r="AN369" i="1"/>
  <c r="AN361" i="1"/>
  <c r="AN353" i="1"/>
  <c r="AN345" i="1"/>
  <c r="AN337" i="1"/>
  <c r="AN333" i="1"/>
  <c r="AN325" i="1"/>
  <c r="AN317" i="1"/>
  <c r="AN309" i="1"/>
  <c r="AN301" i="1"/>
  <c r="AN293" i="1"/>
  <c r="AN285" i="1"/>
  <c r="AN277" i="1"/>
  <c r="AN269" i="1"/>
  <c r="AN261" i="1"/>
  <c r="AN253" i="1"/>
  <c r="AN245" i="1"/>
  <c r="AN237" i="1"/>
  <c r="AN229" i="1"/>
  <c r="AN221" i="1"/>
  <c r="AN213" i="1"/>
  <c r="AN205" i="1"/>
  <c r="AN193" i="1"/>
  <c r="AN185" i="1"/>
  <c r="AN181" i="1"/>
  <c r="AN173" i="1"/>
  <c r="AN165" i="1"/>
  <c r="AN157" i="1"/>
  <c r="AN149" i="1"/>
  <c r="AN141" i="1"/>
  <c r="AN133" i="1"/>
  <c r="AN125" i="1"/>
  <c r="AN117" i="1"/>
  <c r="AN109" i="1"/>
  <c r="AN101" i="1"/>
  <c r="AN93" i="1"/>
  <c r="AN85" i="1"/>
  <c r="AN77" i="1"/>
  <c r="AN69" i="1"/>
  <c r="AN65" i="1"/>
  <c r="AN57" i="1"/>
  <c r="AN53" i="1"/>
  <c r="AN49" i="1"/>
  <c r="AN45" i="1"/>
  <c r="AN41" i="1"/>
  <c r="AN37" i="1"/>
  <c r="AN33" i="1"/>
  <c r="AN29" i="1"/>
  <c r="AN25" i="1"/>
  <c r="AN21" i="1"/>
  <c r="AN17" i="1"/>
  <c r="AN13" i="1"/>
  <c r="AN9" i="1"/>
  <c r="AN5" i="1"/>
  <c r="AN570" i="1"/>
  <c r="AN566" i="1"/>
  <c r="AN562" i="1"/>
  <c r="AN558" i="1"/>
  <c r="AN554" i="1"/>
  <c r="AN550" i="1"/>
  <c r="AN546" i="1"/>
  <c r="AN542" i="1"/>
  <c r="AN538" i="1"/>
  <c r="AN534" i="1"/>
  <c r="AN530" i="1"/>
  <c r="AN526" i="1"/>
  <c r="AN522" i="1"/>
  <c r="AN518" i="1"/>
  <c r="AN514" i="1"/>
  <c r="AN510" i="1"/>
  <c r="AN506" i="1"/>
  <c r="AN502" i="1"/>
  <c r="AN498" i="1"/>
  <c r="AN494" i="1"/>
  <c r="AN490" i="1"/>
  <c r="AN486" i="1"/>
  <c r="AN482" i="1"/>
  <c r="AN478" i="1"/>
  <c r="AN474" i="1"/>
  <c r="AN470" i="1"/>
  <c r="AN466" i="1"/>
  <c r="AN462" i="1"/>
  <c r="AN226" i="1"/>
  <c r="AN162" i="1"/>
  <c r="AN2" i="1"/>
  <c r="AN52" i="1"/>
  <c r="AN48" i="1"/>
  <c r="AN44" i="1"/>
  <c r="AN40" i="1"/>
  <c r="AN36" i="1"/>
  <c r="AN32" i="1"/>
  <c r="AN28" i="1"/>
  <c r="AN24" i="1"/>
  <c r="AN20" i="1"/>
  <c r="AN16" i="1"/>
  <c r="AN12" i="1"/>
  <c r="AN8" i="1"/>
  <c r="AN4" i="1"/>
  <c r="AN338" i="1"/>
  <c r="AN322" i="1"/>
  <c r="AN306" i="1"/>
  <c r="AN290" i="1"/>
  <c r="AN274" i="1"/>
  <c r="AN258" i="1"/>
  <c r="AN242" i="1"/>
  <c r="AN210" i="1"/>
  <c r="AN194" i="1"/>
  <c r="AN178" i="1"/>
  <c r="AN146" i="1"/>
  <c r="AN130" i="1"/>
  <c r="AN114" i="1"/>
  <c r="AN98" i="1"/>
  <c r="AN82" i="1"/>
  <c r="AN66" i="1"/>
  <c r="AN50" i="1"/>
  <c r="AN34" i="1"/>
  <c r="AN18" i="1"/>
  <c r="AN458" i="1"/>
  <c r="AN454" i="1"/>
  <c r="AN450" i="1"/>
  <c r="AN446" i="1"/>
  <c r="AN442" i="1"/>
  <c r="AN438" i="1"/>
  <c r="AN434" i="1"/>
  <c r="AN430" i="1"/>
  <c r="AN426" i="1"/>
  <c r="AN422" i="1"/>
  <c r="AN418" i="1"/>
  <c r="AN414" i="1"/>
  <c r="AN410" i="1"/>
  <c r="AN406" i="1"/>
  <c r="AN402" i="1"/>
  <c r="AN398" i="1"/>
  <c r="AN394" i="1"/>
  <c r="AN390" i="1"/>
  <c r="AN386" i="1"/>
  <c r="AN382" i="1"/>
  <c r="AN378" i="1"/>
  <c r="AN374" i="1"/>
  <c r="AN370" i="1"/>
  <c r="AN366" i="1"/>
  <c r="AN362" i="1"/>
  <c r="AN358" i="1"/>
  <c r="AN354" i="1"/>
  <c r="AN350" i="1"/>
  <c r="AN346" i="1"/>
  <c r="AN342" i="1"/>
  <c r="AN334" i="1"/>
  <c r="AN330" i="1"/>
  <c r="AN326" i="1"/>
  <c r="AN318" i="1"/>
  <c r="AN314" i="1"/>
  <c r="AN310" i="1"/>
  <c r="AN302" i="1"/>
  <c r="AN298" i="1"/>
  <c r="AN294" i="1"/>
  <c r="AN286" i="1"/>
  <c r="AN282" i="1"/>
  <c r="AN278" i="1"/>
  <c r="AN270" i="1"/>
  <c r="AN266" i="1"/>
  <c r="AN262" i="1"/>
  <c r="AN254" i="1"/>
  <c r="AN250" i="1"/>
  <c r="AN246" i="1"/>
  <c r="AN238" i="1"/>
  <c r="AN234" i="1"/>
  <c r="AN230" i="1"/>
  <c r="AN222" i="1"/>
  <c r="AN218" i="1"/>
  <c r="AN214" i="1"/>
  <c r="AN206" i="1"/>
  <c r="AN202" i="1"/>
  <c r="AN198" i="1"/>
  <c r="AN190" i="1"/>
  <c r="AN186" i="1"/>
  <c r="AN182" i="1"/>
  <c r="AN174" i="1"/>
  <c r="AN170" i="1"/>
  <c r="AN166" i="1"/>
  <c r="AN158" i="1"/>
  <c r="AN154" i="1"/>
  <c r="AN150" i="1"/>
  <c r="AN142" i="1"/>
  <c r="AN138" i="1"/>
  <c r="AN134" i="1"/>
  <c r="AN126" i="1"/>
  <c r="AN122" i="1"/>
  <c r="AN118" i="1"/>
  <c r="AN110" i="1"/>
  <c r="AN106" i="1"/>
  <c r="AN102" i="1"/>
  <c r="AN94" i="1"/>
  <c r="AN90" i="1"/>
  <c r="AN86" i="1"/>
  <c r="AN78" i="1"/>
  <c r="AN74" i="1"/>
  <c r="AN70" i="1"/>
  <c r="AN62" i="1"/>
  <c r="AN58" i="1"/>
  <c r="AN54" i="1"/>
  <c r="AN46" i="1"/>
  <c r="AN42" i="1"/>
  <c r="AN38" i="1"/>
  <c r="AN30" i="1"/>
  <c r="AN26" i="1"/>
  <c r="AN22" i="1"/>
  <c r="AN14" i="1"/>
  <c r="AN10" i="1"/>
  <c r="AN6" i="1"/>
  <c r="AN568" i="1"/>
  <c r="AN564" i="1"/>
  <c r="AN560" i="1"/>
  <c r="AN556" i="1"/>
  <c r="AN552" i="1"/>
  <c r="AN548" i="1"/>
  <c r="AN544" i="1"/>
  <c r="AN540" i="1"/>
  <c r="AN536" i="1"/>
  <c r="AN532" i="1"/>
  <c r="AN528" i="1"/>
  <c r="AN524" i="1"/>
  <c r="AN520" i="1"/>
  <c r="AN516" i="1"/>
  <c r="AN512" i="1"/>
  <c r="AN508" i="1"/>
  <c r="AN504" i="1"/>
  <c r="AN500" i="1"/>
  <c r="AN496" i="1"/>
  <c r="AN492" i="1"/>
  <c r="AN488" i="1"/>
  <c r="AN484" i="1"/>
  <c r="AN480" i="1"/>
  <c r="AN476" i="1"/>
  <c r="AN472" i="1"/>
  <c r="AN468" i="1"/>
  <c r="AN464" i="1"/>
  <c r="AN460" i="1"/>
  <c r="AN456" i="1"/>
  <c r="AN452" i="1"/>
  <c r="AN448" i="1"/>
  <c r="AN444" i="1"/>
  <c r="AN440" i="1"/>
  <c r="AN436" i="1"/>
  <c r="AN432" i="1"/>
  <c r="AN428" i="1"/>
  <c r="AN424" i="1"/>
  <c r="AN420" i="1"/>
  <c r="AN416" i="1"/>
  <c r="AN412" i="1"/>
  <c r="AN408" i="1"/>
  <c r="AN404" i="1"/>
  <c r="AN400" i="1"/>
  <c r="AN396" i="1"/>
  <c r="AN392" i="1"/>
  <c r="AN388" i="1"/>
  <c r="AN384" i="1"/>
  <c r="AN380" i="1"/>
  <c r="AN376" i="1"/>
  <c r="AN372" i="1"/>
  <c r="AN368" i="1"/>
  <c r="AN364" i="1"/>
  <c r="AN360" i="1"/>
  <c r="AN356" i="1"/>
  <c r="AN352" i="1"/>
  <c r="AN348" i="1"/>
  <c r="AN344" i="1"/>
  <c r="AN340" i="1"/>
  <c r="AN336" i="1"/>
  <c r="AN332" i="1"/>
  <c r="AN328" i="1"/>
  <c r="AN324" i="1"/>
  <c r="AN320" i="1"/>
  <c r="AN316" i="1"/>
  <c r="AN312" i="1"/>
  <c r="AN308" i="1"/>
  <c r="AN304" i="1"/>
  <c r="AN300" i="1"/>
  <c r="AN296" i="1"/>
  <c r="AN292" i="1"/>
  <c r="AN288" i="1"/>
  <c r="AN284" i="1"/>
  <c r="AN280" i="1"/>
  <c r="AN276" i="1"/>
  <c r="AN272" i="1"/>
  <c r="AN268" i="1"/>
  <c r="AN264" i="1"/>
  <c r="AN260" i="1"/>
  <c r="AN256" i="1"/>
  <c r="AN252" i="1"/>
  <c r="AN248" i="1"/>
  <c r="AN244" i="1"/>
  <c r="AN240" i="1"/>
  <c r="AN236" i="1"/>
  <c r="AN232" i="1"/>
  <c r="AN228" i="1"/>
  <c r="AN224" i="1"/>
  <c r="AN220" i="1"/>
  <c r="AN216" i="1"/>
  <c r="AN212" i="1"/>
  <c r="AN208" i="1"/>
  <c r="AN204" i="1"/>
  <c r="AN200" i="1"/>
  <c r="AN196" i="1"/>
  <c r="AN192" i="1"/>
  <c r="AN188" i="1"/>
  <c r="AN184" i="1"/>
  <c r="AN180" i="1"/>
  <c r="AN176" i="1"/>
  <c r="AN172" i="1"/>
  <c r="AN168" i="1"/>
  <c r="AN164" i="1"/>
  <c r="AN160" i="1"/>
  <c r="AN156" i="1"/>
  <c r="AN152" i="1"/>
  <c r="AN148" i="1"/>
  <c r="AN144" i="1"/>
  <c r="AN140" i="1"/>
  <c r="AN136" i="1"/>
  <c r="AN132" i="1"/>
  <c r="AN128" i="1"/>
  <c r="AN124" i="1"/>
  <c r="AN120" i="1"/>
  <c r="AN116" i="1"/>
  <c r="AN112" i="1"/>
  <c r="AN108" i="1"/>
  <c r="AN104" i="1"/>
  <c r="AN100" i="1"/>
  <c r="AN96" i="1"/>
  <c r="AN92" i="1"/>
  <c r="AN88" i="1"/>
  <c r="AN84" i="1"/>
  <c r="AN80" i="1"/>
  <c r="AN76" i="1"/>
  <c r="AN72" i="1"/>
  <c r="AN68" i="1"/>
  <c r="AN64" i="1"/>
  <c r="AN60" i="1"/>
  <c r="AN56" i="1"/>
  <c r="AH322" i="1"/>
  <c r="AH258" i="1"/>
  <c r="AH194" i="1"/>
  <c r="AH130" i="1"/>
  <c r="AH98" i="1"/>
  <c r="AH82" i="1"/>
  <c r="AH66" i="1"/>
  <c r="AH50" i="1"/>
  <c r="AH34" i="1"/>
  <c r="AH18" i="1"/>
  <c r="AH561" i="1"/>
  <c r="AH545" i="1"/>
  <c r="AH529" i="1"/>
  <c r="AH513" i="1"/>
  <c r="AH497" i="1"/>
  <c r="AH481" i="1"/>
  <c r="AH465" i="1"/>
  <c r="AH449" i="1"/>
  <c r="AH433" i="1"/>
  <c r="AH417" i="1"/>
  <c r="AH401" i="1"/>
  <c r="AH385" i="1"/>
  <c r="AH369" i="1"/>
  <c r="AH353" i="1"/>
  <c r="AH2" i="1"/>
  <c r="AH568" i="1"/>
  <c r="AH564" i="1"/>
  <c r="AH560" i="1"/>
  <c r="AH556" i="1"/>
  <c r="AH552" i="1"/>
  <c r="AH548" i="1"/>
  <c r="AH544" i="1"/>
  <c r="AH540" i="1"/>
  <c r="AH536" i="1"/>
  <c r="AH532" i="1"/>
  <c r="AH528" i="1"/>
  <c r="AH524" i="1"/>
  <c r="AH520" i="1"/>
  <c r="AH516" i="1"/>
  <c r="AH512" i="1"/>
  <c r="AH508" i="1"/>
  <c r="AH504" i="1"/>
  <c r="AH500" i="1"/>
  <c r="AH496" i="1"/>
  <c r="AH492" i="1"/>
  <c r="AH488" i="1"/>
  <c r="AH484" i="1"/>
  <c r="AH480" i="1"/>
  <c r="AH476" i="1"/>
  <c r="AH472" i="1"/>
  <c r="AH468" i="1"/>
  <c r="AH464" i="1"/>
  <c r="AH460" i="1"/>
  <c r="AH456" i="1"/>
  <c r="AH452" i="1"/>
  <c r="AH448" i="1"/>
  <c r="AH444" i="1"/>
  <c r="AH440" i="1"/>
  <c r="AH436" i="1"/>
  <c r="AH432" i="1"/>
  <c r="AH428" i="1"/>
  <c r="AH424" i="1"/>
  <c r="AH420" i="1"/>
  <c r="AH416" i="1"/>
  <c r="AH412" i="1"/>
  <c r="AH408" i="1"/>
  <c r="AH404" i="1"/>
  <c r="AH400" i="1"/>
  <c r="AH396" i="1"/>
  <c r="AH392" i="1"/>
  <c r="AH388" i="1"/>
  <c r="AH384" i="1"/>
  <c r="AH380" i="1"/>
  <c r="AH376" i="1"/>
  <c r="AH372" i="1"/>
  <c r="AH368" i="1"/>
  <c r="AH364" i="1"/>
  <c r="AH360" i="1"/>
  <c r="AH356" i="1"/>
  <c r="AH352" i="1"/>
  <c r="AH348" i="1"/>
  <c r="AH344" i="1"/>
  <c r="AH340" i="1"/>
  <c r="AH336" i="1"/>
  <c r="AH332" i="1"/>
  <c r="AH328" i="1"/>
  <c r="AH324" i="1"/>
  <c r="AH320" i="1"/>
  <c r="AH316" i="1"/>
  <c r="AH312" i="1"/>
  <c r="AH308" i="1"/>
  <c r="AH304" i="1"/>
  <c r="AH300" i="1"/>
  <c r="AH296" i="1"/>
  <c r="AH292" i="1"/>
  <c r="AH288" i="1"/>
  <c r="AH284" i="1"/>
  <c r="AH280" i="1"/>
  <c r="AH276" i="1"/>
  <c r="AH272" i="1"/>
  <c r="AH268" i="1"/>
  <c r="AH264" i="1"/>
  <c r="AH260" i="1"/>
  <c r="AH256" i="1"/>
  <c r="AH252" i="1"/>
  <c r="AH248" i="1"/>
  <c r="AH244" i="1"/>
  <c r="AH240" i="1"/>
  <c r="AH236" i="1"/>
  <c r="AH232" i="1"/>
  <c r="AH228" i="1"/>
  <c r="AH224" i="1"/>
  <c r="AH220" i="1"/>
  <c r="AH216" i="1"/>
  <c r="AH212" i="1"/>
  <c r="AH208" i="1"/>
  <c r="AH204" i="1"/>
  <c r="AH200" i="1"/>
  <c r="AH196" i="1"/>
  <c r="AH192" i="1"/>
  <c r="AH188" i="1"/>
  <c r="AH184" i="1"/>
  <c r="AH180" i="1"/>
  <c r="AH176" i="1"/>
  <c r="AH172" i="1"/>
  <c r="AH168" i="1"/>
  <c r="AH164" i="1"/>
  <c r="AH160" i="1"/>
  <c r="AH156" i="1"/>
  <c r="AH152" i="1"/>
  <c r="AH148" i="1"/>
  <c r="AH144" i="1"/>
  <c r="AH140" i="1"/>
  <c r="AH136" i="1"/>
  <c r="AH132" i="1"/>
  <c r="AH128" i="1"/>
  <c r="AH124" i="1"/>
  <c r="AH120" i="1"/>
  <c r="AH116" i="1"/>
  <c r="AH112" i="1"/>
  <c r="AH108" i="1"/>
  <c r="AH104" i="1"/>
  <c r="AH100" i="1"/>
  <c r="AH96" i="1"/>
  <c r="AH92" i="1"/>
  <c r="AH88" i="1"/>
  <c r="AH84" i="1"/>
  <c r="AH80" i="1"/>
  <c r="AH76" i="1"/>
  <c r="AH72" i="1"/>
  <c r="AH68" i="1"/>
  <c r="AH64" i="1"/>
  <c r="AH60" i="1"/>
  <c r="AH56" i="1"/>
  <c r="AH52" i="1"/>
  <c r="AH48" i="1"/>
  <c r="AH44" i="1"/>
  <c r="AH40" i="1"/>
  <c r="AH36" i="1"/>
  <c r="AH32" i="1"/>
  <c r="AH28" i="1"/>
  <c r="AH24" i="1"/>
  <c r="AH20" i="1"/>
  <c r="AH16" i="1"/>
  <c r="AH12" i="1"/>
  <c r="AH8" i="1"/>
  <c r="AH4" i="1"/>
  <c r="AH338" i="1"/>
  <c r="AH306" i="1"/>
  <c r="AH290" i="1"/>
  <c r="AH274" i="1"/>
  <c r="AH242" i="1"/>
  <c r="AH226" i="1"/>
  <c r="AH210" i="1"/>
  <c r="AH178" i="1"/>
  <c r="AH162" i="1"/>
  <c r="AH146" i="1"/>
  <c r="AH114" i="1"/>
  <c r="AH569" i="1"/>
  <c r="AH565" i="1"/>
  <c r="AH557" i="1"/>
  <c r="AH553" i="1"/>
  <c r="AH549" i="1"/>
  <c r="AH541" i="1"/>
  <c r="AH537" i="1"/>
  <c r="AH533" i="1"/>
  <c r="AH525" i="1"/>
  <c r="AH521" i="1"/>
  <c r="AH517" i="1"/>
  <c r="AH509" i="1"/>
  <c r="AH505" i="1"/>
  <c r="AH501" i="1"/>
  <c r="AH493" i="1"/>
  <c r="AH489" i="1"/>
  <c r="AH485" i="1"/>
  <c r="AH477" i="1"/>
  <c r="AH473" i="1"/>
  <c r="AH469" i="1"/>
  <c r="AH461" i="1"/>
  <c r="AH457" i="1"/>
  <c r="AH453" i="1"/>
  <c r="AH445" i="1"/>
  <c r="AH441" i="1"/>
  <c r="AH437" i="1"/>
  <c r="AH429" i="1"/>
  <c r="AH425" i="1"/>
  <c r="AH421" i="1"/>
  <c r="AH413" i="1"/>
  <c r="AH409" i="1"/>
  <c r="AH405" i="1"/>
  <c r="AH397" i="1"/>
  <c r="AH393" i="1"/>
  <c r="AH389" i="1"/>
  <c r="AH381" i="1"/>
  <c r="AH377" i="1"/>
  <c r="AH373" i="1"/>
  <c r="AH365" i="1"/>
  <c r="AH361" i="1"/>
  <c r="AH357" i="1"/>
  <c r="AH349" i="1"/>
  <c r="AH345" i="1"/>
  <c r="AH571" i="1"/>
  <c r="AH567" i="1"/>
  <c r="AH563" i="1"/>
  <c r="AH559" i="1"/>
  <c r="AH555" i="1"/>
  <c r="AH551" i="1"/>
  <c r="AH547" i="1"/>
  <c r="AH543" i="1"/>
  <c r="AH539" i="1"/>
  <c r="AH535" i="1"/>
  <c r="AH531" i="1"/>
  <c r="AH527" i="1"/>
  <c r="AH523" i="1"/>
  <c r="AH519" i="1"/>
  <c r="AH515" i="1"/>
  <c r="AH511" i="1"/>
  <c r="AH507" i="1"/>
  <c r="AH503" i="1"/>
  <c r="AH499" i="1"/>
  <c r="AH495" i="1"/>
  <c r="AH491" i="1"/>
  <c r="AH487" i="1"/>
  <c r="AH483" i="1"/>
  <c r="AH479" i="1"/>
  <c r="AH475" i="1"/>
  <c r="AH471" i="1"/>
  <c r="AH467" i="1"/>
  <c r="AH463" i="1"/>
  <c r="AH459" i="1"/>
  <c r="AH455" i="1"/>
  <c r="AH451" i="1"/>
  <c r="AH447" i="1"/>
  <c r="AH443" i="1"/>
  <c r="AH439" i="1"/>
  <c r="AH435" i="1"/>
  <c r="AH431" i="1"/>
  <c r="AH427" i="1"/>
  <c r="AH423" i="1"/>
  <c r="AH419" i="1"/>
  <c r="AH415" i="1"/>
  <c r="AH411" i="1"/>
  <c r="AH407" i="1"/>
  <c r="AH403" i="1"/>
  <c r="AH399" i="1"/>
  <c r="AH395" i="1"/>
  <c r="AH391" i="1"/>
  <c r="AH387" i="1"/>
  <c r="AH383" i="1"/>
  <c r="AH379" i="1"/>
  <c r="AH375" i="1"/>
  <c r="AH371" i="1"/>
  <c r="AH367" i="1"/>
  <c r="AH363" i="1"/>
  <c r="AH359" i="1"/>
  <c r="AH355" i="1"/>
  <c r="AH351" i="1"/>
  <c r="AH347" i="1"/>
  <c r="AH343" i="1"/>
  <c r="AH339" i="1"/>
  <c r="AH335" i="1"/>
  <c r="AH331" i="1"/>
  <c r="AH327" i="1"/>
  <c r="AH323" i="1"/>
  <c r="AH319" i="1"/>
  <c r="AH315" i="1"/>
  <c r="AH311" i="1"/>
  <c r="AH307" i="1"/>
  <c r="AH303" i="1"/>
  <c r="AH299" i="1"/>
  <c r="AH295" i="1"/>
  <c r="AH291" i="1"/>
  <c r="AH287" i="1"/>
  <c r="AH283" i="1"/>
  <c r="AH279" i="1"/>
  <c r="AH275" i="1"/>
  <c r="AH271" i="1"/>
  <c r="AH267" i="1"/>
  <c r="AH263" i="1"/>
  <c r="AH259" i="1"/>
  <c r="AH255" i="1"/>
  <c r="AH251" i="1"/>
  <c r="AH247" i="1"/>
  <c r="AH243" i="1"/>
  <c r="AH239" i="1"/>
  <c r="AH235" i="1"/>
  <c r="AH231" i="1"/>
  <c r="AH227" i="1"/>
  <c r="AH223" i="1"/>
  <c r="AH219" i="1"/>
  <c r="AH215" i="1"/>
  <c r="AH211" i="1"/>
  <c r="AH207" i="1"/>
  <c r="AH203" i="1"/>
  <c r="AH199" i="1"/>
  <c r="AH195" i="1"/>
  <c r="AH191" i="1"/>
  <c r="AH187" i="1"/>
  <c r="AH183" i="1"/>
  <c r="AH179" i="1"/>
  <c r="AH175" i="1"/>
  <c r="AH171" i="1"/>
  <c r="AH167" i="1"/>
  <c r="AH163" i="1"/>
  <c r="AH159" i="1"/>
  <c r="AH155" i="1"/>
  <c r="AH151" i="1"/>
  <c r="AH147" i="1"/>
  <c r="AH143" i="1"/>
  <c r="AH139" i="1"/>
  <c r="AH135" i="1"/>
  <c r="AH131" i="1"/>
  <c r="AH127" i="1"/>
  <c r="AH123" i="1"/>
  <c r="AH119" i="1"/>
  <c r="AH115" i="1"/>
  <c r="AH111" i="1"/>
  <c r="AH107" i="1"/>
  <c r="AH103" i="1"/>
  <c r="AH99" i="1"/>
  <c r="AH95" i="1"/>
  <c r="AH91" i="1"/>
  <c r="AH87" i="1"/>
  <c r="AH83" i="1"/>
  <c r="AH79" i="1"/>
  <c r="AH75" i="1"/>
  <c r="AH71" i="1"/>
  <c r="AH67" i="1"/>
  <c r="AH63" i="1"/>
  <c r="AH59" i="1"/>
  <c r="AH55" i="1"/>
  <c r="AH51" i="1"/>
  <c r="AH47" i="1"/>
  <c r="AH43" i="1"/>
  <c r="AH39" i="1"/>
  <c r="AH35" i="1"/>
  <c r="AH31" i="1"/>
  <c r="AH570" i="1"/>
  <c r="AH566" i="1"/>
  <c r="AH562" i="1"/>
  <c r="AH558" i="1"/>
  <c r="AH554" i="1"/>
  <c r="AH550" i="1"/>
  <c r="AH546" i="1"/>
  <c r="AH542" i="1"/>
  <c r="AH538" i="1"/>
  <c r="AH534" i="1"/>
  <c r="AH530" i="1"/>
  <c r="AH526" i="1"/>
  <c r="AH522" i="1"/>
  <c r="AH518" i="1"/>
  <c r="AH514" i="1"/>
  <c r="AH510" i="1"/>
  <c r="AH506" i="1"/>
  <c r="AH502" i="1"/>
  <c r="AH498" i="1"/>
  <c r="AH494" i="1"/>
  <c r="AH490" i="1"/>
  <c r="AH486" i="1"/>
  <c r="AH482" i="1"/>
  <c r="AH478" i="1"/>
  <c r="AH474" i="1"/>
  <c r="AH470" i="1"/>
  <c r="AH466" i="1"/>
  <c r="AH462" i="1"/>
  <c r="AH458" i="1"/>
  <c r="AH454" i="1"/>
  <c r="AH450" i="1"/>
  <c r="AH446" i="1"/>
  <c r="AH442" i="1"/>
  <c r="AH438" i="1"/>
  <c r="AH434" i="1"/>
  <c r="AH430" i="1"/>
  <c r="AH426" i="1"/>
  <c r="AH422" i="1"/>
  <c r="AH418" i="1"/>
  <c r="AH414" i="1"/>
  <c r="AH410" i="1"/>
  <c r="AH406" i="1"/>
  <c r="AH402" i="1"/>
  <c r="AH398" i="1"/>
  <c r="AH394" i="1"/>
  <c r="AH390" i="1"/>
  <c r="AH386" i="1"/>
  <c r="AH382" i="1"/>
  <c r="AH378" i="1"/>
  <c r="AH374" i="1"/>
  <c r="AH370" i="1"/>
  <c r="AH366" i="1"/>
  <c r="AH362" i="1"/>
  <c r="AH358" i="1"/>
  <c r="AH354" i="1"/>
  <c r="AH350" i="1"/>
  <c r="AH346" i="1"/>
  <c r="AH342" i="1"/>
  <c r="AH334" i="1"/>
  <c r="AH330" i="1"/>
  <c r="AH326" i="1"/>
  <c r="AH318" i="1"/>
  <c r="AH314" i="1"/>
  <c r="AH310" i="1"/>
  <c r="AH302" i="1"/>
  <c r="AH298" i="1"/>
  <c r="AH294" i="1"/>
  <c r="AH286" i="1"/>
  <c r="AH282" i="1"/>
  <c r="AH278" i="1"/>
  <c r="AH270" i="1"/>
  <c r="AH266" i="1"/>
  <c r="AH262" i="1"/>
  <c r="AH254" i="1"/>
  <c r="AH250" i="1"/>
  <c r="AH246" i="1"/>
  <c r="AH238" i="1"/>
  <c r="AH234" i="1"/>
  <c r="AH230" i="1"/>
  <c r="AH222" i="1"/>
  <c r="AH218" i="1"/>
  <c r="AH214" i="1"/>
  <c r="AH206" i="1"/>
  <c r="AH202" i="1"/>
  <c r="AH198" i="1"/>
  <c r="AH190" i="1"/>
  <c r="AH186" i="1"/>
  <c r="AH182" i="1"/>
  <c r="AH174" i="1"/>
  <c r="AH170" i="1"/>
  <c r="AH166" i="1"/>
  <c r="AH158" i="1"/>
  <c r="AH154" i="1"/>
  <c r="AH150" i="1"/>
  <c r="AH142" i="1"/>
  <c r="AH138" i="1"/>
  <c r="AH134" i="1"/>
  <c r="AH126" i="1"/>
  <c r="AH122" i="1"/>
  <c r="AH118" i="1"/>
  <c r="AH110" i="1"/>
  <c r="AH106" i="1"/>
  <c r="AH102" i="1"/>
  <c r="AH94" i="1"/>
  <c r="AH90" i="1"/>
  <c r="AH86" i="1"/>
  <c r="AH78" i="1"/>
  <c r="AH74" i="1"/>
  <c r="AH70" i="1"/>
  <c r="AH62" i="1"/>
  <c r="AH58" i="1"/>
  <c r="AH54" i="1"/>
  <c r="AH46" i="1"/>
  <c r="AH42" i="1"/>
  <c r="AH38" i="1"/>
  <c r="AH30" i="1"/>
  <c r="AH26" i="1"/>
  <c r="AH22" i="1"/>
  <c r="AH14" i="1"/>
  <c r="AH10" i="1"/>
  <c r="AH6" i="1"/>
  <c r="AH341" i="1"/>
  <c r="AH337" i="1"/>
  <c r="AH333" i="1"/>
  <c r="AH329" i="1"/>
  <c r="AH325" i="1"/>
  <c r="AH321" i="1"/>
  <c r="AH317" i="1"/>
  <c r="AH313" i="1"/>
  <c r="AH309" i="1"/>
  <c r="AH305" i="1"/>
  <c r="AH301" i="1"/>
  <c r="AH297" i="1"/>
  <c r="AH293" i="1"/>
  <c r="AH289" i="1"/>
  <c r="AH285" i="1"/>
  <c r="AH281" i="1"/>
  <c r="AH277" i="1"/>
  <c r="AH273" i="1"/>
  <c r="AH269" i="1"/>
  <c r="AH265" i="1"/>
  <c r="AH261" i="1"/>
  <c r="AH257" i="1"/>
  <c r="AH253" i="1"/>
  <c r="AH249" i="1"/>
  <c r="AH245" i="1"/>
  <c r="AH241" i="1"/>
  <c r="AH237" i="1"/>
  <c r="AH233" i="1"/>
  <c r="AH229" i="1"/>
  <c r="AH225" i="1"/>
  <c r="AH221" i="1"/>
  <c r="AH217" i="1"/>
  <c r="AH213" i="1"/>
  <c r="AH209" i="1"/>
  <c r="AH205" i="1"/>
  <c r="AH201" i="1"/>
  <c r="AH197" i="1"/>
  <c r="AH193" i="1"/>
  <c r="AH189" i="1"/>
  <c r="AH185" i="1"/>
  <c r="AH181" i="1"/>
  <c r="AH177" i="1"/>
  <c r="AH173" i="1"/>
  <c r="AH169" i="1"/>
  <c r="AH165" i="1"/>
  <c r="AH161" i="1"/>
  <c r="AH157" i="1"/>
  <c r="AH153" i="1"/>
  <c r="AH149" i="1"/>
  <c r="AH145" i="1"/>
  <c r="AH141" i="1"/>
  <c r="AH137" i="1"/>
  <c r="AH133" i="1"/>
  <c r="AH129" i="1"/>
  <c r="AH125" i="1"/>
  <c r="AH121" i="1"/>
  <c r="AH117" i="1"/>
  <c r="AH113" i="1"/>
  <c r="AH109" i="1"/>
  <c r="AH105" i="1"/>
  <c r="AH101" i="1"/>
  <c r="AH97" i="1"/>
  <c r="AH93" i="1"/>
  <c r="AH89" i="1"/>
  <c r="AH85" i="1"/>
  <c r="AH81" i="1"/>
  <c r="AH77" i="1"/>
  <c r="AH73" i="1"/>
  <c r="AH69" i="1"/>
  <c r="AH65" i="1"/>
  <c r="AH61" i="1"/>
  <c r="AH57" i="1"/>
  <c r="AH53" i="1"/>
  <c r="AH49" i="1"/>
  <c r="AH45" i="1"/>
  <c r="AH41" i="1"/>
  <c r="AH37" i="1"/>
  <c r="AH33" i="1"/>
  <c r="AH29" i="1"/>
  <c r="AH25" i="1"/>
  <c r="AH21" i="1"/>
  <c r="AH17" i="1"/>
  <c r="AH27" i="1"/>
  <c r="AH23" i="1"/>
  <c r="AH19" i="1"/>
  <c r="AH15" i="1"/>
  <c r="AH11" i="1"/>
  <c r="AH7" i="1"/>
  <c r="AH3" i="1"/>
  <c r="AH13" i="1"/>
  <c r="AH9" i="1"/>
  <c r="AH5" i="1"/>
  <c r="I9" i="4"/>
  <c r="F39" i="3" l="1"/>
  <c r="I6" i="3" s="1"/>
  <c r="E39" i="3"/>
  <c r="I5" i="3" s="1"/>
  <c r="D39" i="3"/>
  <c r="I4" i="3" s="1"/>
  <c r="C39" i="3"/>
  <c r="I3" i="3" s="1"/>
  <c r="J4" i="2" l="1" a="1"/>
  <c r="J4" i="2" s="1"/>
  <c r="M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1546D9E-BA25-844D-AFB8-F3843400E4CE}" name="TeamFinalProject" type="6" refreshedVersion="6" background="1" saveData="1">
    <textPr codePage="65001" sourceFile="/Users/michaeldemartino/Downloads/TeamFinalProject.csv" comma="1">
      <textFields count="36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<sst xmlns="http://schemas.openxmlformats.org/spreadsheetml/2006/main" count="6063" uniqueCount="187">
  <si>
    <t>yearID</t>
  </si>
  <si>
    <t>name</t>
  </si>
  <si>
    <t>teamID</t>
  </si>
  <si>
    <t>Rank</t>
  </si>
  <si>
    <t>DivWin</t>
  </si>
  <si>
    <t>WCWin</t>
  </si>
  <si>
    <t>LgWin</t>
  </si>
  <si>
    <t>WSWin</t>
  </si>
  <si>
    <t>W</t>
  </si>
  <si>
    <t>L</t>
  </si>
  <si>
    <t>R</t>
  </si>
  <si>
    <t>AB</t>
  </si>
  <si>
    <t>H</t>
  </si>
  <si>
    <t>2B</t>
  </si>
  <si>
    <t>3B</t>
  </si>
  <si>
    <t>HR</t>
  </si>
  <si>
    <t>BB</t>
  </si>
  <si>
    <t>SO</t>
  </si>
  <si>
    <t>SB</t>
  </si>
  <si>
    <t>CS</t>
  </si>
  <si>
    <t>HBP</t>
  </si>
  <si>
    <t>SF</t>
  </si>
  <si>
    <t>RA</t>
  </si>
  <si>
    <t>ER</t>
  </si>
  <si>
    <t>ERA</t>
  </si>
  <si>
    <t>CG</t>
  </si>
  <si>
    <t>SHO</t>
  </si>
  <si>
    <t>SV</t>
  </si>
  <si>
    <t>IPouts</t>
  </si>
  <si>
    <t>HA</t>
  </si>
  <si>
    <t>HRA</t>
  </si>
  <si>
    <t>BBA</t>
  </si>
  <si>
    <t>SOA</t>
  </si>
  <si>
    <t>E</t>
  </si>
  <si>
    <t>DP</t>
  </si>
  <si>
    <t>FP</t>
  </si>
  <si>
    <t>Anaheim Angels</t>
  </si>
  <si>
    <t>ANA</t>
  </si>
  <si>
    <t>N</t>
  </si>
  <si>
    <t>Arizona Diamondbacks</t>
  </si>
  <si>
    <t>ARI</t>
  </si>
  <si>
    <t>Atlanta Braves</t>
  </si>
  <si>
    <t>ATL</t>
  </si>
  <si>
    <t>Y</t>
  </si>
  <si>
    <t>Baltimore Orioles</t>
  </si>
  <si>
    <t>BAL</t>
  </si>
  <si>
    <t>Boston Red Sox</t>
  </si>
  <si>
    <t>BOS</t>
  </si>
  <si>
    <t>Chicago White Sox</t>
  </si>
  <si>
    <t>CHA</t>
  </si>
  <si>
    <t>Chicago Cubs</t>
  </si>
  <si>
    <t>CHN</t>
  </si>
  <si>
    <t>Cincinnati Reds</t>
  </si>
  <si>
    <t>CIN</t>
  </si>
  <si>
    <t>Cleveland Indians</t>
  </si>
  <si>
    <t>CLE</t>
  </si>
  <si>
    <t>Colorado Rockies</t>
  </si>
  <si>
    <t>COL</t>
  </si>
  <si>
    <t>Detroit Tigers</t>
  </si>
  <si>
    <t>DET</t>
  </si>
  <si>
    <t>Florida Marlins</t>
  </si>
  <si>
    <t>FLO</t>
  </si>
  <si>
    <t>Houston Astros</t>
  </si>
  <si>
    <t>HOU</t>
  </si>
  <si>
    <t>Kansas City Royals</t>
  </si>
  <si>
    <t>KCA</t>
  </si>
  <si>
    <t>Los Angeles Dodgers</t>
  </si>
  <si>
    <t>LAN</t>
  </si>
  <si>
    <t>Milwaukee Brewers</t>
  </si>
  <si>
    <t>MIL</t>
  </si>
  <si>
    <t>Minnesota Twins</t>
  </si>
  <si>
    <t>MIN</t>
  </si>
  <si>
    <t>Montreal Expos</t>
  </si>
  <si>
    <t>MON</t>
  </si>
  <si>
    <t>New York Yankees</t>
  </si>
  <si>
    <t>NYA</t>
  </si>
  <si>
    <t>New York Mets</t>
  </si>
  <si>
    <t>NYN</t>
  </si>
  <si>
    <t>Oakland Athletics</t>
  </si>
  <si>
    <t>OAK</t>
  </si>
  <si>
    <t>Philadelphia Phillies</t>
  </si>
  <si>
    <t>PHI</t>
  </si>
  <si>
    <t>Pittsburgh Pirates</t>
  </si>
  <si>
    <t>PIT</t>
  </si>
  <si>
    <t>San Diego Padres</t>
  </si>
  <si>
    <t>SDN</t>
  </si>
  <si>
    <t>Seattle Mariners</t>
  </si>
  <si>
    <t>SEA</t>
  </si>
  <si>
    <t>San Francisco Giants</t>
  </si>
  <si>
    <t>SFN</t>
  </si>
  <si>
    <t>St. Louis Cardinals</t>
  </si>
  <si>
    <t>SLN</t>
  </si>
  <si>
    <t>Tampa Bay Devil Rays</t>
  </si>
  <si>
    <t>TBA</t>
  </si>
  <si>
    <t>Texas Rangers</t>
  </si>
  <si>
    <t>TEX</t>
  </si>
  <si>
    <t>Toronto Blue Jays</t>
  </si>
  <si>
    <t>TOR</t>
  </si>
  <si>
    <t>Los Angeles Angels of Anaheim</t>
  </si>
  <si>
    <t>LAA</t>
  </si>
  <si>
    <t>Washington Nationals</t>
  </si>
  <si>
    <t>WAS</t>
  </si>
  <si>
    <t>Tampa Bay Rays</t>
  </si>
  <si>
    <t>Miami Marlins</t>
  </si>
  <si>
    <t>MIA</t>
  </si>
  <si>
    <t>Team Name</t>
  </si>
  <si>
    <t>Year</t>
  </si>
  <si>
    <t>Yearly Wins</t>
  </si>
  <si>
    <t>Name</t>
  </si>
  <si>
    <t>Yearly W/L Ratio</t>
  </si>
  <si>
    <t>Yearly Losses</t>
  </si>
  <si>
    <t>Grand Total</t>
  </si>
  <si>
    <t>Sum of AB</t>
  </si>
  <si>
    <t>Sum of H</t>
  </si>
  <si>
    <t>Sum of 2B</t>
  </si>
  <si>
    <t>Sum of 3B</t>
  </si>
  <si>
    <t>Sum of HR</t>
  </si>
  <si>
    <t>Hit Leader</t>
  </si>
  <si>
    <t>2B Leader</t>
  </si>
  <si>
    <t>3B Leader</t>
  </si>
  <si>
    <t>HR Leader</t>
  </si>
  <si>
    <t>Leading Values</t>
  </si>
  <si>
    <t>-</t>
  </si>
  <si>
    <t>Duration Table Input Parameters</t>
  </si>
  <si>
    <t>First Discount Rate</t>
  </si>
  <si>
    <t>default 5%</t>
  </si>
  <si>
    <t>Discount Rate Increase</t>
  </si>
  <si>
    <t>default 0.5%</t>
  </si>
  <si>
    <t>Total Number of Points</t>
  </si>
  <si>
    <t>default = 20, Max = 20</t>
  </si>
  <si>
    <t>Duration and Convexity Output Table</t>
  </si>
  <si>
    <t>Interest</t>
  </si>
  <si>
    <t>P = PV</t>
  </si>
  <si>
    <t>D = Duration</t>
  </si>
  <si>
    <t>D* = Effective Duration</t>
  </si>
  <si>
    <t>C = Effective Convexity</t>
  </si>
  <si>
    <t>1B</t>
  </si>
  <si>
    <t>BFP</t>
  </si>
  <si>
    <t>2Bp</t>
  </si>
  <si>
    <t>3Bp</t>
  </si>
  <si>
    <t>HRp</t>
  </si>
  <si>
    <t>1Bp</t>
  </si>
  <si>
    <t>Hp</t>
  </si>
  <si>
    <t>BBp</t>
  </si>
  <si>
    <t>HPBp</t>
  </si>
  <si>
    <t>Outs</t>
  </si>
  <si>
    <t>OutsP</t>
  </si>
  <si>
    <t>League Avg. by Yr.</t>
  </si>
  <si>
    <t>z1</t>
  </si>
  <si>
    <t>z2</t>
  </si>
  <si>
    <t>z3</t>
  </si>
  <si>
    <t>z4</t>
  </si>
  <si>
    <t>z5</t>
  </si>
  <si>
    <t>z6</t>
  </si>
  <si>
    <t>z7</t>
  </si>
  <si>
    <t>z8</t>
  </si>
  <si>
    <t>STL</t>
  </si>
  <si>
    <t>CHI</t>
  </si>
  <si>
    <t>NY</t>
  </si>
  <si>
    <t>LA</t>
  </si>
  <si>
    <t>FLA</t>
  </si>
  <si>
    <t>SD</t>
  </si>
  <si>
    <t>Total</t>
  </si>
  <si>
    <t>A</t>
  </si>
  <si>
    <t>KC</t>
  </si>
  <si>
    <t>TB</t>
  </si>
  <si>
    <t>Team</t>
  </si>
  <si>
    <t>G</t>
  </si>
  <si>
    <t>GS</t>
  </si>
  <si>
    <t>GF</t>
  </si>
  <si>
    <t>IP</t>
  </si>
  <si>
    <t>IB</t>
  </si>
  <si>
    <t>SH</t>
  </si>
  <si>
    <t>BK</t>
  </si>
  <si>
    <t>GDP</t>
  </si>
  <si>
    <t>ROE</t>
  </si>
  <si>
    <t>WP</t>
  </si>
  <si>
    <t>RBI</t>
  </si>
  <si>
    <t>IBB</t>
  </si>
  <si>
    <t>XI</t>
  </si>
  <si>
    <t>AVG</t>
  </si>
  <si>
    <t>OBP</t>
  </si>
  <si>
    <t>SLG</t>
  </si>
  <si>
    <t>League</t>
  </si>
  <si>
    <t>VS</t>
  </si>
  <si>
    <t>Season</t>
  </si>
  <si>
    <t>Predict The Winner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</si>
</sst>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"/>
    <numFmt numFmtId="165" formatCode="_(* #,##0_);_(* \(#,##0\);_(* &quot;-&quot;??_);_(@_)"/>
    <numFmt numFmtId="166" formatCode="0.00000000"/>
  </numFmts>
  <fonts count="1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color rgb="FF007E39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0" fillId="2" borderId="0" xfId="0" applyFill="1"/>
    <xf numFmtId="0" fontId="0" fillId="0" borderId="0" xfId="0" applyNumberFormat="1"/>
    <xf numFmtId="0" fontId="0" fillId="2" borderId="0" xfId="0" applyNumberFormat="1" applyFill="1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4" xfId="0" applyNumberFormat="1" applyBorder="1" applyAlignment="1">
      <alignment horizontal="center"/>
    </xf>
    <xf numFmtId="0" fontId="0" fillId="0" borderId="5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/>
    <xf numFmtId="0" fontId="0" fillId="0" borderId="0" xfId="0" applyFill="1" applyBorder="1"/>
    <xf numFmtId="0" fontId="2" fillId="0" borderId="3" xfId="0" applyFont="1" applyFill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3" xfId="0" applyBorder="1"/>
    <xf numFmtId="0" fontId="0" fillId="0" borderId="8" xfId="0" applyBorder="1"/>
    <xf numFmtId="0" fontId="2" fillId="0" borderId="1" xfId="0" applyFont="1" applyBorder="1"/>
    <xf numFmtId="0" fontId="2" fillId="0" borderId="7" xfId="0" applyFont="1" applyBorder="1"/>
    <xf numFmtId="0" fontId="2" fillId="0" borderId="4" xfId="0" applyFont="1" applyBorder="1"/>
    <xf numFmtId="0" fontId="0" fillId="0" borderId="9" xfId="0" applyBorder="1" applyAlignment="1">
      <alignment horizontal="left"/>
    </xf>
    <xf numFmtId="0" fontId="0" fillId="0" borderId="10" xfId="0" applyNumberFormat="1" applyBorder="1" applyAlignment="1">
      <alignment horizontal="center"/>
    </xf>
    <xf numFmtId="165" fontId="0" fillId="0" borderId="0" xfId="0" applyNumberFormat="1"/>
    <xf numFmtId="165" fontId="0" fillId="0" borderId="10" xfId="1" applyNumberFormat="1" applyFont="1" applyBorder="1"/>
    <xf numFmtId="165" fontId="0" fillId="0" borderId="11" xfId="1" applyNumberFormat="1" applyFont="1" applyBorder="1"/>
    <xf numFmtId="0" fontId="4" fillId="0" borderId="0" xfId="0" applyFont="1"/>
    <xf numFmtId="10" fontId="0" fillId="4" borderId="0" xfId="2" applyNumberFormat="1" applyFont="1" applyFill="1"/>
    <xf numFmtId="0" fontId="5" fillId="0" borderId="0" xfId="0" applyFont="1"/>
    <xf numFmtId="2" fontId="0" fillId="4" borderId="0" xfId="0" applyNumberFormat="1" applyFill="1"/>
    <xf numFmtId="0" fontId="4" fillId="0" borderId="15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10" fontId="4" fillId="0" borderId="15" xfId="2" applyNumberFormat="1" applyFont="1" applyBorder="1" applyAlignment="1">
      <alignment horizontal="center"/>
    </xf>
    <xf numFmtId="43" fontId="4" fillId="0" borderId="10" xfId="1" applyFont="1" applyBorder="1" applyAlignment="1"/>
    <xf numFmtId="0" fontId="4" fillId="0" borderId="10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164" fontId="0" fillId="0" borderId="0" xfId="0" applyNumberFormat="1"/>
    <xf numFmtId="0" fontId="0" fillId="7" borderId="0" xfId="0" applyFill="1"/>
    <xf numFmtId="0" fontId="0" fillId="0" borderId="5" xfId="0" applyFill="1" applyBorder="1"/>
    <xf numFmtId="49" fontId="3" fillId="0" borderId="5" xfId="0" applyNumberFormat="1" applyFont="1" applyBorder="1"/>
    <xf numFmtId="0" fontId="3" fillId="0" borderId="5" xfId="0" applyFont="1" applyBorder="1"/>
    <xf numFmtId="0" fontId="3" fillId="7" borderId="5" xfId="0" applyFont="1" applyFill="1" applyBorder="1"/>
    <xf numFmtId="0" fontId="3" fillId="6" borderId="5" xfId="0" applyFont="1" applyFill="1" applyBorder="1"/>
    <xf numFmtId="0" fontId="0" fillId="0" borderId="5" xfId="0" applyBorder="1"/>
    <xf numFmtId="0" fontId="0" fillId="6" borderId="0" xfId="0" applyFill="1"/>
    <xf numFmtId="0" fontId="0" fillId="2" borderId="5" xfId="0" applyFill="1" applyBorder="1" applyAlignment="1">
      <alignment horizontal="center"/>
    </xf>
    <xf numFmtId="0" fontId="0" fillId="2" borderId="0" xfId="0" applyFill="1" applyAlignment="1">
      <alignment horizontal="right"/>
    </xf>
    <xf numFmtId="166" fontId="0" fillId="2" borderId="0" xfId="0" applyNumberFormat="1" applyFill="1"/>
    <xf numFmtId="1" fontId="0" fillId="2" borderId="0" xfId="0" applyNumberFormat="1" applyFill="1"/>
    <xf numFmtId="0" fontId="0" fillId="6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2" fontId="0" fillId="0" borderId="0" xfId="0" applyNumberFormat="1"/>
    <xf numFmtId="0" fontId="9" fillId="0" borderId="0" xfId="0" applyFont="1" applyAlignment="1">
      <alignment horizontal="center" vertical="center"/>
    </xf>
    <xf numFmtId="0" fontId="0" fillId="0" borderId="17" xfId="0" applyBorder="1" applyAlignment="1">
      <alignment horizontal="center"/>
    </xf>
    <xf numFmtId="2" fontId="0" fillId="0" borderId="17" xfId="0" applyNumberFormat="1" applyBorder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0" fontId="0" fillId="2" borderId="5" xfId="0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0" fillId="8" borderId="0" xfId="0" applyFont="1" applyFill="1"/>
    <xf numFmtId="0" fontId="0" fillId="8" borderId="0" xfId="0" applyFont="1" applyFill="1" applyBorder="1"/>
    <xf numFmtId="0" fontId="2" fillId="8" borderId="0" xfId="0" applyFont="1" applyFill="1" applyAlignment="1">
      <alignment horizontal="left" indent="2"/>
    </xf>
    <xf numFmtId="0" fontId="2" fillId="8" borderId="0" xfId="0" applyFont="1" applyFill="1" applyAlignment="1">
      <alignment horizontal="left"/>
    </xf>
    <xf numFmtId="0" fontId="2" fillId="8" borderId="0" xfId="0" applyFont="1" applyFill="1" applyAlignment="1">
      <alignment horizontal="center"/>
    </xf>
    <xf numFmtId="9" fontId="0" fillId="8" borderId="0" xfId="2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0" fontId="0" fillId="8" borderId="0" xfId="0" applyFont="1" applyFill="1" applyAlignment="1"/>
    <xf numFmtId="0" fontId="0" fillId="8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3"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</dxfs>
  <tableStyles count="0" defaultTableStyle="TableStyleMedium2" defaultPivotStyle="PivotStyleLight16"/>
  <colors>
    <mruColors>
      <color rgb="FF007E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5" fmlaLink="$A$2" fmlaRange="Data!$BD$2:$BD$34" noThreeD="1" sel="2" val="0"/>
</file>

<file path=xl/ctrlProps/ctrlProp2.xml><?xml version="1.0" encoding="utf-8"?>
<formControlPr xmlns="http://schemas.microsoft.com/office/spreadsheetml/2009/9/main" objectType="Scroll" dx="15" fmlaLink="$I$4" horiz="1" max="2018" min="2000" page="10" val="2010"/>
</file>

<file path=xl/ctrlProps/ctrlProp3.xml><?xml version="1.0" encoding="utf-8"?>
<formControlPr xmlns="http://schemas.microsoft.com/office/spreadsheetml/2009/9/main" objectType="Drop" dropStyle="combo" dx="15" fmlaLink="$B$10" fmlaRange="Data!$BD$2:$BD$34" sel="2" val="0"/>
</file>

<file path=xl/ctrlProps/ctrlProp4.xml><?xml version="1.0" encoding="utf-8"?>
<formControlPr xmlns="http://schemas.microsoft.com/office/spreadsheetml/2009/9/main" objectType="Drop" dropStyle="combo" dx="15" fmlaLink="$F$10" fmlaRange="Data!$BD$2:$BD$34" sel="24" val="20"/>
</file>

<file path=xl/ctrlProps/ctrlProp5.xml><?xml version="1.0" encoding="utf-8"?>
<formControlPr xmlns="http://schemas.microsoft.com/office/spreadsheetml/2009/9/main" objectType="Drop" dropStyle="combo" dx="15" fmlaLink="$J$10" fmlaRange="Data!$BE$2:$BE$20" sel="19" val="1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279400</xdr:colOff>
          <xdr:row>0</xdr:row>
          <xdr:rowOff>190500</xdr:rowOff>
        </xdr:from>
        <xdr:to>
          <xdr:col>4</xdr:col>
          <xdr:colOff>88900</xdr:colOff>
          <xdr:row>5</xdr:row>
          <xdr:rowOff>12700</xdr:rowOff>
        </xdr:to>
        <xdr:sp macro="" textlink="">
          <xdr:nvSpPr>
            <xdr:cNvPr id="1025" name="List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203200</xdr:rowOff>
        </xdr:from>
        <xdr:to>
          <xdr:col>6</xdr:col>
          <xdr:colOff>596900</xdr:colOff>
          <xdr:row>3</xdr:row>
          <xdr:rowOff>165100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12700</xdr:colOff>
          <xdr:row>6</xdr:row>
          <xdr:rowOff>152400</xdr:rowOff>
        </xdr:from>
        <xdr:to>
          <xdr:col>3</xdr:col>
          <xdr:colOff>802640</xdr:colOff>
          <xdr:row>8</xdr:row>
          <xdr:rowOff>111760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F6ACB2A0-1F2D-D94D-A8C7-D5DBA0CBC9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6</xdr:row>
          <xdr:rowOff>152400</xdr:rowOff>
        </xdr:from>
        <xdr:to>
          <xdr:col>7</xdr:col>
          <xdr:colOff>815340</xdr:colOff>
          <xdr:row>8</xdr:row>
          <xdr:rowOff>114300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59CFACA4-5552-CA4A-9636-45272ADE53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508000</xdr:colOff>
          <xdr:row>6</xdr:row>
          <xdr:rowOff>152400</xdr:rowOff>
        </xdr:from>
        <xdr:to>
          <xdr:col>9</xdr:col>
          <xdr:colOff>723900</xdr:colOff>
          <xdr:row>8</xdr:row>
          <xdr:rowOff>111760</xdr:rowOff>
        </xdr:to>
        <xdr:sp macro="" textlink="">
          <xdr:nvSpPr>
            <xdr:cNvPr id="8199" name="Drop Dow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CBE74D1C-5748-D74C-8949-090D07A3B3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793.703016898151" createdVersion="6" refreshedVersion="6" minRefreshableVersion="3" recordCount="570" xr:uid="{AE69E905-4885-0D47-A956-8928FDCBC35C}">
  <cacheSource type="worksheet">
    <worksheetSource ref="B1:AV571" sheet="Data"/>
  </cacheSource>
  <cacheFields count="36">
    <cacheField name="yearID" numFmtId="0">
      <sharedItems containsSemiMixedTypes="0" containsString="0" containsNumber="1" containsInteger="1" minValue="2000" maxValue="2018"/>
    </cacheField>
    <cacheField name="name" numFmtId="0">
      <sharedItems count="34">
        <s v="Anaheim Angels"/>
        <s v="Arizona Diamondbacks"/>
        <s v="Atlanta Braves"/>
        <s v="Baltimore Orioles"/>
        <s v="Boston Red Sox"/>
        <s v="Chicago White Sox"/>
        <s v="Chicago Cubs"/>
        <s v="Cincinnati Reds"/>
        <s v="Cleveland Indians"/>
        <s v="Colorado Rockies"/>
        <s v="Detroit Tigers"/>
        <s v="Florida Marlins"/>
        <s v="Houston Astros"/>
        <s v="Kansas City Royals"/>
        <s v="Los Angeles Dodgers"/>
        <s v="Milwaukee Brewers"/>
        <s v="Minnesota Twins"/>
        <s v="Montreal Expos"/>
        <s v="New York Yankees"/>
        <s v="New York Mets"/>
        <s v="Oakland Athletics"/>
        <s v="Philadelphia Phillies"/>
        <s v="Pittsburgh Pirates"/>
        <s v="San Diego Padres"/>
        <s v="Seattle Mariners"/>
        <s v="San Francisco Giants"/>
        <s v="St. Louis Cardinals"/>
        <s v="Tampa Bay Devil Rays"/>
        <s v="Texas Rangers"/>
        <s v="Toronto Blue Jays"/>
        <s v="Los Angeles Angels of Anaheim"/>
        <s v="Washington Nationals"/>
        <s v="Tampa Bay Rays"/>
        <s v="Miami Marlins"/>
      </sharedItems>
    </cacheField>
    <cacheField name="teamID" numFmtId="0">
      <sharedItems/>
    </cacheField>
    <cacheField name="Rank" numFmtId="0">
      <sharedItems containsSemiMixedTypes="0" containsString="0" containsNumber="1" containsInteger="1" minValue="1" maxValue="6"/>
    </cacheField>
    <cacheField name="DivWin" numFmtId="0">
      <sharedItems/>
    </cacheField>
    <cacheField name="WCWin" numFmtId="0">
      <sharedItems/>
    </cacheField>
    <cacheField name="LgWin" numFmtId="0">
      <sharedItems/>
    </cacheField>
    <cacheField name="WSWin" numFmtId="0">
      <sharedItems/>
    </cacheField>
    <cacheField name="W" numFmtId="0">
      <sharedItems containsSemiMixedTypes="0" containsString="0" containsNumber="1" containsInteger="1" minValue="43" maxValue="116"/>
    </cacheField>
    <cacheField name="L" numFmtId="0">
      <sharedItems containsSemiMixedTypes="0" containsString="0" containsNumber="1" containsInteger="1" minValue="46" maxValue="119"/>
    </cacheField>
    <cacheField name="R" numFmtId="0">
      <sharedItems containsSemiMixedTypes="0" containsString="0" containsNumber="1" containsInteger="1" minValue="513" maxValue="978"/>
    </cacheField>
    <cacheField name="AB" numFmtId="0">
      <sharedItems containsSemiMixedTypes="0" containsString="0" containsNumber="1" containsInteger="1" minValue="5294" maxValue="5769"/>
    </cacheField>
    <cacheField name="H" numFmtId="0">
      <sharedItems containsSemiMixedTypes="0" containsString="0" containsNumber="1" containsInteger="1" minValue="1199" maxValue="1667"/>
    </cacheField>
    <cacheField name="2B" numFmtId="0">
      <sharedItems containsSemiMixedTypes="0" containsString="0" containsNumber="1" containsInteger="1" minValue="201" maxValue="376"/>
    </cacheField>
    <cacheField name="3B" numFmtId="0">
      <sharedItems containsSemiMixedTypes="0" containsString="0" containsNumber="1" containsInteger="1" minValue="5" maxValue="61"/>
    </cacheField>
    <cacheField name="HR" numFmtId="0">
      <sharedItems containsSemiMixedTypes="0" containsString="0" containsNumber="1" containsInteger="1" minValue="91" maxValue="267"/>
    </cacheField>
    <cacheField name="BB" numFmtId="0">
      <sharedItems containsSemiMixedTypes="0" containsString="0" containsNumber="1" containsInteger="1" minValue="363" maxValue="775"/>
    </cacheField>
    <cacheField name="SO" numFmtId="0">
      <sharedItems containsSemiMixedTypes="0" containsString="0" containsNumber="1" containsInteger="1" minValue="805" maxValue="1594"/>
    </cacheField>
    <cacheField name="SB" numFmtId="0">
      <sharedItems containsSemiMixedTypes="0" containsString="0" containsNumber="1" containsInteger="1" minValue="19" maxValue="200"/>
    </cacheField>
    <cacheField name="CS" numFmtId="0">
      <sharedItems containsSemiMixedTypes="0" containsString="0" containsNumber="1" containsInteger="1" minValue="12" maxValue="74"/>
    </cacheField>
    <cacheField name="HBP" numFmtId="0">
      <sharedItems containsSemiMixedTypes="0" containsString="0" containsNumber="1" containsInteger="1" minValue="26" maxValue="103"/>
    </cacheField>
    <cacheField name="SF" numFmtId="0">
      <sharedItems containsSemiMixedTypes="0" containsString="0" containsNumber="1" containsInteger="1" minValue="24" maxValue="75"/>
    </cacheField>
    <cacheField name="RA" numFmtId="0">
      <sharedItems containsSemiMixedTypes="0" containsString="0" containsNumber="1" containsInteger="1" minValue="525" maxValue="974"/>
    </cacheField>
    <cacheField name="ER" numFmtId="0">
      <sharedItems containsSemiMixedTypes="0" containsString="0" containsNumber="1" containsInteger="1" minValue="478" maxValue="913"/>
    </cacheField>
    <cacheField name="ERA" numFmtId="0">
      <sharedItems containsSemiMixedTypes="0" containsString="0" containsNumber="1" minValue="2.94" maxValue="5.71"/>
    </cacheField>
    <cacheField name="CG" numFmtId="0">
      <sharedItems containsSemiMixedTypes="0" containsString="0" containsNumber="1" containsInteger="1" minValue="0" maxValue="18"/>
    </cacheField>
    <cacheField name="SHO" numFmtId="0">
      <sharedItems containsSemiMixedTypes="0" containsString="0" containsNumber="1" containsInteger="1" minValue="1" maxValue="23"/>
    </cacheField>
    <cacheField name="SV" numFmtId="0">
      <sharedItems containsSemiMixedTypes="0" containsString="0" containsNumber="1" containsInteger="1" minValue="23" maxValue="66"/>
    </cacheField>
    <cacheField name="IPouts" numFmtId="0">
      <sharedItems containsSemiMixedTypes="0" containsString="0" containsNumber="1" containsInteger="1" minValue="4235" maxValue="4485"/>
    </cacheField>
    <cacheField name="HA" numFmtId="0">
      <sharedItems containsSemiMixedTypes="0" containsString="0" containsNumber="1" containsInteger="1" minValue="1125" maxValue="1683"/>
    </cacheField>
    <cacheField name="HRA" numFmtId="0">
      <sharedItems containsSemiMixedTypes="0" containsString="0" containsNumber="1" containsInteger="1" minValue="96" maxValue="258"/>
    </cacheField>
    <cacheField name="BBA" numFmtId="0">
      <sharedItems containsSemiMixedTypes="0" containsString="0" containsNumber="1" containsInteger="1" minValue="348" maxValue="728"/>
    </cacheField>
    <cacheField name="SOA" numFmtId="0">
      <sharedItems containsSemiMixedTypes="0" containsString="0" containsNumber="1" containsInteger="1" minValue="764" maxValue="1687"/>
    </cacheField>
    <cacheField name="E" numFmtId="0">
      <sharedItems containsSemiMixedTypes="0" containsString="0" containsNumber="1" containsInteger="1" minValue="54" maxValue="145"/>
    </cacheField>
    <cacheField name="DP" numFmtId="0">
      <sharedItems containsSemiMixedTypes="0" containsString="0" containsNumber="1" containsInteger="1" minValue="95" maxValue="204"/>
    </cacheField>
    <cacheField name="FP" numFmtId="0">
      <sharedItems containsSemiMixedTypes="0" containsString="0" containsNumber="1" minValue="0.97599999999999998" maxValue="0.990999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0">
  <r>
    <n v="2000"/>
    <x v="0"/>
    <s v="ANA"/>
    <n v="3"/>
    <s v="N"/>
    <s v="N"/>
    <s v="N"/>
    <s v="N"/>
    <n v="82"/>
    <n v="80"/>
    <n v="864"/>
    <n v="5628"/>
    <n v="1574"/>
    <n v="309"/>
    <n v="34"/>
    <n v="236"/>
    <n v="608"/>
    <n v="1024"/>
    <n v="93"/>
    <n v="52"/>
    <n v="47"/>
    <n v="43"/>
    <n v="869"/>
    <n v="805"/>
    <n v="5"/>
    <n v="5"/>
    <n v="3"/>
    <n v="46"/>
    <n v="4344"/>
    <n v="1534"/>
    <n v="228"/>
    <n v="662"/>
    <n v="846"/>
    <n v="134"/>
    <n v="182"/>
    <n v="0.97799999999999998"/>
  </r>
  <r>
    <n v="2000"/>
    <x v="1"/>
    <s v="ARI"/>
    <n v="3"/>
    <s v="N"/>
    <s v="N"/>
    <s v="N"/>
    <s v="N"/>
    <n v="85"/>
    <n v="77"/>
    <n v="792"/>
    <n v="5527"/>
    <n v="1466"/>
    <n v="282"/>
    <n v="44"/>
    <n v="179"/>
    <n v="535"/>
    <n v="975"/>
    <n v="97"/>
    <n v="44"/>
    <n v="59"/>
    <n v="58"/>
    <n v="754"/>
    <n v="698"/>
    <n v="4.3499999999999996"/>
    <n v="16"/>
    <n v="8"/>
    <n v="38"/>
    <n v="4331"/>
    <n v="1441"/>
    <n v="190"/>
    <n v="500"/>
    <n v="1220"/>
    <n v="107"/>
    <n v="138"/>
    <n v="0.98199999999999998"/>
  </r>
  <r>
    <n v="2000"/>
    <x v="2"/>
    <s v="ATL"/>
    <n v="1"/>
    <s v="Y"/>
    <s v="N"/>
    <s v="N"/>
    <s v="N"/>
    <n v="95"/>
    <n v="67"/>
    <n v="810"/>
    <n v="5489"/>
    <n v="1490"/>
    <n v="274"/>
    <n v="26"/>
    <n v="179"/>
    <n v="595"/>
    <n v="1010"/>
    <n v="148"/>
    <n v="56"/>
    <n v="59"/>
    <n v="45"/>
    <n v="714"/>
    <n v="648"/>
    <n v="4.05"/>
    <n v="13"/>
    <n v="9"/>
    <n v="53"/>
    <n v="4321"/>
    <n v="1428"/>
    <n v="165"/>
    <n v="484"/>
    <n v="1093"/>
    <n v="129"/>
    <n v="138"/>
    <n v="0.97899999999999998"/>
  </r>
  <r>
    <n v="2000"/>
    <x v="3"/>
    <s v="BAL"/>
    <n v="4"/>
    <s v="N"/>
    <s v="N"/>
    <s v="N"/>
    <s v="N"/>
    <n v="74"/>
    <n v="88"/>
    <n v="794"/>
    <n v="5549"/>
    <n v="1508"/>
    <n v="310"/>
    <n v="22"/>
    <n v="184"/>
    <n v="558"/>
    <n v="900"/>
    <n v="126"/>
    <n v="65"/>
    <n v="49"/>
    <n v="54"/>
    <n v="913"/>
    <n v="855"/>
    <n v="5.37"/>
    <n v="14"/>
    <n v="6"/>
    <n v="33"/>
    <n v="4300"/>
    <n v="1547"/>
    <n v="202"/>
    <n v="665"/>
    <n v="1017"/>
    <n v="116"/>
    <n v="151"/>
    <n v="0.98099999999999998"/>
  </r>
  <r>
    <n v="2000"/>
    <x v="4"/>
    <s v="BOS"/>
    <n v="2"/>
    <s v="N"/>
    <s v="N"/>
    <s v="N"/>
    <s v="N"/>
    <n v="85"/>
    <n v="77"/>
    <n v="792"/>
    <n v="5630"/>
    <n v="1503"/>
    <n v="316"/>
    <n v="32"/>
    <n v="167"/>
    <n v="611"/>
    <n v="1019"/>
    <n v="43"/>
    <n v="30"/>
    <n v="42"/>
    <n v="48"/>
    <n v="745"/>
    <n v="683"/>
    <n v="4.2300000000000004"/>
    <n v="7"/>
    <n v="12"/>
    <n v="46"/>
    <n v="4358"/>
    <n v="1433"/>
    <n v="173"/>
    <n v="498"/>
    <n v="1121"/>
    <n v="109"/>
    <n v="120"/>
    <n v="0.98199999999999998"/>
  </r>
  <r>
    <n v="2000"/>
    <x v="5"/>
    <s v="CHA"/>
    <n v="1"/>
    <s v="Y"/>
    <s v="N"/>
    <s v="N"/>
    <s v="N"/>
    <n v="95"/>
    <n v="67"/>
    <n v="978"/>
    <n v="5646"/>
    <n v="1615"/>
    <n v="325"/>
    <n v="33"/>
    <n v="216"/>
    <n v="591"/>
    <n v="960"/>
    <n v="119"/>
    <n v="42"/>
    <n v="53"/>
    <n v="61"/>
    <n v="839"/>
    <n v="751"/>
    <n v="4.66"/>
    <n v="5"/>
    <n v="7"/>
    <n v="43"/>
    <n v="4351"/>
    <n v="1509"/>
    <n v="195"/>
    <n v="614"/>
    <n v="1037"/>
    <n v="133"/>
    <n v="190"/>
    <n v="0.97799999999999998"/>
  </r>
  <r>
    <n v="2000"/>
    <x v="6"/>
    <s v="CHN"/>
    <n v="6"/>
    <s v="N"/>
    <s v="N"/>
    <s v="N"/>
    <s v="N"/>
    <n v="65"/>
    <n v="97"/>
    <n v="764"/>
    <n v="5577"/>
    <n v="1426"/>
    <n v="272"/>
    <n v="23"/>
    <n v="183"/>
    <n v="632"/>
    <n v="1120"/>
    <n v="93"/>
    <n v="37"/>
    <n v="54"/>
    <n v="45"/>
    <n v="904"/>
    <n v="849"/>
    <n v="5.25"/>
    <n v="10"/>
    <n v="5"/>
    <n v="39"/>
    <n v="4364"/>
    <n v="1505"/>
    <n v="231"/>
    <n v="658"/>
    <n v="1143"/>
    <n v="100"/>
    <n v="139"/>
    <n v="0.98299999999999998"/>
  </r>
  <r>
    <n v="2000"/>
    <x v="7"/>
    <s v="CIN"/>
    <n v="2"/>
    <s v="N"/>
    <s v="N"/>
    <s v="N"/>
    <s v="N"/>
    <n v="85"/>
    <n v="77"/>
    <n v="825"/>
    <n v="5635"/>
    <n v="1545"/>
    <n v="302"/>
    <n v="36"/>
    <n v="200"/>
    <n v="559"/>
    <n v="995"/>
    <n v="100"/>
    <n v="38"/>
    <n v="64"/>
    <n v="58"/>
    <n v="765"/>
    <n v="700"/>
    <n v="4.33"/>
    <n v="8"/>
    <n v="7"/>
    <n v="42"/>
    <n v="4369"/>
    <n v="1446"/>
    <n v="190"/>
    <n v="659"/>
    <n v="1015"/>
    <n v="111"/>
    <n v="156"/>
    <n v="0.98199999999999998"/>
  </r>
  <r>
    <n v="2000"/>
    <x v="8"/>
    <s v="CLE"/>
    <n v="2"/>
    <s v="N"/>
    <s v="N"/>
    <s v="N"/>
    <s v="N"/>
    <n v="90"/>
    <n v="72"/>
    <n v="950"/>
    <n v="5683"/>
    <n v="1639"/>
    <n v="310"/>
    <n v="30"/>
    <n v="221"/>
    <n v="685"/>
    <n v="1057"/>
    <n v="113"/>
    <n v="34"/>
    <n v="51"/>
    <n v="52"/>
    <n v="816"/>
    <n v="775"/>
    <n v="4.84"/>
    <n v="6"/>
    <n v="5"/>
    <n v="34"/>
    <n v="4327"/>
    <n v="1511"/>
    <n v="173"/>
    <n v="666"/>
    <n v="1213"/>
    <n v="72"/>
    <n v="147"/>
    <n v="0.98799999999999999"/>
  </r>
  <r>
    <n v="2000"/>
    <x v="9"/>
    <s v="COL"/>
    <n v="4"/>
    <s v="N"/>
    <s v="N"/>
    <s v="N"/>
    <s v="N"/>
    <n v="82"/>
    <n v="80"/>
    <n v="968"/>
    <n v="5660"/>
    <n v="1664"/>
    <n v="320"/>
    <n v="53"/>
    <n v="161"/>
    <n v="601"/>
    <n v="907"/>
    <n v="131"/>
    <n v="61"/>
    <n v="42"/>
    <n v="75"/>
    <n v="897"/>
    <n v="835"/>
    <n v="5.26"/>
    <n v="7"/>
    <n v="2"/>
    <n v="33"/>
    <n v="4290"/>
    <n v="1568"/>
    <n v="221"/>
    <n v="588"/>
    <n v="1001"/>
    <n v="94"/>
    <n v="176"/>
    <n v="0.98499999999999999"/>
  </r>
  <r>
    <n v="2000"/>
    <x v="10"/>
    <s v="DET"/>
    <n v="3"/>
    <s v="N"/>
    <s v="N"/>
    <s v="N"/>
    <s v="N"/>
    <n v="79"/>
    <n v="83"/>
    <n v="823"/>
    <n v="5644"/>
    <n v="1553"/>
    <n v="307"/>
    <n v="41"/>
    <n v="177"/>
    <n v="562"/>
    <n v="982"/>
    <n v="83"/>
    <n v="38"/>
    <n v="43"/>
    <n v="49"/>
    <n v="827"/>
    <n v="755"/>
    <n v="4.71"/>
    <n v="6"/>
    <n v="6"/>
    <n v="44"/>
    <n v="4330"/>
    <n v="1583"/>
    <n v="177"/>
    <n v="496"/>
    <n v="978"/>
    <n v="105"/>
    <n v="171"/>
    <n v="0.98299999999999998"/>
  </r>
  <r>
    <n v="2000"/>
    <x v="11"/>
    <s v="FLO"/>
    <n v="3"/>
    <s v="N"/>
    <s v="N"/>
    <s v="N"/>
    <s v="N"/>
    <n v="79"/>
    <n v="82"/>
    <n v="731"/>
    <n v="5509"/>
    <n v="1441"/>
    <n v="274"/>
    <n v="29"/>
    <n v="160"/>
    <n v="540"/>
    <n v="1184"/>
    <n v="168"/>
    <n v="55"/>
    <n v="60"/>
    <n v="51"/>
    <n v="797"/>
    <n v="729"/>
    <n v="4.59"/>
    <n v="5"/>
    <n v="4"/>
    <n v="48"/>
    <n v="4289"/>
    <n v="1477"/>
    <n v="169"/>
    <n v="650"/>
    <n v="1051"/>
    <n v="125"/>
    <n v="144"/>
    <n v="0.98"/>
  </r>
  <r>
    <n v="2000"/>
    <x v="12"/>
    <s v="HOU"/>
    <n v="4"/>
    <s v="N"/>
    <s v="N"/>
    <s v="N"/>
    <s v="N"/>
    <n v="72"/>
    <n v="90"/>
    <n v="938"/>
    <n v="5570"/>
    <n v="1547"/>
    <n v="289"/>
    <n v="36"/>
    <n v="249"/>
    <n v="673"/>
    <n v="1129"/>
    <n v="114"/>
    <n v="52"/>
    <n v="83"/>
    <n v="61"/>
    <n v="944"/>
    <n v="865"/>
    <n v="5.42"/>
    <n v="8"/>
    <n v="2"/>
    <n v="30"/>
    <n v="4313"/>
    <n v="1596"/>
    <n v="234"/>
    <n v="598"/>
    <n v="1064"/>
    <n v="133"/>
    <n v="149"/>
    <n v="0.97799999999999998"/>
  </r>
  <r>
    <n v="2000"/>
    <x v="13"/>
    <s v="KCA"/>
    <n v="4"/>
    <s v="N"/>
    <s v="N"/>
    <s v="N"/>
    <s v="N"/>
    <n v="77"/>
    <n v="85"/>
    <n v="879"/>
    <n v="5709"/>
    <n v="1644"/>
    <n v="281"/>
    <n v="27"/>
    <n v="150"/>
    <n v="511"/>
    <n v="840"/>
    <n v="121"/>
    <n v="35"/>
    <n v="48"/>
    <n v="70"/>
    <n v="930"/>
    <n v="876"/>
    <n v="5.48"/>
    <n v="10"/>
    <n v="6"/>
    <n v="29"/>
    <n v="4318"/>
    <n v="1585"/>
    <n v="239"/>
    <n v="693"/>
    <n v="927"/>
    <n v="102"/>
    <n v="185"/>
    <n v="0.98299999999999998"/>
  </r>
  <r>
    <n v="2000"/>
    <x v="14"/>
    <s v="LAN"/>
    <n v="2"/>
    <s v="N"/>
    <s v="N"/>
    <s v="N"/>
    <s v="N"/>
    <n v="86"/>
    <n v="76"/>
    <n v="798"/>
    <n v="5481"/>
    <n v="1408"/>
    <n v="265"/>
    <n v="28"/>
    <n v="211"/>
    <n v="668"/>
    <n v="1083"/>
    <n v="95"/>
    <n v="42"/>
    <n v="51"/>
    <n v="46"/>
    <n v="729"/>
    <n v="659"/>
    <n v="4.0999999999999996"/>
    <n v="9"/>
    <n v="11"/>
    <n v="36"/>
    <n v="4335"/>
    <n v="1379"/>
    <n v="176"/>
    <n v="600"/>
    <n v="1154"/>
    <n v="135"/>
    <n v="151"/>
    <n v="0.97799999999999998"/>
  </r>
  <r>
    <n v="2000"/>
    <x v="15"/>
    <s v="MIL"/>
    <n v="3"/>
    <s v="N"/>
    <s v="N"/>
    <s v="N"/>
    <s v="N"/>
    <n v="73"/>
    <n v="89"/>
    <n v="740"/>
    <n v="5563"/>
    <n v="1366"/>
    <n v="297"/>
    <n v="25"/>
    <n v="177"/>
    <n v="620"/>
    <n v="1245"/>
    <n v="72"/>
    <n v="44"/>
    <n v="61"/>
    <n v="49"/>
    <n v="826"/>
    <n v="755"/>
    <n v="4.63"/>
    <n v="2"/>
    <n v="7"/>
    <n v="29"/>
    <n v="4399"/>
    <n v="1501"/>
    <n v="174"/>
    <n v="728"/>
    <n v="967"/>
    <n v="118"/>
    <n v="187"/>
    <n v="0.98099999999999998"/>
  </r>
  <r>
    <n v="2000"/>
    <x v="16"/>
    <s v="MIN"/>
    <n v="5"/>
    <s v="N"/>
    <s v="N"/>
    <s v="N"/>
    <s v="N"/>
    <n v="69"/>
    <n v="93"/>
    <n v="748"/>
    <n v="5615"/>
    <n v="1516"/>
    <n v="325"/>
    <n v="49"/>
    <n v="116"/>
    <n v="556"/>
    <n v="1021"/>
    <n v="90"/>
    <n v="45"/>
    <n v="35"/>
    <n v="51"/>
    <n v="880"/>
    <n v="819"/>
    <n v="5.14"/>
    <n v="6"/>
    <n v="4"/>
    <n v="35"/>
    <n v="4298"/>
    <n v="1634"/>
    <n v="212"/>
    <n v="516"/>
    <n v="1042"/>
    <n v="102"/>
    <n v="155"/>
    <n v="0.98299999999999998"/>
  </r>
  <r>
    <n v="2000"/>
    <x v="17"/>
    <s v="MON"/>
    <n v="4"/>
    <s v="N"/>
    <s v="N"/>
    <s v="N"/>
    <s v="N"/>
    <n v="67"/>
    <n v="95"/>
    <n v="738"/>
    <n v="5535"/>
    <n v="1475"/>
    <n v="310"/>
    <n v="35"/>
    <n v="178"/>
    <n v="476"/>
    <n v="1048"/>
    <n v="58"/>
    <n v="48"/>
    <n v="29"/>
    <n v="34"/>
    <n v="902"/>
    <n v="812"/>
    <n v="5.13"/>
    <n v="4"/>
    <n v="7"/>
    <n v="39"/>
    <n v="4274"/>
    <n v="1575"/>
    <n v="181"/>
    <n v="579"/>
    <n v="1011"/>
    <n v="132"/>
    <n v="151"/>
    <n v="0.97799999999999998"/>
  </r>
  <r>
    <n v="2000"/>
    <x v="18"/>
    <s v="NYA"/>
    <n v="1"/>
    <s v="Y"/>
    <s v="N"/>
    <s v="Y"/>
    <s v="Y"/>
    <n v="87"/>
    <n v="74"/>
    <n v="871"/>
    <n v="5556"/>
    <n v="1541"/>
    <n v="294"/>
    <n v="25"/>
    <n v="205"/>
    <n v="631"/>
    <n v="1007"/>
    <n v="99"/>
    <n v="48"/>
    <n v="57"/>
    <n v="50"/>
    <n v="814"/>
    <n v="753"/>
    <n v="4.76"/>
    <n v="9"/>
    <n v="6"/>
    <n v="40"/>
    <n v="4273"/>
    <n v="1458"/>
    <n v="177"/>
    <n v="577"/>
    <n v="1040"/>
    <n v="109"/>
    <n v="132"/>
    <n v="0.98099999999999998"/>
  </r>
  <r>
    <n v="2000"/>
    <x v="19"/>
    <s v="NYN"/>
    <n v="2"/>
    <s v="N"/>
    <s v="Y"/>
    <s v="Y"/>
    <s v="N"/>
    <n v="94"/>
    <n v="68"/>
    <n v="807"/>
    <n v="5486"/>
    <n v="1445"/>
    <n v="281"/>
    <n v="20"/>
    <n v="198"/>
    <n v="675"/>
    <n v="1037"/>
    <n v="66"/>
    <n v="46"/>
    <n v="45"/>
    <n v="51"/>
    <n v="738"/>
    <n v="670"/>
    <n v="4.16"/>
    <n v="8"/>
    <n v="10"/>
    <n v="49"/>
    <n v="4350"/>
    <n v="1398"/>
    <n v="164"/>
    <n v="574"/>
    <n v="1164"/>
    <n v="118"/>
    <n v="121"/>
    <n v="0.98"/>
  </r>
  <r>
    <n v="2000"/>
    <x v="20"/>
    <s v="OAK"/>
    <n v="1"/>
    <s v="Y"/>
    <s v="N"/>
    <s v="N"/>
    <s v="N"/>
    <n v="91"/>
    <n v="70"/>
    <n v="947"/>
    <n v="5560"/>
    <n v="1501"/>
    <n v="281"/>
    <n v="23"/>
    <n v="239"/>
    <n v="750"/>
    <n v="1159"/>
    <n v="40"/>
    <n v="15"/>
    <n v="52"/>
    <n v="44"/>
    <n v="813"/>
    <n v="730"/>
    <n v="4.58"/>
    <n v="7"/>
    <n v="11"/>
    <n v="43"/>
    <n v="4306"/>
    <n v="1535"/>
    <n v="158"/>
    <n v="615"/>
    <n v="963"/>
    <n v="134"/>
    <n v="164"/>
    <n v="0.97799999999999998"/>
  </r>
  <r>
    <n v="2000"/>
    <x v="21"/>
    <s v="PHI"/>
    <n v="5"/>
    <s v="N"/>
    <s v="N"/>
    <s v="N"/>
    <s v="N"/>
    <n v="65"/>
    <n v="97"/>
    <n v="708"/>
    <n v="5511"/>
    <n v="1386"/>
    <n v="304"/>
    <n v="40"/>
    <n v="144"/>
    <n v="611"/>
    <n v="1117"/>
    <n v="102"/>
    <n v="30"/>
    <n v="44"/>
    <n v="37"/>
    <n v="830"/>
    <n v="763"/>
    <n v="4.7699999999999996"/>
    <n v="8"/>
    <n v="6"/>
    <n v="34"/>
    <n v="4316"/>
    <n v="1458"/>
    <n v="201"/>
    <n v="640"/>
    <n v="1123"/>
    <n v="100"/>
    <n v="136"/>
    <n v="0.98299999999999998"/>
  </r>
  <r>
    <n v="2000"/>
    <x v="22"/>
    <s v="PIT"/>
    <n v="5"/>
    <s v="N"/>
    <s v="N"/>
    <s v="N"/>
    <s v="N"/>
    <n v="69"/>
    <n v="93"/>
    <n v="793"/>
    <n v="5643"/>
    <n v="1506"/>
    <n v="320"/>
    <n v="31"/>
    <n v="168"/>
    <n v="564"/>
    <n v="1032"/>
    <n v="86"/>
    <n v="40"/>
    <n v="66"/>
    <n v="37"/>
    <n v="888"/>
    <n v="795"/>
    <n v="4.9400000000000004"/>
    <n v="5"/>
    <n v="7"/>
    <n v="27"/>
    <n v="4347"/>
    <n v="1554"/>
    <n v="163"/>
    <n v="711"/>
    <n v="1070"/>
    <n v="132"/>
    <n v="169"/>
    <n v="0.97899999999999998"/>
  </r>
  <r>
    <n v="2000"/>
    <x v="23"/>
    <s v="SDN"/>
    <n v="5"/>
    <s v="N"/>
    <s v="N"/>
    <s v="N"/>
    <s v="N"/>
    <n v="76"/>
    <n v="86"/>
    <n v="752"/>
    <n v="5560"/>
    <n v="1413"/>
    <n v="279"/>
    <n v="37"/>
    <n v="157"/>
    <n v="602"/>
    <n v="1177"/>
    <n v="131"/>
    <n v="53"/>
    <n v="46"/>
    <n v="43"/>
    <n v="815"/>
    <n v="733"/>
    <n v="4.5199999999999996"/>
    <n v="5"/>
    <n v="5"/>
    <n v="46"/>
    <n v="4378"/>
    <n v="1443"/>
    <n v="191"/>
    <n v="649"/>
    <n v="1071"/>
    <n v="141"/>
    <n v="155"/>
    <n v="0.97699999999999998"/>
  </r>
  <r>
    <n v="2000"/>
    <x v="24"/>
    <s v="SEA"/>
    <n v="2"/>
    <s v="N"/>
    <s v="Y"/>
    <s v="N"/>
    <s v="N"/>
    <n v="91"/>
    <n v="71"/>
    <n v="907"/>
    <n v="5497"/>
    <n v="1481"/>
    <n v="300"/>
    <n v="26"/>
    <n v="198"/>
    <n v="775"/>
    <n v="1073"/>
    <n v="122"/>
    <n v="56"/>
    <n v="48"/>
    <n v="61"/>
    <n v="780"/>
    <n v="720"/>
    <n v="4.49"/>
    <n v="4"/>
    <n v="10"/>
    <n v="44"/>
    <n v="4325"/>
    <n v="1442"/>
    <n v="167"/>
    <n v="634"/>
    <n v="998"/>
    <n v="99"/>
    <n v="176"/>
    <n v="0.98399999999999999"/>
  </r>
  <r>
    <n v="2000"/>
    <x v="25"/>
    <s v="SFN"/>
    <n v="1"/>
    <s v="Y"/>
    <s v="N"/>
    <s v="N"/>
    <s v="N"/>
    <n v="97"/>
    <n v="65"/>
    <n v="925"/>
    <n v="5519"/>
    <n v="1535"/>
    <n v="304"/>
    <n v="44"/>
    <n v="226"/>
    <n v="709"/>
    <n v="1032"/>
    <n v="79"/>
    <n v="39"/>
    <n v="51"/>
    <n v="66"/>
    <n v="747"/>
    <n v="675"/>
    <n v="4.21"/>
    <n v="9"/>
    <n v="15"/>
    <n v="47"/>
    <n v="4333"/>
    <n v="1452"/>
    <n v="151"/>
    <n v="623"/>
    <n v="1076"/>
    <n v="93"/>
    <n v="173"/>
    <n v="0.98499999999999999"/>
  </r>
  <r>
    <n v="2000"/>
    <x v="26"/>
    <s v="SLN"/>
    <n v="1"/>
    <s v="Y"/>
    <s v="N"/>
    <s v="N"/>
    <s v="N"/>
    <n v="95"/>
    <n v="67"/>
    <n v="887"/>
    <n v="5478"/>
    <n v="1481"/>
    <n v="259"/>
    <n v="25"/>
    <n v="235"/>
    <n v="675"/>
    <n v="1253"/>
    <n v="87"/>
    <n v="51"/>
    <n v="84"/>
    <n v="53"/>
    <n v="771"/>
    <n v="698"/>
    <n v="4.38"/>
    <n v="10"/>
    <n v="7"/>
    <n v="37"/>
    <n v="4301"/>
    <n v="1403"/>
    <n v="196"/>
    <n v="606"/>
    <n v="1100"/>
    <n v="111"/>
    <n v="148"/>
    <n v="0.98099999999999998"/>
  </r>
  <r>
    <n v="2000"/>
    <x v="27"/>
    <s v="TBA"/>
    <n v="5"/>
    <s v="N"/>
    <s v="N"/>
    <s v="N"/>
    <s v="N"/>
    <n v="69"/>
    <n v="92"/>
    <n v="733"/>
    <n v="5505"/>
    <n v="1414"/>
    <n v="253"/>
    <n v="22"/>
    <n v="162"/>
    <n v="558"/>
    <n v="1022"/>
    <n v="90"/>
    <n v="46"/>
    <n v="51"/>
    <n v="40"/>
    <n v="842"/>
    <n v="773"/>
    <n v="4.8600000000000003"/>
    <n v="10"/>
    <n v="8"/>
    <n v="38"/>
    <n v="4294"/>
    <n v="1553"/>
    <n v="198"/>
    <n v="533"/>
    <n v="955"/>
    <n v="118"/>
    <n v="169"/>
    <n v="0.98099999999999998"/>
  </r>
  <r>
    <n v="2000"/>
    <x v="28"/>
    <s v="TEX"/>
    <n v="4"/>
    <s v="N"/>
    <s v="N"/>
    <s v="N"/>
    <s v="N"/>
    <n v="71"/>
    <n v="91"/>
    <n v="848"/>
    <n v="5648"/>
    <n v="1601"/>
    <n v="330"/>
    <n v="35"/>
    <n v="173"/>
    <n v="580"/>
    <n v="922"/>
    <n v="69"/>
    <n v="47"/>
    <n v="39"/>
    <n v="48"/>
    <n v="974"/>
    <n v="876"/>
    <n v="5.52"/>
    <n v="3"/>
    <n v="4"/>
    <n v="39"/>
    <n v="4287"/>
    <n v="1683"/>
    <n v="202"/>
    <n v="661"/>
    <n v="918"/>
    <n v="135"/>
    <n v="162"/>
    <n v="0.97799999999999998"/>
  </r>
  <r>
    <n v="2000"/>
    <x v="29"/>
    <s v="TOR"/>
    <n v="3"/>
    <s v="N"/>
    <s v="N"/>
    <s v="N"/>
    <s v="N"/>
    <n v="83"/>
    <n v="79"/>
    <n v="861"/>
    <n v="5677"/>
    <n v="1562"/>
    <n v="328"/>
    <n v="21"/>
    <n v="244"/>
    <n v="526"/>
    <n v="1026"/>
    <n v="89"/>
    <n v="34"/>
    <n v="60"/>
    <n v="34"/>
    <n v="908"/>
    <n v="821"/>
    <n v="5.14"/>
    <n v="15"/>
    <n v="4"/>
    <n v="37"/>
    <n v="4312"/>
    <n v="1615"/>
    <n v="195"/>
    <n v="560"/>
    <n v="978"/>
    <n v="100"/>
    <n v="176"/>
    <n v="0.98399999999999999"/>
  </r>
  <r>
    <n v="2001"/>
    <x v="0"/>
    <s v="ANA"/>
    <n v="3"/>
    <s v="N"/>
    <s v="N"/>
    <s v="N"/>
    <s v="N"/>
    <n v="75"/>
    <n v="87"/>
    <n v="691"/>
    <n v="5551"/>
    <n v="1447"/>
    <n v="275"/>
    <n v="26"/>
    <n v="158"/>
    <n v="494"/>
    <n v="1001"/>
    <n v="116"/>
    <n v="52"/>
    <n v="77"/>
    <n v="53"/>
    <n v="730"/>
    <n v="671"/>
    <n v="4.2"/>
    <n v="6"/>
    <n v="1"/>
    <n v="43"/>
    <n v="4313"/>
    <n v="1452"/>
    <n v="168"/>
    <n v="525"/>
    <n v="947"/>
    <n v="103"/>
    <n v="142"/>
    <n v="0.98299999999999998"/>
  </r>
  <r>
    <n v="2001"/>
    <x v="1"/>
    <s v="ARI"/>
    <n v="1"/>
    <s v="Y"/>
    <s v="N"/>
    <s v="Y"/>
    <s v="Y"/>
    <n v="92"/>
    <n v="70"/>
    <n v="818"/>
    <n v="5595"/>
    <n v="1494"/>
    <n v="284"/>
    <n v="35"/>
    <n v="208"/>
    <n v="587"/>
    <n v="1052"/>
    <n v="71"/>
    <n v="38"/>
    <n v="57"/>
    <n v="36"/>
    <n v="677"/>
    <n v="627"/>
    <n v="3.87"/>
    <n v="12"/>
    <n v="13"/>
    <n v="34"/>
    <n v="4379"/>
    <n v="1352"/>
    <n v="195"/>
    <n v="461"/>
    <n v="1297"/>
    <n v="84"/>
    <n v="148"/>
    <n v="0.98599999999999999"/>
  </r>
  <r>
    <n v="2001"/>
    <x v="2"/>
    <s v="ATL"/>
    <n v="1"/>
    <s v="Y"/>
    <s v="N"/>
    <s v="N"/>
    <s v="N"/>
    <n v="88"/>
    <n v="74"/>
    <n v="729"/>
    <n v="5498"/>
    <n v="1432"/>
    <n v="263"/>
    <n v="24"/>
    <n v="174"/>
    <n v="493"/>
    <n v="1039"/>
    <n v="85"/>
    <n v="46"/>
    <n v="45"/>
    <n v="52"/>
    <n v="643"/>
    <n v="578"/>
    <n v="3.59"/>
    <n v="5"/>
    <n v="13"/>
    <n v="41"/>
    <n v="4342"/>
    <n v="1363"/>
    <n v="153"/>
    <n v="499"/>
    <n v="1133"/>
    <n v="103"/>
    <n v="133"/>
    <n v="0.98299999999999998"/>
  </r>
  <r>
    <n v="2001"/>
    <x v="3"/>
    <s v="BAL"/>
    <n v="4"/>
    <s v="N"/>
    <s v="N"/>
    <s v="N"/>
    <s v="N"/>
    <n v="63"/>
    <n v="98"/>
    <n v="687"/>
    <n v="5472"/>
    <n v="1359"/>
    <n v="262"/>
    <n v="24"/>
    <n v="136"/>
    <n v="514"/>
    <n v="989"/>
    <n v="133"/>
    <n v="53"/>
    <n v="77"/>
    <n v="49"/>
    <n v="829"/>
    <n v="744"/>
    <n v="4.67"/>
    <n v="10"/>
    <n v="6"/>
    <n v="31"/>
    <n v="4297"/>
    <n v="1504"/>
    <n v="194"/>
    <n v="528"/>
    <n v="938"/>
    <n v="125"/>
    <n v="137"/>
    <n v="0.97899999999999998"/>
  </r>
  <r>
    <n v="2001"/>
    <x v="4"/>
    <s v="BOS"/>
    <n v="2"/>
    <s v="N"/>
    <s v="N"/>
    <s v="N"/>
    <s v="N"/>
    <n v="82"/>
    <n v="79"/>
    <n v="772"/>
    <n v="5605"/>
    <n v="1493"/>
    <n v="316"/>
    <n v="29"/>
    <n v="198"/>
    <n v="520"/>
    <n v="1131"/>
    <n v="46"/>
    <n v="35"/>
    <n v="70"/>
    <n v="41"/>
    <n v="745"/>
    <n v="667"/>
    <n v="4.1500000000000004"/>
    <n v="3"/>
    <n v="9"/>
    <n v="48"/>
    <n v="4344"/>
    <n v="1412"/>
    <n v="146"/>
    <n v="544"/>
    <n v="1259"/>
    <n v="113"/>
    <n v="129"/>
    <n v="0.98099999999999998"/>
  </r>
  <r>
    <n v="2001"/>
    <x v="5"/>
    <s v="CHA"/>
    <n v="3"/>
    <s v="N"/>
    <s v="N"/>
    <s v="N"/>
    <s v="N"/>
    <n v="83"/>
    <n v="79"/>
    <n v="798"/>
    <n v="5464"/>
    <n v="1463"/>
    <n v="300"/>
    <n v="29"/>
    <n v="214"/>
    <n v="520"/>
    <n v="998"/>
    <n v="123"/>
    <n v="59"/>
    <n v="52"/>
    <n v="51"/>
    <n v="795"/>
    <n v="725"/>
    <n v="4.55"/>
    <n v="8"/>
    <n v="9"/>
    <n v="51"/>
    <n v="4300"/>
    <n v="1465"/>
    <n v="181"/>
    <n v="500"/>
    <n v="921"/>
    <n v="118"/>
    <n v="149"/>
    <n v="0.98099999999999998"/>
  </r>
  <r>
    <n v="2001"/>
    <x v="6"/>
    <s v="CHN"/>
    <n v="3"/>
    <s v="N"/>
    <s v="N"/>
    <s v="N"/>
    <s v="N"/>
    <n v="88"/>
    <n v="74"/>
    <n v="777"/>
    <n v="5406"/>
    <n v="1409"/>
    <n v="268"/>
    <n v="32"/>
    <n v="194"/>
    <n v="577"/>
    <n v="1077"/>
    <n v="67"/>
    <n v="36"/>
    <n v="66"/>
    <n v="53"/>
    <n v="701"/>
    <n v="643"/>
    <n v="4.03"/>
    <n v="8"/>
    <n v="6"/>
    <n v="41"/>
    <n v="4311"/>
    <n v="1357"/>
    <n v="164"/>
    <n v="550"/>
    <n v="1344"/>
    <n v="109"/>
    <n v="113"/>
    <n v="0.98199999999999998"/>
  </r>
  <r>
    <n v="2001"/>
    <x v="7"/>
    <s v="CIN"/>
    <n v="5"/>
    <s v="N"/>
    <s v="N"/>
    <s v="N"/>
    <s v="N"/>
    <n v="66"/>
    <n v="96"/>
    <n v="735"/>
    <n v="5583"/>
    <n v="1464"/>
    <n v="304"/>
    <n v="22"/>
    <n v="176"/>
    <n v="468"/>
    <n v="1172"/>
    <n v="103"/>
    <n v="54"/>
    <n v="65"/>
    <n v="40"/>
    <n v="850"/>
    <n v="765"/>
    <n v="4.7699999999999996"/>
    <n v="2"/>
    <n v="2"/>
    <n v="35"/>
    <n v="4328"/>
    <n v="1572"/>
    <n v="198"/>
    <n v="515"/>
    <n v="943"/>
    <n v="138"/>
    <n v="136"/>
    <n v="0.97799999999999998"/>
  </r>
  <r>
    <n v="2001"/>
    <x v="8"/>
    <s v="CLE"/>
    <n v="1"/>
    <s v="Y"/>
    <s v="N"/>
    <s v="N"/>
    <s v="N"/>
    <n v="91"/>
    <n v="71"/>
    <n v="897"/>
    <n v="5600"/>
    <n v="1559"/>
    <n v="294"/>
    <n v="37"/>
    <n v="212"/>
    <n v="577"/>
    <n v="1076"/>
    <n v="79"/>
    <n v="41"/>
    <n v="69"/>
    <n v="62"/>
    <n v="821"/>
    <n v="746"/>
    <n v="4.6399999999999997"/>
    <n v="3"/>
    <n v="4"/>
    <n v="42"/>
    <n v="4340"/>
    <n v="1512"/>
    <n v="148"/>
    <n v="573"/>
    <n v="1218"/>
    <n v="107"/>
    <n v="137"/>
    <n v="0.98199999999999998"/>
  </r>
  <r>
    <n v="2001"/>
    <x v="9"/>
    <s v="COL"/>
    <n v="5"/>
    <s v="N"/>
    <s v="N"/>
    <s v="N"/>
    <s v="N"/>
    <n v="73"/>
    <n v="89"/>
    <n v="923"/>
    <n v="5690"/>
    <n v="1663"/>
    <n v="324"/>
    <n v="61"/>
    <n v="213"/>
    <n v="511"/>
    <n v="1027"/>
    <n v="132"/>
    <n v="54"/>
    <n v="61"/>
    <n v="50"/>
    <n v="906"/>
    <n v="841"/>
    <n v="5.29"/>
    <n v="8"/>
    <n v="8"/>
    <n v="26"/>
    <n v="4290"/>
    <n v="1522"/>
    <n v="239"/>
    <n v="598"/>
    <n v="1058"/>
    <n v="96"/>
    <n v="167"/>
    <n v="0.98399999999999999"/>
  </r>
  <r>
    <n v="2001"/>
    <x v="10"/>
    <s v="DET"/>
    <n v="4"/>
    <s v="N"/>
    <s v="N"/>
    <s v="N"/>
    <s v="N"/>
    <n v="66"/>
    <n v="96"/>
    <n v="724"/>
    <n v="5537"/>
    <n v="1439"/>
    <n v="291"/>
    <n v="60"/>
    <n v="139"/>
    <n v="466"/>
    <n v="972"/>
    <n v="133"/>
    <n v="61"/>
    <n v="51"/>
    <n v="49"/>
    <n v="876"/>
    <n v="795"/>
    <n v="5.01"/>
    <n v="16"/>
    <n v="2"/>
    <n v="34"/>
    <n v="4288"/>
    <n v="1624"/>
    <n v="180"/>
    <n v="553"/>
    <n v="859"/>
    <n v="131"/>
    <n v="164"/>
    <n v="0.97899999999999998"/>
  </r>
  <r>
    <n v="2001"/>
    <x v="11"/>
    <s v="FLO"/>
    <n v="4"/>
    <s v="N"/>
    <s v="N"/>
    <s v="N"/>
    <s v="N"/>
    <n v="76"/>
    <n v="86"/>
    <n v="742"/>
    <n v="5542"/>
    <n v="1461"/>
    <n v="325"/>
    <n v="30"/>
    <n v="166"/>
    <n v="470"/>
    <n v="1145"/>
    <n v="89"/>
    <n v="40"/>
    <n v="67"/>
    <n v="45"/>
    <n v="744"/>
    <n v="691"/>
    <n v="4.32"/>
    <n v="5"/>
    <n v="11"/>
    <n v="32"/>
    <n v="4314"/>
    <n v="1397"/>
    <n v="151"/>
    <n v="617"/>
    <n v="1119"/>
    <n v="103"/>
    <n v="174"/>
    <n v="0.98299999999999998"/>
  </r>
  <r>
    <n v="2001"/>
    <x v="12"/>
    <s v="HOU"/>
    <n v="1"/>
    <s v="Y"/>
    <s v="N"/>
    <s v="N"/>
    <s v="N"/>
    <n v="93"/>
    <n v="69"/>
    <n v="847"/>
    <n v="5528"/>
    <n v="1500"/>
    <n v="313"/>
    <n v="29"/>
    <n v="208"/>
    <n v="581"/>
    <n v="1119"/>
    <n v="64"/>
    <n v="49"/>
    <n v="89"/>
    <n v="56"/>
    <n v="769"/>
    <n v="707"/>
    <n v="4.37"/>
    <n v="7"/>
    <n v="6"/>
    <n v="48"/>
    <n v="4364"/>
    <n v="1453"/>
    <n v="221"/>
    <n v="486"/>
    <n v="1228"/>
    <n v="110"/>
    <n v="138"/>
    <n v="0.98199999999999998"/>
  </r>
  <r>
    <n v="2001"/>
    <x v="13"/>
    <s v="KCA"/>
    <n v="5"/>
    <s v="N"/>
    <s v="N"/>
    <s v="N"/>
    <s v="N"/>
    <n v="65"/>
    <n v="97"/>
    <n v="729"/>
    <n v="5643"/>
    <n v="1503"/>
    <n v="277"/>
    <n v="37"/>
    <n v="152"/>
    <n v="406"/>
    <n v="898"/>
    <n v="100"/>
    <n v="42"/>
    <n v="44"/>
    <n v="47"/>
    <n v="858"/>
    <n v="779"/>
    <n v="4.87"/>
    <n v="5"/>
    <n v="1"/>
    <n v="30"/>
    <n v="4320"/>
    <n v="1537"/>
    <n v="209"/>
    <n v="576"/>
    <n v="911"/>
    <n v="117"/>
    <n v="204"/>
    <n v="0.98099999999999998"/>
  </r>
  <r>
    <n v="2001"/>
    <x v="14"/>
    <s v="LAN"/>
    <n v="3"/>
    <s v="N"/>
    <s v="N"/>
    <s v="N"/>
    <s v="N"/>
    <n v="86"/>
    <n v="76"/>
    <n v="758"/>
    <n v="5493"/>
    <n v="1399"/>
    <n v="264"/>
    <n v="27"/>
    <n v="206"/>
    <n v="519"/>
    <n v="1062"/>
    <n v="89"/>
    <n v="42"/>
    <n v="56"/>
    <n v="44"/>
    <n v="744"/>
    <n v="685"/>
    <n v="4.25"/>
    <n v="3"/>
    <n v="5"/>
    <n v="46"/>
    <n v="4352"/>
    <n v="1387"/>
    <n v="184"/>
    <n v="524"/>
    <n v="1212"/>
    <n v="116"/>
    <n v="138"/>
    <n v="0.98099999999999998"/>
  </r>
  <r>
    <n v="2001"/>
    <x v="15"/>
    <s v="MIL"/>
    <n v="4"/>
    <s v="N"/>
    <s v="N"/>
    <s v="N"/>
    <s v="N"/>
    <n v="68"/>
    <n v="94"/>
    <n v="740"/>
    <n v="5488"/>
    <n v="1378"/>
    <n v="273"/>
    <n v="30"/>
    <n v="209"/>
    <n v="488"/>
    <n v="1399"/>
    <n v="66"/>
    <n v="36"/>
    <n v="72"/>
    <n v="35"/>
    <n v="806"/>
    <n v="740"/>
    <n v="4.6399999999999997"/>
    <n v="3"/>
    <n v="8"/>
    <n v="28"/>
    <n v="4309"/>
    <n v="1452"/>
    <n v="197"/>
    <n v="667"/>
    <n v="1057"/>
    <n v="103"/>
    <n v="156"/>
    <n v="0.98299999999999998"/>
  </r>
  <r>
    <n v="2001"/>
    <x v="16"/>
    <s v="MIN"/>
    <n v="2"/>
    <s v="N"/>
    <s v="N"/>
    <s v="N"/>
    <s v="N"/>
    <n v="85"/>
    <n v="77"/>
    <n v="771"/>
    <n v="5560"/>
    <n v="1514"/>
    <n v="328"/>
    <n v="38"/>
    <n v="164"/>
    <n v="495"/>
    <n v="1083"/>
    <n v="146"/>
    <n v="67"/>
    <n v="64"/>
    <n v="38"/>
    <n v="766"/>
    <n v="722"/>
    <n v="4.51"/>
    <n v="12"/>
    <n v="8"/>
    <n v="45"/>
    <n v="4324"/>
    <n v="1494"/>
    <n v="192"/>
    <n v="445"/>
    <n v="965"/>
    <n v="108"/>
    <n v="118"/>
    <n v="0.98199999999999998"/>
  </r>
  <r>
    <n v="2001"/>
    <x v="17"/>
    <s v="MON"/>
    <n v="5"/>
    <s v="N"/>
    <s v="N"/>
    <s v="N"/>
    <s v="N"/>
    <n v="68"/>
    <n v="94"/>
    <n v="670"/>
    <n v="5379"/>
    <n v="1361"/>
    <n v="320"/>
    <n v="28"/>
    <n v="131"/>
    <n v="478"/>
    <n v="1071"/>
    <n v="101"/>
    <n v="51"/>
    <n v="60"/>
    <n v="45"/>
    <n v="812"/>
    <n v="745"/>
    <n v="4.68"/>
    <n v="5"/>
    <n v="11"/>
    <n v="28"/>
    <n v="4294"/>
    <n v="1509"/>
    <n v="190"/>
    <n v="525"/>
    <n v="1103"/>
    <n v="108"/>
    <n v="139"/>
    <n v="0.98199999999999998"/>
  </r>
  <r>
    <n v="2001"/>
    <x v="18"/>
    <s v="NYA"/>
    <n v="1"/>
    <s v="Y"/>
    <s v="N"/>
    <s v="Y"/>
    <s v="N"/>
    <n v="95"/>
    <n v="65"/>
    <n v="804"/>
    <n v="5577"/>
    <n v="1488"/>
    <n v="289"/>
    <n v="20"/>
    <n v="203"/>
    <n v="519"/>
    <n v="1035"/>
    <n v="161"/>
    <n v="53"/>
    <n v="64"/>
    <n v="43"/>
    <n v="713"/>
    <n v="649"/>
    <n v="4.0199999999999996"/>
    <n v="7"/>
    <n v="9"/>
    <n v="57"/>
    <n v="4354"/>
    <n v="1429"/>
    <n v="158"/>
    <n v="465"/>
    <n v="1266"/>
    <n v="109"/>
    <n v="132"/>
    <n v="0.98199999999999998"/>
  </r>
  <r>
    <n v="2001"/>
    <x v="19"/>
    <s v="NYN"/>
    <n v="3"/>
    <s v="N"/>
    <s v="N"/>
    <s v="N"/>
    <s v="N"/>
    <n v="82"/>
    <n v="80"/>
    <n v="642"/>
    <n v="5459"/>
    <n v="1361"/>
    <n v="273"/>
    <n v="18"/>
    <n v="147"/>
    <n v="545"/>
    <n v="1062"/>
    <n v="66"/>
    <n v="48"/>
    <n v="65"/>
    <n v="35"/>
    <n v="713"/>
    <n v="654"/>
    <n v="4.07"/>
    <n v="6"/>
    <n v="14"/>
    <n v="48"/>
    <n v="4337"/>
    <n v="1418"/>
    <n v="186"/>
    <n v="438"/>
    <n v="1191"/>
    <n v="101"/>
    <n v="132"/>
    <n v="0.98299999999999998"/>
  </r>
  <r>
    <n v="2001"/>
    <x v="20"/>
    <s v="OAK"/>
    <n v="2"/>
    <s v="N"/>
    <s v="Y"/>
    <s v="N"/>
    <s v="N"/>
    <n v="102"/>
    <n v="60"/>
    <n v="884"/>
    <n v="5573"/>
    <n v="1469"/>
    <n v="334"/>
    <n v="22"/>
    <n v="199"/>
    <n v="640"/>
    <n v="1021"/>
    <n v="68"/>
    <n v="29"/>
    <n v="88"/>
    <n v="59"/>
    <n v="645"/>
    <n v="583"/>
    <n v="3.59"/>
    <n v="13"/>
    <n v="9"/>
    <n v="44"/>
    <n v="4390"/>
    <n v="1384"/>
    <n v="153"/>
    <n v="440"/>
    <n v="1117"/>
    <n v="125"/>
    <n v="151"/>
    <n v="0.98"/>
  </r>
  <r>
    <n v="2001"/>
    <x v="21"/>
    <s v="PHI"/>
    <n v="2"/>
    <s v="N"/>
    <s v="N"/>
    <s v="N"/>
    <s v="N"/>
    <n v="86"/>
    <n v="76"/>
    <n v="746"/>
    <n v="5497"/>
    <n v="1431"/>
    <n v="295"/>
    <n v="29"/>
    <n v="164"/>
    <n v="551"/>
    <n v="1125"/>
    <n v="153"/>
    <n v="47"/>
    <n v="43"/>
    <n v="61"/>
    <n v="719"/>
    <n v="667"/>
    <n v="4.1500000000000004"/>
    <n v="8"/>
    <n v="7"/>
    <n v="47"/>
    <n v="4336"/>
    <n v="1417"/>
    <n v="170"/>
    <n v="527"/>
    <n v="1086"/>
    <n v="91"/>
    <n v="145"/>
    <n v="0.98499999999999999"/>
  </r>
  <r>
    <n v="2001"/>
    <x v="22"/>
    <s v="PIT"/>
    <n v="6"/>
    <s v="N"/>
    <s v="N"/>
    <s v="N"/>
    <s v="N"/>
    <n v="62"/>
    <n v="100"/>
    <n v="657"/>
    <n v="5398"/>
    <n v="1333"/>
    <n v="256"/>
    <n v="25"/>
    <n v="161"/>
    <n v="467"/>
    <n v="1106"/>
    <n v="93"/>
    <n v="73"/>
    <n v="67"/>
    <n v="35"/>
    <n v="858"/>
    <n v="794"/>
    <n v="5.05"/>
    <n v="8"/>
    <n v="9"/>
    <n v="36"/>
    <n v="4249"/>
    <n v="1493"/>
    <n v="167"/>
    <n v="549"/>
    <n v="908"/>
    <n v="133"/>
    <n v="168"/>
    <n v="0.97799999999999998"/>
  </r>
  <r>
    <n v="2001"/>
    <x v="23"/>
    <s v="SDN"/>
    <n v="4"/>
    <s v="N"/>
    <s v="N"/>
    <s v="N"/>
    <s v="N"/>
    <n v="79"/>
    <n v="83"/>
    <n v="789"/>
    <n v="5482"/>
    <n v="1379"/>
    <n v="273"/>
    <n v="26"/>
    <n v="161"/>
    <n v="678"/>
    <n v="1273"/>
    <n v="129"/>
    <n v="44"/>
    <n v="41"/>
    <n v="48"/>
    <n v="812"/>
    <n v="724"/>
    <n v="4.5199999999999996"/>
    <n v="5"/>
    <n v="6"/>
    <n v="46"/>
    <n v="4322"/>
    <n v="1519"/>
    <n v="219"/>
    <n v="476"/>
    <n v="1088"/>
    <n v="145"/>
    <n v="127"/>
    <n v="0.97599999999999998"/>
  </r>
  <r>
    <n v="2001"/>
    <x v="24"/>
    <s v="SEA"/>
    <n v="1"/>
    <s v="Y"/>
    <s v="N"/>
    <s v="N"/>
    <s v="N"/>
    <n v="116"/>
    <n v="46"/>
    <n v="927"/>
    <n v="5680"/>
    <n v="1637"/>
    <n v="310"/>
    <n v="38"/>
    <n v="169"/>
    <n v="614"/>
    <n v="989"/>
    <n v="174"/>
    <n v="42"/>
    <n v="62"/>
    <n v="70"/>
    <n v="627"/>
    <n v="576"/>
    <n v="3.54"/>
    <n v="8"/>
    <n v="14"/>
    <n v="56"/>
    <n v="4395"/>
    <n v="1293"/>
    <n v="160"/>
    <n v="465"/>
    <n v="1051"/>
    <n v="83"/>
    <n v="137"/>
    <n v="0.98599999999999999"/>
  </r>
  <r>
    <n v="2001"/>
    <x v="25"/>
    <s v="SFN"/>
    <n v="2"/>
    <s v="N"/>
    <s v="N"/>
    <s v="N"/>
    <s v="N"/>
    <n v="90"/>
    <n v="72"/>
    <n v="799"/>
    <n v="5612"/>
    <n v="1493"/>
    <n v="304"/>
    <n v="40"/>
    <n v="235"/>
    <n v="625"/>
    <n v="1090"/>
    <n v="57"/>
    <n v="42"/>
    <n v="50"/>
    <n v="54"/>
    <n v="748"/>
    <n v="680"/>
    <n v="4.18"/>
    <n v="3"/>
    <n v="8"/>
    <n v="47"/>
    <n v="4390"/>
    <n v="1437"/>
    <n v="145"/>
    <n v="579"/>
    <n v="1080"/>
    <n v="118"/>
    <n v="170"/>
    <n v="0.98099999999999998"/>
  </r>
  <r>
    <n v="2001"/>
    <x v="26"/>
    <s v="SLN"/>
    <n v="2"/>
    <s v="N"/>
    <s v="Y"/>
    <s v="N"/>
    <s v="N"/>
    <n v="93"/>
    <n v="69"/>
    <n v="814"/>
    <n v="5450"/>
    <n v="1469"/>
    <n v="274"/>
    <n v="32"/>
    <n v="199"/>
    <n v="529"/>
    <n v="1089"/>
    <n v="91"/>
    <n v="35"/>
    <n v="65"/>
    <n v="50"/>
    <n v="684"/>
    <n v="627"/>
    <n v="3.93"/>
    <n v="8"/>
    <n v="11"/>
    <n v="38"/>
    <n v="4306"/>
    <n v="1389"/>
    <n v="196"/>
    <n v="526"/>
    <n v="1083"/>
    <n v="110"/>
    <n v="156"/>
    <n v="0.98199999999999998"/>
  </r>
  <r>
    <n v="2001"/>
    <x v="27"/>
    <s v="TBA"/>
    <n v="5"/>
    <s v="N"/>
    <s v="N"/>
    <s v="N"/>
    <s v="N"/>
    <n v="62"/>
    <n v="100"/>
    <n v="672"/>
    <n v="5524"/>
    <n v="1426"/>
    <n v="311"/>
    <n v="21"/>
    <n v="121"/>
    <n v="456"/>
    <n v="1116"/>
    <n v="115"/>
    <n v="52"/>
    <n v="54"/>
    <n v="25"/>
    <n v="887"/>
    <n v="781"/>
    <n v="4.9400000000000004"/>
    <n v="1"/>
    <n v="6"/>
    <n v="30"/>
    <n v="4271"/>
    <n v="1513"/>
    <n v="207"/>
    <n v="569"/>
    <n v="1030"/>
    <n v="139"/>
    <n v="144"/>
    <n v="0.97699999999999998"/>
  </r>
  <r>
    <n v="2001"/>
    <x v="28"/>
    <s v="TEX"/>
    <n v="4"/>
    <s v="N"/>
    <s v="N"/>
    <s v="N"/>
    <s v="N"/>
    <n v="73"/>
    <n v="89"/>
    <n v="890"/>
    <n v="5685"/>
    <n v="1566"/>
    <n v="326"/>
    <n v="23"/>
    <n v="246"/>
    <n v="548"/>
    <n v="1093"/>
    <n v="97"/>
    <n v="32"/>
    <n v="75"/>
    <n v="55"/>
    <n v="968"/>
    <n v="913"/>
    <n v="5.71"/>
    <n v="4"/>
    <n v="3"/>
    <n v="37"/>
    <n v="4315"/>
    <n v="1670"/>
    <n v="222"/>
    <n v="596"/>
    <n v="951"/>
    <n v="114"/>
    <n v="167"/>
    <n v="0.98099999999999998"/>
  </r>
  <r>
    <n v="2001"/>
    <x v="29"/>
    <s v="TOR"/>
    <n v="3"/>
    <s v="N"/>
    <s v="N"/>
    <s v="N"/>
    <s v="N"/>
    <n v="80"/>
    <n v="82"/>
    <n v="767"/>
    <n v="5663"/>
    <n v="1489"/>
    <n v="287"/>
    <n v="36"/>
    <n v="195"/>
    <n v="470"/>
    <n v="1094"/>
    <n v="156"/>
    <n v="55"/>
    <n v="74"/>
    <n v="43"/>
    <n v="753"/>
    <n v="696"/>
    <n v="4.28"/>
    <n v="7"/>
    <n v="10"/>
    <n v="41"/>
    <n v="4388"/>
    <n v="1553"/>
    <n v="165"/>
    <n v="490"/>
    <n v="1041"/>
    <n v="97"/>
    <n v="184"/>
    <n v="0.98499999999999999"/>
  </r>
  <r>
    <n v="2002"/>
    <x v="0"/>
    <s v="ANA"/>
    <n v="2"/>
    <s v="N"/>
    <s v="Y"/>
    <s v="Y"/>
    <s v="Y"/>
    <n v="99"/>
    <n v="63"/>
    <n v="851"/>
    <n v="5678"/>
    <n v="1603"/>
    <n v="333"/>
    <n v="32"/>
    <n v="152"/>
    <n v="462"/>
    <n v="805"/>
    <n v="117"/>
    <n v="51"/>
    <n v="74"/>
    <n v="64"/>
    <n v="644"/>
    <n v="595"/>
    <n v="3.69"/>
    <n v="7"/>
    <n v="14"/>
    <n v="54"/>
    <n v="4357"/>
    <n v="1345"/>
    <n v="169"/>
    <n v="509"/>
    <n v="999"/>
    <n v="87"/>
    <n v="151"/>
    <n v="0.98599999999999999"/>
  </r>
  <r>
    <n v="2002"/>
    <x v="1"/>
    <s v="ARI"/>
    <n v="1"/>
    <s v="Y"/>
    <s v="N"/>
    <s v="N"/>
    <s v="N"/>
    <n v="98"/>
    <n v="64"/>
    <n v="819"/>
    <n v="5508"/>
    <n v="1471"/>
    <n v="283"/>
    <n v="41"/>
    <n v="165"/>
    <n v="643"/>
    <n v="1016"/>
    <n v="92"/>
    <n v="46"/>
    <n v="50"/>
    <n v="53"/>
    <n v="674"/>
    <n v="630"/>
    <n v="3.92"/>
    <n v="14"/>
    <n v="10"/>
    <n v="40"/>
    <n v="4340"/>
    <n v="1361"/>
    <n v="170"/>
    <n v="421"/>
    <n v="1303"/>
    <n v="89"/>
    <n v="116"/>
    <n v="0.98499999999999999"/>
  </r>
  <r>
    <n v="2002"/>
    <x v="2"/>
    <s v="ATL"/>
    <n v="1"/>
    <s v="Y"/>
    <s v="N"/>
    <s v="N"/>
    <s v="N"/>
    <n v="101"/>
    <n v="59"/>
    <n v="708"/>
    <n v="5495"/>
    <n v="1428"/>
    <n v="280"/>
    <n v="25"/>
    <n v="164"/>
    <n v="558"/>
    <n v="1028"/>
    <n v="76"/>
    <n v="39"/>
    <n v="54"/>
    <n v="49"/>
    <n v="565"/>
    <n v="511"/>
    <n v="3.13"/>
    <n v="3"/>
    <n v="15"/>
    <n v="57"/>
    <n v="4402"/>
    <n v="1302"/>
    <n v="123"/>
    <n v="554"/>
    <n v="1058"/>
    <n v="114"/>
    <n v="170"/>
    <n v="0.98199999999999998"/>
  </r>
  <r>
    <n v="2002"/>
    <x v="3"/>
    <s v="BAL"/>
    <n v="4"/>
    <s v="N"/>
    <s v="N"/>
    <s v="N"/>
    <s v="N"/>
    <n v="67"/>
    <n v="95"/>
    <n v="667"/>
    <n v="5491"/>
    <n v="1353"/>
    <n v="311"/>
    <n v="27"/>
    <n v="165"/>
    <n v="452"/>
    <n v="993"/>
    <n v="110"/>
    <n v="48"/>
    <n v="64"/>
    <n v="49"/>
    <n v="773"/>
    <n v="719"/>
    <n v="4.46"/>
    <n v="8"/>
    <n v="3"/>
    <n v="31"/>
    <n v="4352"/>
    <n v="1491"/>
    <n v="208"/>
    <n v="549"/>
    <n v="967"/>
    <n v="91"/>
    <n v="173"/>
    <n v="0.98499999999999999"/>
  </r>
  <r>
    <n v="2002"/>
    <x v="4"/>
    <s v="BOS"/>
    <n v="2"/>
    <s v="N"/>
    <s v="N"/>
    <s v="N"/>
    <s v="N"/>
    <n v="93"/>
    <n v="69"/>
    <n v="859"/>
    <n v="5640"/>
    <n v="1560"/>
    <n v="348"/>
    <n v="33"/>
    <n v="177"/>
    <n v="545"/>
    <n v="944"/>
    <n v="80"/>
    <n v="28"/>
    <n v="72"/>
    <n v="53"/>
    <n v="665"/>
    <n v="603"/>
    <n v="3.75"/>
    <n v="5"/>
    <n v="17"/>
    <n v="51"/>
    <n v="4338"/>
    <n v="1339"/>
    <n v="146"/>
    <n v="430"/>
    <n v="1157"/>
    <n v="104"/>
    <n v="140"/>
    <n v="0.98299999999999998"/>
  </r>
  <r>
    <n v="2002"/>
    <x v="5"/>
    <s v="CHA"/>
    <n v="2"/>
    <s v="N"/>
    <s v="N"/>
    <s v="N"/>
    <s v="N"/>
    <n v="81"/>
    <n v="81"/>
    <n v="856"/>
    <n v="5502"/>
    <n v="1475"/>
    <n v="289"/>
    <n v="29"/>
    <n v="217"/>
    <n v="555"/>
    <n v="952"/>
    <n v="75"/>
    <n v="31"/>
    <n v="49"/>
    <n v="53"/>
    <n v="798"/>
    <n v="716"/>
    <n v="4.53"/>
    <n v="7"/>
    <n v="7"/>
    <n v="35"/>
    <n v="4269"/>
    <n v="1422"/>
    <n v="190"/>
    <n v="528"/>
    <n v="945"/>
    <n v="97"/>
    <n v="157"/>
    <n v="0.98399999999999999"/>
  </r>
  <r>
    <n v="2002"/>
    <x v="6"/>
    <s v="CHN"/>
    <n v="5"/>
    <s v="N"/>
    <s v="N"/>
    <s v="N"/>
    <s v="N"/>
    <n v="67"/>
    <n v="95"/>
    <n v="706"/>
    <n v="5496"/>
    <n v="1351"/>
    <n v="259"/>
    <n v="29"/>
    <n v="200"/>
    <n v="585"/>
    <n v="1269"/>
    <n v="63"/>
    <n v="21"/>
    <n v="44"/>
    <n v="39"/>
    <n v="759"/>
    <n v="687"/>
    <n v="4.29"/>
    <n v="11"/>
    <n v="9"/>
    <n v="23"/>
    <n v="4324"/>
    <n v="1373"/>
    <n v="167"/>
    <n v="606"/>
    <n v="1333"/>
    <n v="114"/>
    <n v="144"/>
    <n v="0.98099999999999998"/>
  </r>
  <r>
    <n v="2002"/>
    <x v="7"/>
    <s v="CIN"/>
    <n v="3"/>
    <s v="N"/>
    <s v="N"/>
    <s v="N"/>
    <s v="N"/>
    <n v="78"/>
    <n v="84"/>
    <n v="709"/>
    <n v="5470"/>
    <n v="1386"/>
    <n v="297"/>
    <n v="21"/>
    <n v="169"/>
    <n v="583"/>
    <n v="1188"/>
    <n v="116"/>
    <n v="52"/>
    <n v="66"/>
    <n v="40"/>
    <n v="774"/>
    <n v="690"/>
    <n v="4.2699999999999996"/>
    <n v="2"/>
    <n v="8"/>
    <n v="42"/>
    <n v="4361"/>
    <n v="1502"/>
    <n v="173"/>
    <n v="550"/>
    <n v="980"/>
    <n v="120"/>
    <n v="169"/>
    <n v="0.98099999999999998"/>
  </r>
  <r>
    <n v="2002"/>
    <x v="8"/>
    <s v="CLE"/>
    <n v="3"/>
    <s v="N"/>
    <s v="N"/>
    <s v="N"/>
    <s v="N"/>
    <n v="74"/>
    <n v="88"/>
    <n v="739"/>
    <n v="5423"/>
    <n v="1349"/>
    <n v="255"/>
    <n v="26"/>
    <n v="192"/>
    <n v="542"/>
    <n v="1000"/>
    <n v="52"/>
    <n v="37"/>
    <n v="56"/>
    <n v="39"/>
    <n v="837"/>
    <n v="777"/>
    <n v="4.91"/>
    <n v="9"/>
    <n v="4"/>
    <n v="34"/>
    <n v="4274"/>
    <n v="1508"/>
    <n v="142"/>
    <n v="603"/>
    <n v="1058"/>
    <n v="113"/>
    <n v="161"/>
    <n v="0.98099999999999998"/>
  </r>
  <r>
    <n v="2002"/>
    <x v="9"/>
    <s v="COL"/>
    <n v="4"/>
    <s v="N"/>
    <s v="N"/>
    <s v="N"/>
    <s v="N"/>
    <n v="73"/>
    <n v="89"/>
    <n v="778"/>
    <n v="5512"/>
    <n v="1508"/>
    <n v="283"/>
    <n v="41"/>
    <n v="152"/>
    <n v="497"/>
    <n v="1043"/>
    <n v="103"/>
    <n v="53"/>
    <n v="56"/>
    <n v="50"/>
    <n v="898"/>
    <n v="825"/>
    <n v="5.2"/>
    <n v="1"/>
    <n v="8"/>
    <n v="43"/>
    <n v="4280"/>
    <n v="1554"/>
    <n v="225"/>
    <n v="582"/>
    <n v="920"/>
    <n v="112"/>
    <n v="158"/>
    <n v="0.98199999999999998"/>
  </r>
  <r>
    <n v="2002"/>
    <x v="10"/>
    <s v="DET"/>
    <n v="5"/>
    <s v="N"/>
    <s v="N"/>
    <s v="N"/>
    <s v="N"/>
    <n v="55"/>
    <n v="106"/>
    <n v="575"/>
    <n v="5406"/>
    <n v="1340"/>
    <n v="265"/>
    <n v="37"/>
    <n v="124"/>
    <n v="363"/>
    <n v="1035"/>
    <n v="65"/>
    <n v="44"/>
    <n v="64"/>
    <n v="57"/>
    <n v="864"/>
    <n v="773"/>
    <n v="4.92"/>
    <n v="11"/>
    <n v="7"/>
    <n v="33"/>
    <n v="4242"/>
    <n v="1593"/>
    <n v="163"/>
    <n v="463"/>
    <n v="794"/>
    <n v="142"/>
    <n v="148"/>
    <n v="0.97699999999999998"/>
  </r>
  <r>
    <n v="2002"/>
    <x v="11"/>
    <s v="FLO"/>
    <n v="4"/>
    <s v="N"/>
    <s v="N"/>
    <s v="N"/>
    <s v="N"/>
    <n v="79"/>
    <n v="83"/>
    <n v="699"/>
    <n v="5496"/>
    <n v="1433"/>
    <n v="280"/>
    <n v="32"/>
    <n v="146"/>
    <n v="595"/>
    <n v="1130"/>
    <n v="177"/>
    <n v="73"/>
    <n v="61"/>
    <n v="49"/>
    <n v="763"/>
    <n v="706"/>
    <n v="4.3600000000000003"/>
    <n v="11"/>
    <n v="12"/>
    <n v="36"/>
    <n v="4369"/>
    <n v="1449"/>
    <n v="151"/>
    <n v="631"/>
    <n v="1104"/>
    <n v="106"/>
    <n v="163"/>
    <n v="0.98299999999999998"/>
  </r>
  <r>
    <n v="2002"/>
    <x v="12"/>
    <s v="HOU"/>
    <n v="2"/>
    <s v="N"/>
    <s v="N"/>
    <s v="N"/>
    <s v="N"/>
    <n v="84"/>
    <n v="78"/>
    <n v="749"/>
    <n v="5503"/>
    <n v="1441"/>
    <n v="291"/>
    <n v="32"/>
    <n v="167"/>
    <n v="589"/>
    <n v="1120"/>
    <n v="71"/>
    <n v="27"/>
    <n v="59"/>
    <n v="37"/>
    <n v="695"/>
    <n v="642"/>
    <n v="4"/>
    <n v="2"/>
    <n v="11"/>
    <n v="43"/>
    <n v="4335"/>
    <n v="1423"/>
    <n v="151"/>
    <n v="546"/>
    <n v="1219"/>
    <n v="83"/>
    <n v="149"/>
    <n v="0.98599999999999999"/>
  </r>
  <r>
    <n v="2002"/>
    <x v="13"/>
    <s v="KCA"/>
    <n v="4"/>
    <s v="N"/>
    <s v="N"/>
    <s v="N"/>
    <s v="N"/>
    <n v="62"/>
    <n v="100"/>
    <n v="737"/>
    <n v="5535"/>
    <n v="1415"/>
    <n v="285"/>
    <n v="42"/>
    <n v="140"/>
    <n v="524"/>
    <n v="921"/>
    <n v="140"/>
    <n v="65"/>
    <n v="52"/>
    <n v="51"/>
    <n v="891"/>
    <n v="834"/>
    <n v="5.21"/>
    <n v="12"/>
    <n v="6"/>
    <n v="30"/>
    <n v="4323"/>
    <n v="1587"/>
    <n v="212"/>
    <n v="572"/>
    <n v="909"/>
    <n v="130"/>
    <n v="153"/>
    <n v="0.97899999999999998"/>
  </r>
  <r>
    <n v="2002"/>
    <x v="14"/>
    <s v="LAN"/>
    <n v="3"/>
    <s v="N"/>
    <s v="N"/>
    <s v="N"/>
    <s v="N"/>
    <n v="92"/>
    <n v="70"/>
    <n v="713"/>
    <n v="5554"/>
    <n v="1464"/>
    <n v="286"/>
    <n v="29"/>
    <n v="155"/>
    <n v="428"/>
    <n v="940"/>
    <n v="96"/>
    <n v="37"/>
    <n v="53"/>
    <n v="44"/>
    <n v="643"/>
    <n v="598"/>
    <n v="3.69"/>
    <n v="4"/>
    <n v="15"/>
    <n v="56"/>
    <n v="4373"/>
    <n v="1311"/>
    <n v="165"/>
    <n v="555"/>
    <n v="1132"/>
    <n v="90"/>
    <n v="134"/>
    <n v="0.98499999999999999"/>
  </r>
  <r>
    <n v="2002"/>
    <x v="15"/>
    <s v="MIL"/>
    <n v="6"/>
    <s v="N"/>
    <s v="N"/>
    <s v="N"/>
    <s v="N"/>
    <n v="56"/>
    <n v="106"/>
    <n v="627"/>
    <n v="5415"/>
    <n v="1369"/>
    <n v="269"/>
    <n v="29"/>
    <n v="139"/>
    <n v="500"/>
    <n v="1125"/>
    <n v="94"/>
    <n v="50"/>
    <n v="55"/>
    <n v="34"/>
    <n v="821"/>
    <n v="752"/>
    <n v="4.7300000000000004"/>
    <n v="7"/>
    <n v="4"/>
    <n v="32"/>
    <n v="4297"/>
    <n v="1468"/>
    <n v="199"/>
    <n v="666"/>
    <n v="1026"/>
    <n v="103"/>
    <n v="154"/>
    <n v="0.98299999999999998"/>
  </r>
  <r>
    <n v="2002"/>
    <x v="16"/>
    <s v="MIN"/>
    <n v="1"/>
    <s v="Y"/>
    <s v="N"/>
    <s v="N"/>
    <s v="N"/>
    <n v="94"/>
    <n v="67"/>
    <n v="768"/>
    <n v="5582"/>
    <n v="1518"/>
    <n v="348"/>
    <n v="36"/>
    <n v="167"/>
    <n v="472"/>
    <n v="1089"/>
    <n v="79"/>
    <n v="62"/>
    <n v="56"/>
    <n v="52"/>
    <n v="712"/>
    <n v="662"/>
    <n v="4.12"/>
    <n v="8"/>
    <n v="9"/>
    <n v="47"/>
    <n v="4334"/>
    <n v="1454"/>
    <n v="184"/>
    <n v="439"/>
    <n v="1026"/>
    <n v="74"/>
    <n v="124"/>
    <n v="0.98699999999999999"/>
  </r>
  <r>
    <n v="2002"/>
    <x v="17"/>
    <s v="MON"/>
    <n v="2"/>
    <s v="N"/>
    <s v="N"/>
    <s v="N"/>
    <s v="N"/>
    <n v="83"/>
    <n v="79"/>
    <n v="735"/>
    <n v="5479"/>
    <n v="1432"/>
    <n v="300"/>
    <n v="36"/>
    <n v="162"/>
    <n v="575"/>
    <n v="1104"/>
    <n v="118"/>
    <n v="64"/>
    <n v="46"/>
    <n v="42"/>
    <n v="718"/>
    <n v="641"/>
    <n v="3.97"/>
    <n v="9"/>
    <n v="3"/>
    <n v="39"/>
    <n v="4359"/>
    <n v="1475"/>
    <n v="165"/>
    <n v="508"/>
    <n v="1088"/>
    <n v="139"/>
    <n v="160"/>
    <n v="0.97799999999999998"/>
  </r>
  <r>
    <n v="2002"/>
    <x v="18"/>
    <s v="NYA"/>
    <n v="1"/>
    <s v="Y"/>
    <s v="N"/>
    <s v="N"/>
    <s v="N"/>
    <n v="103"/>
    <n v="58"/>
    <n v="897"/>
    <n v="5601"/>
    <n v="1540"/>
    <n v="314"/>
    <n v="12"/>
    <n v="223"/>
    <n v="640"/>
    <n v="1171"/>
    <n v="100"/>
    <n v="38"/>
    <n v="72"/>
    <n v="41"/>
    <n v="697"/>
    <n v="625"/>
    <n v="3.87"/>
    <n v="9"/>
    <n v="11"/>
    <n v="53"/>
    <n v="4356"/>
    <n v="1441"/>
    <n v="144"/>
    <n v="403"/>
    <n v="1135"/>
    <n v="127"/>
    <n v="117"/>
    <n v="0.97899999999999998"/>
  </r>
  <r>
    <n v="2002"/>
    <x v="19"/>
    <s v="NYN"/>
    <n v="5"/>
    <s v="N"/>
    <s v="N"/>
    <s v="N"/>
    <s v="N"/>
    <n v="75"/>
    <n v="86"/>
    <n v="690"/>
    <n v="5496"/>
    <n v="1409"/>
    <n v="238"/>
    <n v="22"/>
    <n v="160"/>
    <n v="486"/>
    <n v="1044"/>
    <n v="87"/>
    <n v="42"/>
    <n v="63"/>
    <n v="30"/>
    <n v="703"/>
    <n v="624"/>
    <n v="3.89"/>
    <n v="9"/>
    <n v="10"/>
    <n v="36"/>
    <n v="4328"/>
    <n v="1408"/>
    <n v="163"/>
    <n v="543"/>
    <n v="1107"/>
    <n v="144"/>
    <n v="138"/>
    <n v="0.97599999999999998"/>
  </r>
  <r>
    <n v="2002"/>
    <x v="20"/>
    <s v="OAK"/>
    <n v="1"/>
    <s v="Y"/>
    <s v="N"/>
    <s v="N"/>
    <s v="N"/>
    <n v="103"/>
    <n v="59"/>
    <n v="800"/>
    <n v="5558"/>
    <n v="1450"/>
    <n v="279"/>
    <n v="28"/>
    <n v="205"/>
    <n v="609"/>
    <n v="1008"/>
    <n v="46"/>
    <n v="20"/>
    <n v="68"/>
    <n v="36"/>
    <n v="654"/>
    <n v="593"/>
    <n v="3.68"/>
    <n v="9"/>
    <n v="19"/>
    <n v="48"/>
    <n v="4356"/>
    <n v="1391"/>
    <n v="135"/>
    <n v="474"/>
    <n v="1021"/>
    <n v="102"/>
    <n v="144"/>
    <n v="0.98399999999999999"/>
  </r>
  <r>
    <n v="2002"/>
    <x v="21"/>
    <s v="PHI"/>
    <n v="3"/>
    <s v="N"/>
    <s v="N"/>
    <s v="N"/>
    <s v="N"/>
    <n v="80"/>
    <n v="81"/>
    <n v="710"/>
    <n v="5523"/>
    <n v="1428"/>
    <n v="325"/>
    <n v="41"/>
    <n v="165"/>
    <n v="640"/>
    <n v="1095"/>
    <n v="104"/>
    <n v="43"/>
    <n v="53"/>
    <n v="39"/>
    <n v="724"/>
    <n v="671"/>
    <n v="4.17"/>
    <n v="5"/>
    <n v="9"/>
    <n v="47"/>
    <n v="4349"/>
    <n v="1381"/>
    <n v="153"/>
    <n v="570"/>
    <n v="1075"/>
    <n v="88"/>
    <n v="156"/>
    <n v="0.98599999999999999"/>
  </r>
  <r>
    <n v="2002"/>
    <x v="22"/>
    <s v="PIT"/>
    <n v="4"/>
    <s v="N"/>
    <s v="N"/>
    <s v="N"/>
    <s v="N"/>
    <n v="72"/>
    <n v="89"/>
    <n v="641"/>
    <n v="5330"/>
    <n v="1300"/>
    <n v="263"/>
    <n v="20"/>
    <n v="142"/>
    <n v="537"/>
    <n v="1109"/>
    <n v="86"/>
    <n v="49"/>
    <n v="73"/>
    <n v="41"/>
    <n v="730"/>
    <n v="664"/>
    <n v="4.2300000000000004"/>
    <n v="2"/>
    <n v="7"/>
    <n v="47"/>
    <n v="4238"/>
    <n v="1447"/>
    <n v="163"/>
    <n v="572"/>
    <n v="920"/>
    <n v="115"/>
    <n v="177"/>
    <n v="0.98199999999999998"/>
  </r>
  <r>
    <n v="2002"/>
    <x v="23"/>
    <s v="SDN"/>
    <n v="5"/>
    <s v="N"/>
    <s v="N"/>
    <s v="N"/>
    <s v="N"/>
    <n v="66"/>
    <n v="96"/>
    <n v="662"/>
    <n v="5515"/>
    <n v="1393"/>
    <n v="243"/>
    <n v="29"/>
    <n v="136"/>
    <n v="547"/>
    <n v="1062"/>
    <n v="71"/>
    <n v="44"/>
    <n v="30"/>
    <n v="41"/>
    <n v="815"/>
    <n v="737"/>
    <n v="4.62"/>
    <n v="5"/>
    <n v="10"/>
    <n v="40"/>
    <n v="4309"/>
    <n v="1522"/>
    <n v="177"/>
    <n v="582"/>
    <n v="1108"/>
    <n v="128"/>
    <n v="162"/>
    <n v="0.97899999999999998"/>
  </r>
  <r>
    <n v="2002"/>
    <x v="24"/>
    <s v="SEA"/>
    <n v="3"/>
    <s v="N"/>
    <s v="N"/>
    <s v="N"/>
    <s v="N"/>
    <n v="93"/>
    <n v="69"/>
    <n v="814"/>
    <n v="5569"/>
    <n v="1531"/>
    <n v="285"/>
    <n v="31"/>
    <n v="152"/>
    <n v="629"/>
    <n v="1003"/>
    <n v="137"/>
    <n v="58"/>
    <n v="51"/>
    <n v="72"/>
    <n v="699"/>
    <n v="654"/>
    <n v="4.07"/>
    <n v="8"/>
    <n v="12"/>
    <n v="43"/>
    <n v="4336"/>
    <n v="1422"/>
    <n v="178"/>
    <n v="441"/>
    <n v="1063"/>
    <n v="88"/>
    <n v="134"/>
    <n v="0.98499999999999999"/>
  </r>
  <r>
    <n v="2002"/>
    <x v="25"/>
    <s v="SFN"/>
    <n v="2"/>
    <s v="N"/>
    <s v="Y"/>
    <s v="Y"/>
    <s v="N"/>
    <n v="95"/>
    <n v="66"/>
    <n v="783"/>
    <n v="5497"/>
    <n v="1465"/>
    <n v="300"/>
    <n v="35"/>
    <n v="198"/>
    <n v="616"/>
    <n v="961"/>
    <n v="74"/>
    <n v="21"/>
    <n v="65"/>
    <n v="52"/>
    <n v="616"/>
    <n v="566"/>
    <n v="3.54"/>
    <n v="10"/>
    <n v="13"/>
    <n v="43"/>
    <n v="4312"/>
    <n v="1349"/>
    <n v="116"/>
    <n v="523"/>
    <n v="992"/>
    <n v="90"/>
    <n v="166"/>
    <n v="0.98499999999999999"/>
  </r>
  <r>
    <n v="2002"/>
    <x v="26"/>
    <s v="SLN"/>
    <n v="1"/>
    <s v="Y"/>
    <s v="N"/>
    <s v="N"/>
    <s v="N"/>
    <n v="97"/>
    <n v="65"/>
    <n v="787"/>
    <n v="5505"/>
    <n v="1475"/>
    <n v="285"/>
    <n v="26"/>
    <n v="175"/>
    <n v="542"/>
    <n v="927"/>
    <n v="86"/>
    <n v="42"/>
    <n v="67"/>
    <n v="49"/>
    <n v="648"/>
    <n v="595"/>
    <n v="3.7"/>
    <n v="4"/>
    <n v="9"/>
    <n v="42"/>
    <n v="4339"/>
    <n v="1355"/>
    <n v="141"/>
    <n v="547"/>
    <n v="1009"/>
    <n v="103"/>
    <n v="168"/>
    <n v="0.98299999999999998"/>
  </r>
  <r>
    <n v="2002"/>
    <x v="27"/>
    <s v="TBA"/>
    <n v="5"/>
    <s v="N"/>
    <s v="N"/>
    <s v="N"/>
    <s v="N"/>
    <n v="55"/>
    <n v="106"/>
    <n v="673"/>
    <n v="5604"/>
    <n v="1418"/>
    <n v="297"/>
    <n v="35"/>
    <n v="133"/>
    <n v="456"/>
    <n v="1115"/>
    <n v="102"/>
    <n v="45"/>
    <n v="58"/>
    <n v="36"/>
    <n v="918"/>
    <n v="846"/>
    <n v="5.29"/>
    <n v="12"/>
    <n v="3"/>
    <n v="25"/>
    <n v="4321"/>
    <n v="1567"/>
    <n v="215"/>
    <n v="620"/>
    <n v="925"/>
    <n v="126"/>
    <n v="168"/>
    <n v="0.97899999999999998"/>
  </r>
  <r>
    <n v="2002"/>
    <x v="28"/>
    <s v="TEX"/>
    <n v="4"/>
    <s v="N"/>
    <s v="N"/>
    <s v="N"/>
    <s v="N"/>
    <n v="72"/>
    <n v="90"/>
    <n v="843"/>
    <n v="5618"/>
    <n v="1510"/>
    <n v="304"/>
    <n v="27"/>
    <n v="230"/>
    <n v="554"/>
    <n v="1055"/>
    <n v="62"/>
    <n v="34"/>
    <n v="62"/>
    <n v="50"/>
    <n v="882"/>
    <n v="824"/>
    <n v="5.15"/>
    <n v="4"/>
    <n v="4"/>
    <n v="33"/>
    <n v="4319"/>
    <n v="1528"/>
    <n v="194"/>
    <n v="669"/>
    <n v="1030"/>
    <n v="99"/>
    <n v="152"/>
    <n v="0.98399999999999999"/>
  </r>
  <r>
    <n v="2002"/>
    <x v="29"/>
    <s v="TOR"/>
    <n v="3"/>
    <s v="N"/>
    <s v="N"/>
    <s v="N"/>
    <s v="N"/>
    <n v="78"/>
    <n v="84"/>
    <n v="813"/>
    <n v="5581"/>
    <n v="1457"/>
    <n v="305"/>
    <n v="38"/>
    <n v="187"/>
    <n v="522"/>
    <n v="1142"/>
    <n v="71"/>
    <n v="18"/>
    <n v="53"/>
    <n v="57"/>
    <n v="828"/>
    <n v="767"/>
    <n v="4.8"/>
    <n v="6"/>
    <n v="6"/>
    <n v="41"/>
    <n v="4315"/>
    <n v="1504"/>
    <n v="177"/>
    <n v="590"/>
    <n v="991"/>
    <n v="107"/>
    <n v="159"/>
    <n v="0.98199999999999998"/>
  </r>
  <r>
    <n v="2003"/>
    <x v="0"/>
    <s v="ANA"/>
    <n v="3"/>
    <s v="N"/>
    <s v="N"/>
    <s v="N"/>
    <s v="N"/>
    <n v="77"/>
    <n v="85"/>
    <n v="736"/>
    <n v="5487"/>
    <n v="1473"/>
    <n v="276"/>
    <n v="33"/>
    <n v="150"/>
    <n v="476"/>
    <n v="838"/>
    <n v="129"/>
    <n v="61"/>
    <n v="56"/>
    <n v="50"/>
    <n v="743"/>
    <n v="680"/>
    <n v="4.28"/>
    <n v="5"/>
    <n v="9"/>
    <n v="39"/>
    <n v="4294"/>
    <n v="1444"/>
    <n v="190"/>
    <n v="486"/>
    <n v="980"/>
    <n v="105"/>
    <n v="138"/>
    <n v="0.98199999999999998"/>
  </r>
  <r>
    <n v="2003"/>
    <x v="1"/>
    <s v="ARI"/>
    <n v="3"/>
    <s v="N"/>
    <s v="N"/>
    <s v="N"/>
    <s v="N"/>
    <n v="84"/>
    <n v="78"/>
    <n v="717"/>
    <n v="5570"/>
    <n v="1467"/>
    <n v="303"/>
    <n v="47"/>
    <n v="152"/>
    <n v="531"/>
    <n v="1006"/>
    <n v="76"/>
    <n v="38"/>
    <n v="45"/>
    <n v="52"/>
    <n v="685"/>
    <n v="621"/>
    <n v="3.84"/>
    <n v="7"/>
    <n v="11"/>
    <n v="42"/>
    <n v="4365"/>
    <n v="1379"/>
    <n v="150"/>
    <n v="526"/>
    <n v="1291"/>
    <n v="107"/>
    <n v="132"/>
    <n v="0.98299999999999998"/>
  </r>
  <r>
    <n v="2003"/>
    <x v="2"/>
    <s v="ATL"/>
    <n v="1"/>
    <s v="Y"/>
    <s v="N"/>
    <s v="N"/>
    <s v="N"/>
    <n v="101"/>
    <n v="61"/>
    <n v="907"/>
    <n v="5670"/>
    <n v="1608"/>
    <n v="321"/>
    <n v="31"/>
    <n v="235"/>
    <n v="545"/>
    <n v="933"/>
    <n v="68"/>
    <n v="22"/>
    <n v="49"/>
    <n v="49"/>
    <n v="740"/>
    <n v="663"/>
    <n v="4.0999999999999996"/>
    <n v="4"/>
    <n v="7"/>
    <n v="51"/>
    <n v="4369"/>
    <n v="1425"/>
    <n v="147"/>
    <n v="555"/>
    <n v="992"/>
    <n v="121"/>
    <n v="166"/>
    <n v="0.98099999999999998"/>
  </r>
  <r>
    <n v="2003"/>
    <x v="3"/>
    <s v="BAL"/>
    <n v="4"/>
    <s v="N"/>
    <s v="N"/>
    <s v="N"/>
    <s v="N"/>
    <n v="71"/>
    <n v="91"/>
    <n v="743"/>
    <n v="5665"/>
    <n v="1516"/>
    <n v="277"/>
    <n v="24"/>
    <n v="152"/>
    <n v="431"/>
    <n v="902"/>
    <n v="89"/>
    <n v="36"/>
    <n v="54"/>
    <n v="40"/>
    <n v="820"/>
    <n v="767"/>
    <n v="4.76"/>
    <n v="9"/>
    <n v="3"/>
    <n v="41"/>
    <n v="4349"/>
    <n v="1579"/>
    <n v="198"/>
    <n v="526"/>
    <n v="981"/>
    <n v="105"/>
    <n v="164"/>
    <n v="0.98299999999999998"/>
  </r>
  <r>
    <n v="2003"/>
    <x v="4"/>
    <s v="BOS"/>
    <n v="2"/>
    <s v="N"/>
    <s v="Y"/>
    <s v="N"/>
    <s v="N"/>
    <n v="95"/>
    <n v="67"/>
    <n v="961"/>
    <n v="5769"/>
    <n v="1667"/>
    <n v="371"/>
    <n v="40"/>
    <n v="238"/>
    <n v="620"/>
    <n v="943"/>
    <n v="88"/>
    <n v="35"/>
    <n v="53"/>
    <n v="64"/>
    <n v="809"/>
    <n v="729"/>
    <n v="4.4800000000000004"/>
    <n v="5"/>
    <n v="6"/>
    <n v="36"/>
    <n v="4394"/>
    <n v="1503"/>
    <n v="153"/>
    <n v="488"/>
    <n v="1141"/>
    <n v="113"/>
    <n v="130"/>
    <n v="0.98199999999999998"/>
  </r>
  <r>
    <n v="2003"/>
    <x v="5"/>
    <s v="CHA"/>
    <n v="2"/>
    <s v="N"/>
    <s v="N"/>
    <s v="N"/>
    <s v="N"/>
    <n v="86"/>
    <n v="76"/>
    <n v="791"/>
    <n v="5487"/>
    <n v="1445"/>
    <n v="303"/>
    <n v="19"/>
    <n v="220"/>
    <n v="519"/>
    <n v="916"/>
    <n v="77"/>
    <n v="29"/>
    <n v="58"/>
    <n v="41"/>
    <n v="715"/>
    <n v="663"/>
    <n v="4.17"/>
    <n v="12"/>
    <n v="4"/>
    <n v="36"/>
    <n v="4293"/>
    <n v="1364"/>
    <n v="162"/>
    <n v="518"/>
    <n v="1056"/>
    <n v="93"/>
    <n v="154"/>
    <n v="0.98399999999999999"/>
  </r>
  <r>
    <n v="2003"/>
    <x v="6"/>
    <s v="CHN"/>
    <n v="1"/>
    <s v="Y"/>
    <s v="N"/>
    <s v="N"/>
    <s v="N"/>
    <n v="88"/>
    <n v="74"/>
    <n v="724"/>
    <n v="5519"/>
    <n v="1431"/>
    <n v="302"/>
    <n v="24"/>
    <n v="172"/>
    <n v="492"/>
    <n v="1158"/>
    <n v="73"/>
    <n v="31"/>
    <n v="50"/>
    <n v="46"/>
    <n v="683"/>
    <n v="619"/>
    <n v="3.83"/>
    <n v="13"/>
    <n v="14"/>
    <n v="36"/>
    <n v="4369"/>
    <n v="1304"/>
    <n v="143"/>
    <n v="617"/>
    <n v="1404"/>
    <n v="106"/>
    <n v="157"/>
    <n v="0.98299999999999998"/>
  </r>
  <r>
    <n v="2003"/>
    <x v="7"/>
    <s v="CIN"/>
    <n v="5"/>
    <s v="N"/>
    <s v="N"/>
    <s v="N"/>
    <s v="N"/>
    <n v="69"/>
    <n v="93"/>
    <n v="694"/>
    <n v="5509"/>
    <n v="1349"/>
    <n v="239"/>
    <n v="21"/>
    <n v="182"/>
    <n v="524"/>
    <n v="1326"/>
    <n v="80"/>
    <n v="34"/>
    <n v="79"/>
    <n v="32"/>
    <n v="886"/>
    <n v="818"/>
    <n v="5.09"/>
    <n v="4"/>
    <n v="5"/>
    <n v="38"/>
    <n v="4339"/>
    <n v="1578"/>
    <n v="209"/>
    <n v="590"/>
    <n v="932"/>
    <n v="141"/>
    <n v="152"/>
    <n v="0.97699999999999998"/>
  </r>
  <r>
    <n v="2003"/>
    <x v="8"/>
    <s v="CLE"/>
    <n v="4"/>
    <s v="N"/>
    <s v="N"/>
    <s v="N"/>
    <s v="N"/>
    <n v="68"/>
    <n v="94"/>
    <n v="699"/>
    <n v="5572"/>
    <n v="1413"/>
    <n v="296"/>
    <n v="26"/>
    <n v="158"/>
    <n v="466"/>
    <n v="1062"/>
    <n v="86"/>
    <n v="61"/>
    <n v="62"/>
    <n v="41"/>
    <n v="778"/>
    <n v="682"/>
    <n v="4.21"/>
    <n v="5"/>
    <n v="7"/>
    <n v="34"/>
    <n v="4378"/>
    <n v="1477"/>
    <n v="179"/>
    <n v="501"/>
    <n v="943"/>
    <n v="126"/>
    <n v="178"/>
    <n v="0.98"/>
  </r>
  <r>
    <n v="2003"/>
    <x v="9"/>
    <s v="COL"/>
    <n v="4"/>
    <s v="N"/>
    <s v="N"/>
    <s v="N"/>
    <s v="N"/>
    <n v="74"/>
    <n v="88"/>
    <n v="853"/>
    <n v="5518"/>
    <n v="1472"/>
    <n v="330"/>
    <n v="31"/>
    <n v="198"/>
    <n v="619"/>
    <n v="1134"/>
    <n v="63"/>
    <n v="37"/>
    <n v="52"/>
    <n v="38"/>
    <n v="892"/>
    <n v="821"/>
    <n v="5.2"/>
    <n v="3"/>
    <n v="4"/>
    <n v="34"/>
    <n v="4260"/>
    <n v="1629"/>
    <n v="200"/>
    <n v="552"/>
    <n v="866"/>
    <n v="116"/>
    <n v="165"/>
    <n v="0.98099999999999998"/>
  </r>
  <r>
    <n v="2003"/>
    <x v="10"/>
    <s v="DET"/>
    <n v="5"/>
    <s v="N"/>
    <s v="N"/>
    <s v="N"/>
    <s v="N"/>
    <n v="43"/>
    <n v="119"/>
    <n v="591"/>
    <n v="5466"/>
    <n v="1312"/>
    <n v="201"/>
    <n v="39"/>
    <n v="153"/>
    <n v="443"/>
    <n v="1099"/>
    <n v="98"/>
    <n v="63"/>
    <n v="47"/>
    <n v="49"/>
    <n v="928"/>
    <n v="847"/>
    <n v="5.3"/>
    <n v="3"/>
    <n v="5"/>
    <n v="27"/>
    <n v="4316"/>
    <n v="1616"/>
    <n v="195"/>
    <n v="557"/>
    <n v="764"/>
    <n v="138"/>
    <n v="194"/>
    <n v="0.97799999999999998"/>
  </r>
  <r>
    <n v="2003"/>
    <x v="11"/>
    <s v="FLO"/>
    <n v="2"/>
    <s v="N"/>
    <s v="Y"/>
    <s v="Y"/>
    <s v="Y"/>
    <n v="91"/>
    <n v="71"/>
    <n v="751"/>
    <n v="5490"/>
    <n v="1459"/>
    <n v="292"/>
    <n v="44"/>
    <n v="157"/>
    <n v="515"/>
    <n v="978"/>
    <n v="150"/>
    <n v="74"/>
    <n v="57"/>
    <n v="41"/>
    <n v="692"/>
    <n v="648"/>
    <n v="4.04"/>
    <n v="7"/>
    <n v="11"/>
    <n v="36"/>
    <n v="4336"/>
    <n v="1415"/>
    <n v="128"/>
    <n v="530"/>
    <n v="1132"/>
    <n v="78"/>
    <n v="162"/>
    <n v="0.98699999999999999"/>
  </r>
  <r>
    <n v="2003"/>
    <x v="12"/>
    <s v="HOU"/>
    <n v="2"/>
    <s v="N"/>
    <s v="N"/>
    <s v="N"/>
    <s v="N"/>
    <n v="87"/>
    <n v="75"/>
    <n v="805"/>
    <n v="5583"/>
    <n v="1466"/>
    <n v="308"/>
    <n v="30"/>
    <n v="191"/>
    <n v="557"/>
    <n v="1021"/>
    <n v="66"/>
    <n v="30"/>
    <n v="81"/>
    <n v="38"/>
    <n v="677"/>
    <n v="622"/>
    <n v="3.86"/>
    <n v="1"/>
    <n v="5"/>
    <n v="50"/>
    <n v="4350"/>
    <n v="1350"/>
    <n v="161"/>
    <n v="565"/>
    <n v="1139"/>
    <n v="95"/>
    <n v="149"/>
    <n v="0.98499999999999999"/>
  </r>
  <r>
    <n v="2003"/>
    <x v="13"/>
    <s v="KCA"/>
    <n v="3"/>
    <s v="N"/>
    <s v="N"/>
    <s v="N"/>
    <s v="N"/>
    <n v="83"/>
    <n v="79"/>
    <n v="836"/>
    <n v="5568"/>
    <n v="1526"/>
    <n v="288"/>
    <n v="39"/>
    <n v="162"/>
    <n v="476"/>
    <n v="926"/>
    <n v="120"/>
    <n v="42"/>
    <n v="75"/>
    <n v="57"/>
    <n v="867"/>
    <n v="808"/>
    <n v="5.05"/>
    <n v="7"/>
    <n v="10"/>
    <n v="36"/>
    <n v="4316"/>
    <n v="1569"/>
    <n v="190"/>
    <n v="566"/>
    <n v="865"/>
    <n v="108"/>
    <n v="143"/>
    <n v="0.98199999999999998"/>
  </r>
  <r>
    <n v="2003"/>
    <x v="14"/>
    <s v="LAN"/>
    <n v="2"/>
    <s v="N"/>
    <s v="N"/>
    <s v="N"/>
    <s v="N"/>
    <n v="85"/>
    <n v="77"/>
    <n v="574"/>
    <n v="5458"/>
    <n v="1328"/>
    <n v="260"/>
    <n v="25"/>
    <n v="124"/>
    <n v="407"/>
    <n v="985"/>
    <n v="80"/>
    <n v="36"/>
    <n v="72"/>
    <n v="28"/>
    <n v="556"/>
    <n v="511"/>
    <n v="3.16"/>
    <n v="3"/>
    <n v="17"/>
    <n v="58"/>
    <n v="4373"/>
    <n v="1254"/>
    <n v="127"/>
    <n v="526"/>
    <n v="1289"/>
    <n v="119"/>
    <n v="164"/>
    <n v="0.98099999999999998"/>
  </r>
  <r>
    <n v="2003"/>
    <x v="15"/>
    <s v="MIL"/>
    <n v="6"/>
    <s v="N"/>
    <s v="N"/>
    <s v="N"/>
    <s v="N"/>
    <n v="68"/>
    <n v="94"/>
    <n v="714"/>
    <n v="5548"/>
    <n v="1423"/>
    <n v="266"/>
    <n v="24"/>
    <n v="196"/>
    <n v="547"/>
    <n v="1221"/>
    <n v="99"/>
    <n v="39"/>
    <n v="71"/>
    <n v="40"/>
    <n v="873"/>
    <n v="810"/>
    <n v="5.0199999999999996"/>
    <n v="5"/>
    <n v="3"/>
    <n v="44"/>
    <n v="4356"/>
    <n v="1590"/>
    <n v="219"/>
    <n v="575"/>
    <n v="1034"/>
    <n v="114"/>
    <n v="142"/>
    <n v="0.98099999999999998"/>
  </r>
  <r>
    <n v="2003"/>
    <x v="16"/>
    <s v="MIN"/>
    <n v="1"/>
    <s v="Y"/>
    <s v="N"/>
    <s v="N"/>
    <s v="N"/>
    <n v="90"/>
    <n v="72"/>
    <n v="801"/>
    <n v="5655"/>
    <n v="1567"/>
    <n v="318"/>
    <n v="45"/>
    <n v="155"/>
    <n v="512"/>
    <n v="1027"/>
    <n v="94"/>
    <n v="44"/>
    <n v="63"/>
    <n v="52"/>
    <n v="758"/>
    <n v="716"/>
    <n v="4.41"/>
    <n v="7"/>
    <n v="8"/>
    <n v="45"/>
    <n v="4386"/>
    <n v="1526"/>
    <n v="187"/>
    <n v="402"/>
    <n v="997"/>
    <n v="87"/>
    <n v="114"/>
    <n v="0.98499999999999999"/>
  </r>
  <r>
    <n v="2003"/>
    <x v="17"/>
    <s v="MON"/>
    <n v="4"/>
    <s v="N"/>
    <s v="N"/>
    <s v="N"/>
    <s v="N"/>
    <n v="83"/>
    <n v="79"/>
    <n v="711"/>
    <n v="5437"/>
    <n v="1404"/>
    <n v="294"/>
    <n v="25"/>
    <n v="144"/>
    <n v="522"/>
    <n v="990"/>
    <n v="100"/>
    <n v="39"/>
    <n v="45"/>
    <n v="40"/>
    <n v="716"/>
    <n v="640"/>
    <n v="4.01"/>
    <n v="15"/>
    <n v="10"/>
    <n v="42"/>
    <n v="4313"/>
    <n v="1467"/>
    <n v="181"/>
    <n v="463"/>
    <n v="1028"/>
    <n v="102"/>
    <n v="152"/>
    <n v="0.98299999999999998"/>
  </r>
  <r>
    <n v="2003"/>
    <x v="18"/>
    <s v="NYA"/>
    <n v="1"/>
    <s v="Y"/>
    <s v="N"/>
    <s v="Y"/>
    <s v="N"/>
    <n v="101"/>
    <n v="61"/>
    <n v="877"/>
    <n v="5605"/>
    <n v="1518"/>
    <n v="304"/>
    <n v="14"/>
    <n v="230"/>
    <n v="684"/>
    <n v="1042"/>
    <n v="98"/>
    <n v="33"/>
    <n v="81"/>
    <n v="35"/>
    <n v="716"/>
    <n v="653"/>
    <n v="4.0199999999999996"/>
    <n v="8"/>
    <n v="12"/>
    <n v="49"/>
    <n v="4386"/>
    <n v="1512"/>
    <n v="145"/>
    <n v="375"/>
    <n v="1119"/>
    <n v="114"/>
    <n v="126"/>
    <n v="0.98099999999999998"/>
  </r>
  <r>
    <n v="2003"/>
    <x v="19"/>
    <s v="NYN"/>
    <n v="5"/>
    <s v="N"/>
    <s v="N"/>
    <s v="N"/>
    <s v="N"/>
    <n v="66"/>
    <n v="95"/>
    <n v="642"/>
    <n v="5341"/>
    <n v="1317"/>
    <n v="262"/>
    <n v="24"/>
    <n v="124"/>
    <n v="489"/>
    <n v="1035"/>
    <n v="70"/>
    <n v="31"/>
    <n v="54"/>
    <n v="45"/>
    <n v="754"/>
    <n v="704"/>
    <n v="4.4800000000000004"/>
    <n v="3"/>
    <n v="10"/>
    <n v="38"/>
    <n v="4240"/>
    <n v="1497"/>
    <n v="168"/>
    <n v="576"/>
    <n v="907"/>
    <n v="118"/>
    <n v="158"/>
    <n v="0.98"/>
  </r>
  <r>
    <n v="2003"/>
    <x v="20"/>
    <s v="OAK"/>
    <n v="1"/>
    <s v="Y"/>
    <s v="N"/>
    <s v="N"/>
    <s v="N"/>
    <n v="96"/>
    <n v="66"/>
    <n v="768"/>
    <n v="5497"/>
    <n v="1398"/>
    <n v="317"/>
    <n v="24"/>
    <n v="176"/>
    <n v="556"/>
    <n v="898"/>
    <n v="48"/>
    <n v="14"/>
    <n v="59"/>
    <n v="53"/>
    <n v="643"/>
    <n v="582"/>
    <n v="3.63"/>
    <n v="16"/>
    <n v="14"/>
    <n v="48"/>
    <n v="4325"/>
    <n v="1336"/>
    <n v="140"/>
    <n v="499"/>
    <n v="1018"/>
    <n v="107"/>
    <n v="145"/>
    <n v="0.98299999999999998"/>
  </r>
  <r>
    <n v="2003"/>
    <x v="21"/>
    <s v="PHI"/>
    <n v="3"/>
    <s v="N"/>
    <s v="N"/>
    <s v="N"/>
    <s v="N"/>
    <n v="86"/>
    <n v="76"/>
    <n v="791"/>
    <n v="5543"/>
    <n v="1448"/>
    <n v="325"/>
    <n v="27"/>
    <n v="166"/>
    <n v="651"/>
    <n v="1155"/>
    <n v="72"/>
    <n v="29"/>
    <n v="55"/>
    <n v="38"/>
    <n v="697"/>
    <n v="648"/>
    <n v="4.04"/>
    <n v="9"/>
    <n v="13"/>
    <n v="33"/>
    <n v="4331"/>
    <n v="1386"/>
    <n v="142"/>
    <n v="536"/>
    <n v="1060"/>
    <n v="97"/>
    <n v="146"/>
    <n v="0.98399999999999999"/>
  </r>
  <r>
    <n v="2003"/>
    <x v="22"/>
    <s v="PIT"/>
    <n v="4"/>
    <s v="N"/>
    <s v="N"/>
    <s v="N"/>
    <s v="N"/>
    <n v="75"/>
    <n v="87"/>
    <n v="753"/>
    <n v="5581"/>
    <n v="1492"/>
    <n v="275"/>
    <n v="45"/>
    <n v="163"/>
    <n v="529"/>
    <n v="1049"/>
    <n v="86"/>
    <n v="37"/>
    <n v="87"/>
    <n v="38"/>
    <n v="801"/>
    <n v="744"/>
    <n v="4.6399999999999997"/>
    <n v="7"/>
    <n v="10"/>
    <n v="44"/>
    <n v="4333"/>
    <n v="1527"/>
    <n v="178"/>
    <n v="502"/>
    <n v="926"/>
    <n v="123"/>
    <n v="159"/>
    <n v="0.98"/>
  </r>
  <r>
    <n v="2003"/>
    <x v="23"/>
    <s v="SDN"/>
    <n v="5"/>
    <s v="N"/>
    <s v="N"/>
    <s v="N"/>
    <s v="N"/>
    <n v="64"/>
    <n v="98"/>
    <n v="678"/>
    <n v="5531"/>
    <n v="1442"/>
    <n v="257"/>
    <n v="32"/>
    <n v="128"/>
    <n v="565"/>
    <n v="1073"/>
    <n v="76"/>
    <n v="39"/>
    <n v="57"/>
    <n v="42"/>
    <n v="831"/>
    <n v="774"/>
    <n v="4.87"/>
    <n v="2"/>
    <n v="10"/>
    <n v="31"/>
    <n v="4294"/>
    <n v="1458"/>
    <n v="208"/>
    <n v="611"/>
    <n v="1091"/>
    <n v="102"/>
    <n v="141"/>
    <n v="0.98299999999999998"/>
  </r>
  <r>
    <n v="2003"/>
    <x v="24"/>
    <s v="SEA"/>
    <n v="2"/>
    <s v="N"/>
    <s v="N"/>
    <s v="N"/>
    <s v="N"/>
    <n v="93"/>
    <n v="69"/>
    <n v="795"/>
    <n v="5561"/>
    <n v="1509"/>
    <n v="290"/>
    <n v="33"/>
    <n v="139"/>
    <n v="586"/>
    <n v="989"/>
    <n v="108"/>
    <n v="37"/>
    <n v="53"/>
    <n v="46"/>
    <n v="637"/>
    <n v="602"/>
    <n v="3.76"/>
    <n v="8"/>
    <n v="15"/>
    <n v="38"/>
    <n v="4323"/>
    <n v="1340"/>
    <n v="173"/>
    <n v="466"/>
    <n v="1001"/>
    <n v="65"/>
    <n v="159"/>
    <n v="0.98899999999999999"/>
  </r>
  <r>
    <n v="2003"/>
    <x v="25"/>
    <s v="SFN"/>
    <n v="1"/>
    <s v="Y"/>
    <s v="N"/>
    <s v="N"/>
    <s v="N"/>
    <n v="100"/>
    <n v="61"/>
    <n v="755"/>
    <n v="5456"/>
    <n v="1440"/>
    <n v="281"/>
    <n v="29"/>
    <n v="180"/>
    <n v="593"/>
    <n v="980"/>
    <n v="53"/>
    <n v="37"/>
    <n v="40"/>
    <n v="39"/>
    <n v="638"/>
    <n v="595"/>
    <n v="3.73"/>
    <n v="7"/>
    <n v="10"/>
    <n v="43"/>
    <n v="4312"/>
    <n v="1349"/>
    <n v="136"/>
    <n v="546"/>
    <n v="1006"/>
    <n v="80"/>
    <n v="163"/>
    <n v="0.98699999999999999"/>
  </r>
  <r>
    <n v="2003"/>
    <x v="26"/>
    <s v="SLN"/>
    <n v="3"/>
    <s v="N"/>
    <s v="N"/>
    <s v="N"/>
    <s v="N"/>
    <n v="85"/>
    <n v="77"/>
    <n v="876"/>
    <n v="5672"/>
    <n v="1580"/>
    <n v="342"/>
    <n v="32"/>
    <n v="196"/>
    <n v="580"/>
    <n v="952"/>
    <n v="82"/>
    <n v="32"/>
    <n v="73"/>
    <n v="54"/>
    <n v="796"/>
    <n v="748"/>
    <n v="4.5999999999999996"/>
    <n v="9"/>
    <n v="10"/>
    <n v="41"/>
    <n v="4391"/>
    <n v="1544"/>
    <n v="210"/>
    <n v="508"/>
    <n v="969"/>
    <n v="77"/>
    <n v="138"/>
    <n v="0.98699999999999999"/>
  </r>
  <r>
    <n v="2003"/>
    <x v="27"/>
    <s v="TBA"/>
    <n v="5"/>
    <s v="N"/>
    <s v="N"/>
    <s v="N"/>
    <s v="N"/>
    <n v="63"/>
    <n v="99"/>
    <n v="715"/>
    <n v="5654"/>
    <n v="1501"/>
    <n v="298"/>
    <n v="38"/>
    <n v="137"/>
    <n v="420"/>
    <n v="1030"/>
    <n v="142"/>
    <n v="42"/>
    <n v="56"/>
    <n v="50"/>
    <n v="852"/>
    <n v="787"/>
    <n v="4.93"/>
    <n v="7"/>
    <n v="7"/>
    <n v="30"/>
    <n v="4310"/>
    <n v="1454"/>
    <n v="196"/>
    <n v="639"/>
    <n v="877"/>
    <n v="103"/>
    <n v="158"/>
    <n v="0.98299999999999998"/>
  </r>
  <r>
    <n v="2003"/>
    <x v="28"/>
    <s v="TEX"/>
    <n v="4"/>
    <s v="N"/>
    <s v="N"/>
    <s v="N"/>
    <s v="N"/>
    <n v="71"/>
    <n v="91"/>
    <n v="826"/>
    <n v="5664"/>
    <n v="1506"/>
    <n v="274"/>
    <n v="36"/>
    <n v="239"/>
    <n v="488"/>
    <n v="1052"/>
    <n v="65"/>
    <n v="25"/>
    <n v="75"/>
    <n v="42"/>
    <n v="969"/>
    <n v="903"/>
    <n v="5.67"/>
    <n v="4"/>
    <n v="3"/>
    <n v="43"/>
    <n v="4300"/>
    <n v="1625"/>
    <n v="208"/>
    <n v="603"/>
    <n v="1009"/>
    <n v="94"/>
    <n v="168"/>
    <n v="0.98499999999999999"/>
  </r>
  <r>
    <n v="2003"/>
    <x v="29"/>
    <s v="TOR"/>
    <n v="3"/>
    <s v="N"/>
    <s v="N"/>
    <s v="N"/>
    <s v="N"/>
    <n v="86"/>
    <n v="76"/>
    <n v="894"/>
    <n v="5661"/>
    <n v="1580"/>
    <n v="357"/>
    <n v="33"/>
    <n v="190"/>
    <n v="546"/>
    <n v="1081"/>
    <n v="37"/>
    <n v="25"/>
    <n v="90"/>
    <n v="56"/>
    <n v="826"/>
    <n v="748"/>
    <n v="4.6900000000000004"/>
    <n v="14"/>
    <n v="6"/>
    <n v="35"/>
    <n v="4305"/>
    <n v="1560"/>
    <n v="184"/>
    <n v="485"/>
    <n v="984"/>
    <n v="117"/>
    <n v="161"/>
    <n v="0.98099999999999998"/>
  </r>
  <r>
    <n v="2004"/>
    <x v="0"/>
    <s v="ANA"/>
    <n v="1"/>
    <s v="Y"/>
    <s v="N"/>
    <s v="N"/>
    <s v="N"/>
    <n v="92"/>
    <n v="70"/>
    <n v="836"/>
    <n v="5675"/>
    <n v="1603"/>
    <n v="272"/>
    <n v="37"/>
    <n v="162"/>
    <n v="450"/>
    <n v="942"/>
    <n v="143"/>
    <n v="46"/>
    <n v="73"/>
    <n v="41"/>
    <n v="734"/>
    <n v="692"/>
    <n v="4.28"/>
    <n v="2"/>
    <n v="11"/>
    <n v="50"/>
    <n v="4363"/>
    <n v="1476"/>
    <n v="170"/>
    <n v="502"/>
    <n v="1164"/>
    <n v="90"/>
    <n v="126"/>
    <n v="0.98499999999999999"/>
  </r>
  <r>
    <n v="2004"/>
    <x v="1"/>
    <s v="ARI"/>
    <n v="5"/>
    <s v="N"/>
    <s v="N"/>
    <s v="N"/>
    <s v="N"/>
    <n v="51"/>
    <n v="111"/>
    <n v="615"/>
    <n v="5544"/>
    <n v="1401"/>
    <n v="295"/>
    <n v="38"/>
    <n v="135"/>
    <n v="441"/>
    <n v="1022"/>
    <n v="53"/>
    <n v="32"/>
    <n v="35"/>
    <n v="37"/>
    <n v="899"/>
    <n v="794"/>
    <n v="4.9800000000000004"/>
    <n v="5"/>
    <n v="6"/>
    <n v="33"/>
    <n v="4308"/>
    <n v="1480"/>
    <n v="197"/>
    <n v="668"/>
    <n v="1153"/>
    <n v="139"/>
    <n v="144"/>
    <n v="0.97699999999999998"/>
  </r>
  <r>
    <n v="2004"/>
    <x v="2"/>
    <s v="ATL"/>
    <n v="1"/>
    <s v="Y"/>
    <s v="N"/>
    <s v="N"/>
    <s v="N"/>
    <n v="96"/>
    <n v="66"/>
    <n v="803"/>
    <n v="5570"/>
    <n v="1503"/>
    <n v="304"/>
    <n v="37"/>
    <n v="178"/>
    <n v="587"/>
    <n v="1158"/>
    <n v="86"/>
    <n v="32"/>
    <n v="59"/>
    <n v="48"/>
    <n v="668"/>
    <n v="603"/>
    <n v="3.74"/>
    <n v="4"/>
    <n v="13"/>
    <n v="48"/>
    <n v="4350"/>
    <n v="1475"/>
    <n v="154"/>
    <n v="523"/>
    <n v="1025"/>
    <n v="116"/>
    <n v="171"/>
    <n v="0.98099999999999998"/>
  </r>
  <r>
    <n v="2004"/>
    <x v="3"/>
    <s v="BAL"/>
    <n v="3"/>
    <s v="N"/>
    <s v="N"/>
    <s v="N"/>
    <s v="N"/>
    <n v="78"/>
    <n v="84"/>
    <n v="842"/>
    <n v="5736"/>
    <n v="1614"/>
    <n v="319"/>
    <n v="18"/>
    <n v="169"/>
    <n v="528"/>
    <n v="949"/>
    <n v="101"/>
    <n v="41"/>
    <n v="57"/>
    <n v="62"/>
    <n v="830"/>
    <n v="760"/>
    <n v="4.7"/>
    <n v="8"/>
    <n v="10"/>
    <n v="27"/>
    <n v="4366"/>
    <n v="1488"/>
    <n v="159"/>
    <n v="687"/>
    <n v="1090"/>
    <n v="110"/>
    <n v="161"/>
    <n v="0.98199999999999998"/>
  </r>
  <r>
    <n v="2004"/>
    <x v="4"/>
    <s v="BOS"/>
    <n v="2"/>
    <s v="N"/>
    <s v="Y"/>
    <s v="Y"/>
    <s v="Y"/>
    <n v="98"/>
    <n v="64"/>
    <n v="949"/>
    <n v="5720"/>
    <n v="1613"/>
    <n v="373"/>
    <n v="25"/>
    <n v="222"/>
    <n v="659"/>
    <n v="1189"/>
    <n v="68"/>
    <n v="30"/>
    <n v="69"/>
    <n v="55"/>
    <n v="768"/>
    <n v="674"/>
    <n v="4.18"/>
    <n v="4"/>
    <n v="12"/>
    <n v="36"/>
    <n v="4354"/>
    <n v="1430"/>
    <n v="159"/>
    <n v="447"/>
    <n v="1132"/>
    <n v="118"/>
    <n v="129"/>
    <n v="0.98099999999999998"/>
  </r>
  <r>
    <n v="2004"/>
    <x v="5"/>
    <s v="CHA"/>
    <n v="2"/>
    <s v="N"/>
    <s v="N"/>
    <s v="N"/>
    <s v="N"/>
    <n v="83"/>
    <n v="79"/>
    <n v="865"/>
    <n v="5534"/>
    <n v="1481"/>
    <n v="284"/>
    <n v="19"/>
    <n v="242"/>
    <n v="499"/>
    <n v="1030"/>
    <n v="78"/>
    <n v="51"/>
    <n v="63"/>
    <n v="42"/>
    <n v="831"/>
    <n v="782"/>
    <n v="4.91"/>
    <n v="8"/>
    <n v="8"/>
    <n v="34"/>
    <n v="4297"/>
    <n v="1505"/>
    <n v="224"/>
    <n v="527"/>
    <n v="1013"/>
    <n v="100"/>
    <n v="167"/>
    <n v="0.98399999999999999"/>
  </r>
  <r>
    <n v="2004"/>
    <x v="6"/>
    <s v="CHN"/>
    <n v="3"/>
    <s v="N"/>
    <s v="N"/>
    <s v="N"/>
    <s v="N"/>
    <n v="89"/>
    <n v="73"/>
    <n v="789"/>
    <n v="5628"/>
    <n v="1508"/>
    <n v="308"/>
    <n v="29"/>
    <n v="235"/>
    <n v="489"/>
    <n v="1080"/>
    <n v="66"/>
    <n v="28"/>
    <n v="38"/>
    <n v="48"/>
    <n v="665"/>
    <n v="621"/>
    <n v="3.81"/>
    <n v="3"/>
    <n v="6"/>
    <n v="42"/>
    <n v="4396"/>
    <n v="1363"/>
    <n v="169"/>
    <n v="545"/>
    <n v="1346"/>
    <n v="86"/>
    <n v="126"/>
    <n v="0.98599999999999999"/>
  </r>
  <r>
    <n v="2004"/>
    <x v="7"/>
    <s v="CIN"/>
    <n v="4"/>
    <s v="N"/>
    <s v="N"/>
    <s v="N"/>
    <s v="N"/>
    <n v="76"/>
    <n v="86"/>
    <n v="750"/>
    <n v="5518"/>
    <n v="1380"/>
    <n v="287"/>
    <n v="28"/>
    <n v="194"/>
    <n v="599"/>
    <n v="1335"/>
    <n v="77"/>
    <n v="25"/>
    <n v="81"/>
    <n v="25"/>
    <n v="907"/>
    <n v="832"/>
    <n v="5.19"/>
    <n v="5"/>
    <n v="8"/>
    <n v="47"/>
    <n v="4331"/>
    <n v="1595"/>
    <n v="236"/>
    <n v="572"/>
    <n v="992"/>
    <n v="113"/>
    <n v="123"/>
    <n v="0.98099999999999998"/>
  </r>
  <r>
    <n v="2004"/>
    <x v="8"/>
    <s v="CLE"/>
    <n v="3"/>
    <s v="N"/>
    <s v="N"/>
    <s v="N"/>
    <s v="N"/>
    <n v="80"/>
    <n v="82"/>
    <n v="858"/>
    <n v="5676"/>
    <n v="1565"/>
    <n v="345"/>
    <n v="29"/>
    <n v="184"/>
    <n v="606"/>
    <n v="1009"/>
    <n v="94"/>
    <n v="55"/>
    <n v="78"/>
    <n v="42"/>
    <n v="857"/>
    <n v="784"/>
    <n v="4.8099999999999996"/>
    <n v="8"/>
    <n v="8"/>
    <n v="32"/>
    <n v="4400"/>
    <n v="1553"/>
    <n v="201"/>
    <n v="579"/>
    <n v="1115"/>
    <n v="106"/>
    <n v="152"/>
    <n v="0.98299999999999998"/>
  </r>
  <r>
    <n v="2004"/>
    <x v="9"/>
    <s v="COL"/>
    <n v="4"/>
    <s v="N"/>
    <s v="N"/>
    <s v="N"/>
    <s v="N"/>
    <n v="68"/>
    <n v="94"/>
    <n v="833"/>
    <n v="5577"/>
    <n v="1531"/>
    <n v="331"/>
    <n v="34"/>
    <n v="202"/>
    <n v="568"/>
    <n v="1181"/>
    <n v="44"/>
    <n v="33"/>
    <n v="54"/>
    <n v="37"/>
    <n v="923"/>
    <n v="883"/>
    <n v="5.54"/>
    <n v="3"/>
    <n v="2"/>
    <n v="36"/>
    <n v="4306"/>
    <n v="1634"/>
    <n v="198"/>
    <n v="697"/>
    <n v="947"/>
    <n v="89"/>
    <n v="161"/>
    <n v="0.98599999999999999"/>
  </r>
  <r>
    <n v="2004"/>
    <x v="10"/>
    <s v="DET"/>
    <n v="4"/>
    <s v="N"/>
    <s v="N"/>
    <s v="N"/>
    <s v="N"/>
    <n v="72"/>
    <n v="90"/>
    <n v="827"/>
    <n v="5623"/>
    <n v="1531"/>
    <n v="284"/>
    <n v="54"/>
    <n v="201"/>
    <n v="518"/>
    <n v="1144"/>
    <n v="86"/>
    <n v="50"/>
    <n v="50"/>
    <n v="43"/>
    <n v="844"/>
    <n v="788"/>
    <n v="4.93"/>
    <n v="7"/>
    <n v="9"/>
    <n v="35"/>
    <n v="4319"/>
    <n v="1542"/>
    <n v="190"/>
    <n v="530"/>
    <n v="995"/>
    <n v="144"/>
    <n v="160"/>
    <n v="0.97699999999999998"/>
  </r>
  <r>
    <n v="2004"/>
    <x v="11"/>
    <s v="FLO"/>
    <n v="3"/>
    <s v="N"/>
    <s v="N"/>
    <s v="N"/>
    <s v="N"/>
    <n v="83"/>
    <n v="79"/>
    <n v="718"/>
    <n v="5486"/>
    <n v="1447"/>
    <n v="275"/>
    <n v="32"/>
    <n v="148"/>
    <n v="499"/>
    <n v="968"/>
    <n v="96"/>
    <n v="43"/>
    <n v="58"/>
    <n v="40"/>
    <n v="700"/>
    <n v="655"/>
    <n v="4.0999999999999996"/>
    <n v="6"/>
    <n v="14"/>
    <n v="53"/>
    <n v="4317"/>
    <n v="1395"/>
    <n v="166"/>
    <n v="513"/>
    <n v="1116"/>
    <n v="86"/>
    <n v="153"/>
    <n v="0.98599999999999999"/>
  </r>
  <r>
    <n v="2004"/>
    <x v="12"/>
    <s v="HOU"/>
    <n v="2"/>
    <s v="N"/>
    <s v="Y"/>
    <s v="N"/>
    <s v="N"/>
    <n v="92"/>
    <n v="70"/>
    <n v="803"/>
    <n v="5468"/>
    <n v="1458"/>
    <n v="294"/>
    <n v="36"/>
    <n v="187"/>
    <n v="590"/>
    <n v="999"/>
    <n v="89"/>
    <n v="30"/>
    <n v="61"/>
    <n v="52"/>
    <n v="698"/>
    <n v="650"/>
    <n v="4.05"/>
    <n v="2"/>
    <n v="13"/>
    <n v="47"/>
    <n v="4329"/>
    <n v="1416"/>
    <n v="174"/>
    <n v="525"/>
    <n v="1282"/>
    <n v="101"/>
    <n v="136"/>
    <n v="0.98299999999999998"/>
  </r>
  <r>
    <n v="2004"/>
    <x v="13"/>
    <s v="KCA"/>
    <n v="5"/>
    <s v="N"/>
    <s v="N"/>
    <s v="N"/>
    <s v="N"/>
    <n v="58"/>
    <n v="104"/>
    <n v="720"/>
    <n v="5538"/>
    <n v="1432"/>
    <n v="261"/>
    <n v="29"/>
    <n v="150"/>
    <n v="461"/>
    <n v="1057"/>
    <n v="67"/>
    <n v="48"/>
    <n v="76"/>
    <n v="38"/>
    <n v="905"/>
    <n v="813"/>
    <n v="5.15"/>
    <n v="6"/>
    <n v="3"/>
    <n v="25"/>
    <n v="4261"/>
    <n v="1638"/>
    <n v="208"/>
    <n v="518"/>
    <n v="887"/>
    <n v="131"/>
    <n v="169"/>
    <n v="0.97799999999999998"/>
  </r>
  <r>
    <n v="2004"/>
    <x v="14"/>
    <s v="LAN"/>
    <n v="1"/>
    <s v="Y"/>
    <s v="N"/>
    <s v="N"/>
    <s v="N"/>
    <n v="93"/>
    <n v="69"/>
    <n v="761"/>
    <n v="5542"/>
    <n v="1450"/>
    <n v="226"/>
    <n v="30"/>
    <n v="203"/>
    <n v="536"/>
    <n v="1092"/>
    <n v="102"/>
    <n v="41"/>
    <n v="62"/>
    <n v="35"/>
    <n v="684"/>
    <n v="647"/>
    <n v="4.01"/>
    <n v="2"/>
    <n v="6"/>
    <n v="51"/>
    <n v="4360"/>
    <n v="1386"/>
    <n v="178"/>
    <n v="521"/>
    <n v="1066"/>
    <n v="73"/>
    <n v="145"/>
    <n v="0.98799999999999999"/>
  </r>
  <r>
    <n v="2004"/>
    <x v="15"/>
    <s v="MIL"/>
    <n v="6"/>
    <s v="N"/>
    <s v="N"/>
    <s v="N"/>
    <s v="N"/>
    <n v="67"/>
    <n v="94"/>
    <n v="634"/>
    <n v="5483"/>
    <n v="1358"/>
    <n v="295"/>
    <n v="32"/>
    <n v="135"/>
    <n v="540"/>
    <n v="1312"/>
    <n v="138"/>
    <n v="40"/>
    <n v="68"/>
    <n v="40"/>
    <n v="757"/>
    <n v="679"/>
    <n v="4.24"/>
    <n v="6"/>
    <n v="10"/>
    <n v="42"/>
    <n v="4326"/>
    <n v="1440"/>
    <n v="164"/>
    <n v="476"/>
    <n v="1098"/>
    <n v="117"/>
    <n v="132"/>
    <n v="0.98099999999999998"/>
  </r>
  <r>
    <n v="2004"/>
    <x v="16"/>
    <s v="MIN"/>
    <n v="1"/>
    <s v="Y"/>
    <s v="N"/>
    <s v="N"/>
    <s v="N"/>
    <n v="92"/>
    <n v="70"/>
    <n v="780"/>
    <n v="5623"/>
    <n v="1494"/>
    <n v="310"/>
    <n v="24"/>
    <n v="191"/>
    <n v="513"/>
    <n v="982"/>
    <n v="116"/>
    <n v="46"/>
    <n v="64"/>
    <n v="40"/>
    <n v="715"/>
    <n v="661"/>
    <n v="4.03"/>
    <n v="4"/>
    <n v="9"/>
    <n v="48"/>
    <n v="4428"/>
    <n v="1523"/>
    <n v="167"/>
    <n v="431"/>
    <n v="1123"/>
    <n v="101"/>
    <n v="158"/>
    <n v="0.98399999999999999"/>
  </r>
  <r>
    <n v="2004"/>
    <x v="17"/>
    <s v="MON"/>
    <n v="5"/>
    <s v="N"/>
    <s v="N"/>
    <s v="N"/>
    <s v="N"/>
    <n v="67"/>
    <n v="95"/>
    <n v="635"/>
    <n v="5474"/>
    <n v="1361"/>
    <n v="276"/>
    <n v="27"/>
    <n v="151"/>
    <n v="496"/>
    <n v="925"/>
    <n v="109"/>
    <n v="38"/>
    <n v="35"/>
    <n v="33"/>
    <n v="769"/>
    <n v="696"/>
    <n v="4.33"/>
    <n v="11"/>
    <n v="11"/>
    <n v="31"/>
    <n v="4341"/>
    <n v="1477"/>
    <n v="191"/>
    <n v="582"/>
    <n v="1032"/>
    <n v="99"/>
    <n v="172"/>
    <n v="0.98399999999999999"/>
  </r>
  <r>
    <n v="2004"/>
    <x v="18"/>
    <s v="NYA"/>
    <n v="1"/>
    <s v="Y"/>
    <s v="N"/>
    <s v="N"/>
    <s v="N"/>
    <n v="101"/>
    <n v="61"/>
    <n v="897"/>
    <n v="5527"/>
    <n v="1483"/>
    <n v="281"/>
    <n v="20"/>
    <n v="242"/>
    <n v="670"/>
    <n v="982"/>
    <n v="84"/>
    <n v="33"/>
    <n v="80"/>
    <n v="50"/>
    <n v="808"/>
    <n v="752"/>
    <n v="4.6900000000000004"/>
    <n v="1"/>
    <n v="5"/>
    <n v="59"/>
    <n v="4331"/>
    <n v="1532"/>
    <n v="182"/>
    <n v="445"/>
    <n v="1058"/>
    <n v="99"/>
    <n v="148"/>
    <n v="0.98399999999999999"/>
  </r>
  <r>
    <n v="2004"/>
    <x v="19"/>
    <s v="NYN"/>
    <n v="4"/>
    <s v="N"/>
    <s v="N"/>
    <s v="N"/>
    <s v="N"/>
    <n v="71"/>
    <n v="91"/>
    <n v="684"/>
    <n v="5532"/>
    <n v="1376"/>
    <n v="289"/>
    <n v="20"/>
    <n v="185"/>
    <n v="512"/>
    <n v="1159"/>
    <n v="107"/>
    <n v="23"/>
    <n v="61"/>
    <n v="34"/>
    <n v="731"/>
    <n v="658"/>
    <n v="4.09"/>
    <n v="2"/>
    <n v="6"/>
    <n v="31"/>
    <n v="4347"/>
    <n v="1452"/>
    <n v="156"/>
    <n v="592"/>
    <n v="977"/>
    <n v="137"/>
    <n v="144"/>
    <n v="0.97799999999999998"/>
  </r>
  <r>
    <n v="2004"/>
    <x v="20"/>
    <s v="OAK"/>
    <n v="2"/>
    <s v="N"/>
    <s v="N"/>
    <s v="N"/>
    <s v="N"/>
    <n v="91"/>
    <n v="71"/>
    <n v="793"/>
    <n v="5728"/>
    <n v="1545"/>
    <n v="336"/>
    <n v="15"/>
    <n v="189"/>
    <n v="608"/>
    <n v="1061"/>
    <n v="47"/>
    <n v="22"/>
    <n v="55"/>
    <n v="43"/>
    <n v="742"/>
    <n v="682"/>
    <n v="4.17"/>
    <n v="10"/>
    <n v="8"/>
    <n v="35"/>
    <n v="4414"/>
    <n v="1466"/>
    <n v="164"/>
    <n v="544"/>
    <n v="1034"/>
    <n v="91"/>
    <n v="172"/>
    <n v="0.98599999999999999"/>
  </r>
  <r>
    <n v="2004"/>
    <x v="21"/>
    <s v="PHI"/>
    <n v="2"/>
    <s v="N"/>
    <s v="N"/>
    <s v="N"/>
    <s v="N"/>
    <n v="86"/>
    <n v="76"/>
    <n v="840"/>
    <n v="5643"/>
    <n v="1505"/>
    <n v="303"/>
    <n v="23"/>
    <n v="215"/>
    <n v="645"/>
    <n v="1133"/>
    <n v="100"/>
    <n v="27"/>
    <n v="58"/>
    <n v="46"/>
    <n v="781"/>
    <n v="724"/>
    <n v="4.45"/>
    <n v="4"/>
    <n v="5"/>
    <n v="43"/>
    <n v="4388"/>
    <n v="1488"/>
    <n v="214"/>
    <n v="502"/>
    <n v="1070"/>
    <n v="81"/>
    <n v="142"/>
    <n v="0.98699999999999999"/>
  </r>
  <r>
    <n v="2004"/>
    <x v="22"/>
    <s v="PIT"/>
    <n v="5"/>
    <s v="N"/>
    <s v="N"/>
    <s v="N"/>
    <s v="N"/>
    <n v="72"/>
    <n v="89"/>
    <n v="680"/>
    <n v="5483"/>
    <n v="1428"/>
    <n v="267"/>
    <n v="39"/>
    <n v="142"/>
    <n v="415"/>
    <n v="1066"/>
    <n v="63"/>
    <n v="40"/>
    <n v="95"/>
    <n v="42"/>
    <n v="744"/>
    <n v="680"/>
    <n v="4.29"/>
    <n v="3"/>
    <n v="8"/>
    <n v="46"/>
    <n v="4284"/>
    <n v="1451"/>
    <n v="149"/>
    <n v="576"/>
    <n v="1079"/>
    <n v="103"/>
    <n v="189"/>
    <n v="0.98299999999999998"/>
  </r>
  <r>
    <n v="2004"/>
    <x v="23"/>
    <s v="SDN"/>
    <n v="3"/>
    <s v="N"/>
    <s v="N"/>
    <s v="N"/>
    <s v="N"/>
    <n v="87"/>
    <n v="75"/>
    <n v="768"/>
    <n v="5573"/>
    <n v="1521"/>
    <n v="304"/>
    <n v="32"/>
    <n v="139"/>
    <n v="566"/>
    <n v="910"/>
    <n v="52"/>
    <n v="25"/>
    <n v="56"/>
    <n v="66"/>
    <n v="705"/>
    <n v="645"/>
    <n v="4.03"/>
    <n v="3"/>
    <n v="8"/>
    <n v="44"/>
    <n v="4323"/>
    <n v="1460"/>
    <n v="184"/>
    <n v="422"/>
    <n v="1079"/>
    <n v="108"/>
    <n v="146"/>
    <n v="0.98199999999999998"/>
  </r>
  <r>
    <n v="2004"/>
    <x v="24"/>
    <s v="SEA"/>
    <n v="4"/>
    <s v="N"/>
    <s v="N"/>
    <s v="N"/>
    <s v="N"/>
    <n v="63"/>
    <n v="99"/>
    <n v="698"/>
    <n v="5722"/>
    <n v="1544"/>
    <n v="276"/>
    <n v="20"/>
    <n v="136"/>
    <n v="492"/>
    <n v="1058"/>
    <n v="110"/>
    <n v="42"/>
    <n v="54"/>
    <n v="48"/>
    <n v="823"/>
    <n v="772"/>
    <n v="4.76"/>
    <n v="7"/>
    <n v="7"/>
    <n v="28"/>
    <n v="4378"/>
    <n v="1498"/>
    <n v="212"/>
    <n v="575"/>
    <n v="1036"/>
    <n v="103"/>
    <n v="140"/>
    <n v="0.98299999999999998"/>
  </r>
  <r>
    <n v="2004"/>
    <x v="25"/>
    <s v="SFN"/>
    <n v="2"/>
    <s v="N"/>
    <s v="N"/>
    <s v="N"/>
    <s v="N"/>
    <n v="91"/>
    <n v="71"/>
    <n v="850"/>
    <n v="5546"/>
    <n v="1500"/>
    <n v="314"/>
    <n v="33"/>
    <n v="183"/>
    <n v="705"/>
    <n v="874"/>
    <n v="43"/>
    <n v="23"/>
    <n v="72"/>
    <n v="51"/>
    <n v="770"/>
    <n v="695"/>
    <n v="4.29"/>
    <n v="8"/>
    <n v="8"/>
    <n v="46"/>
    <n v="4371"/>
    <n v="1481"/>
    <n v="161"/>
    <n v="548"/>
    <n v="1020"/>
    <n v="101"/>
    <n v="153"/>
    <n v="0.98399999999999999"/>
  </r>
  <r>
    <n v="2004"/>
    <x v="26"/>
    <s v="SLN"/>
    <n v="1"/>
    <s v="Y"/>
    <s v="N"/>
    <s v="Y"/>
    <s v="N"/>
    <n v="105"/>
    <n v="57"/>
    <n v="855"/>
    <n v="5555"/>
    <n v="1544"/>
    <n v="319"/>
    <n v="24"/>
    <n v="214"/>
    <n v="548"/>
    <n v="1085"/>
    <n v="111"/>
    <n v="47"/>
    <n v="51"/>
    <n v="70"/>
    <n v="659"/>
    <n v="605"/>
    <n v="3.75"/>
    <n v="4"/>
    <n v="12"/>
    <n v="57"/>
    <n v="4361"/>
    <n v="1378"/>
    <n v="169"/>
    <n v="440"/>
    <n v="1041"/>
    <n v="97"/>
    <n v="154"/>
    <n v="0.98499999999999999"/>
  </r>
  <r>
    <n v="2004"/>
    <x v="27"/>
    <s v="TBA"/>
    <n v="4"/>
    <s v="N"/>
    <s v="N"/>
    <s v="N"/>
    <s v="N"/>
    <n v="70"/>
    <n v="91"/>
    <n v="714"/>
    <n v="5483"/>
    <n v="1416"/>
    <n v="278"/>
    <n v="46"/>
    <n v="145"/>
    <n v="469"/>
    <n v="944"/>
    <n v="132"/>
    <n v="42"/>
    <n v="55"/>
    <n v="56"/>
    <n v="842"/>
    <n v="757"/>
    <n v="4.8099999999999996"/>
    <n v="3"/>
    <n v="5"/>
    <n v="35"/>
    <n v="4251"/>
    <n v="1459"/>
    <n v="192"/>
    <n v="580"/>
    <n v="923"/>
    <n v="119"/>
    <n v="139"/>
    <n v="0.98"/>
  </r>
  <r>
    <n v="2004"/>
    <x v="28"/>
    <s v="TEX"/>
    <n v="3"/>
    <s v="N"/>
    <s v="N"/>
    <s v="N"/>
    <s v="N"/>
    <n v="89"/>
    <n v="73"/>
    <n v="860"/>
    <n v="5615"/>
    <n v="1492"/>
    <n v="323"/>
    <n v="34"/>
    <n v="227"/>
    <n v="500"/>
    <n v="1099"/>
    <n v="69"/>
    <n v="36"/>
    <n v="61"/>
    <n v="57"/>
    <n v="794"/>
    <n v="724"/>
    <n v="4.53"/>
    <n v="5"/>
    <n v="9"/>
    <n v="52"/>
    <n v="4319"/>
    <n v="1536"/>
    <n v="182"/>
    <n v="547"/>
    <n v="979"/>
    <n v="117"/>
    <n v="152"/>
    <n v="0.98099999999999998"/>
  </r>
  <r>
    <n v="2004"/>
    <x v="29"/>
    <s v="TOR"/>
    <n v="5"/>
    <s v="N"/>
    <s v="N"/>
    <s v="N"/>
    <s v="N"/>
    <n v="67"/>
    <n v="94"/>
    <n v="719"/>
    <n v="5531"/>
    <n v="1438"/>
    <n v="290"/>
    <n v="34"/>
    <n v="145"/>
    <n v="513"/>
    <n v="1083"/>
    <n v="58"/>
    <n v="31"/>
    <n v="71"/>
    <n v="42"/>
    <n v="823"/>
    <n v="775"/>
    <n v="4.91"/>
    <n v="6"/>
    <n v="11"/>
    <n v="37"/>
    <n v="4263"/>
    <n v="1505"/>
    <n v="181"/>
    <n v="608"/>
    <n v="956"/>
    <n v="91"/>
    <n v="150"/>
    <n v="0.98499999999999999"/>
  </r>
  <r>
    <n v="2005"/>
    <x v="1"/>
    <s v="ARI"/>
    <n v="2"/>
    <s v="N"/>
    <s v="N"/>
    <s v="N"/>
    <s v="N"/>
    <n v="77"/>
    <n v="85"/>
    <n v="696"/>
    <n v="5550"/>
    <n v="1419"/>
    <n v="291"/>
    <n v="27"/>
    <n v="191"/>
    <n v="606"/>
    <n v="1094"/>
    <n v="67"/>
    <n v="26"/>
    <n v="55"/>
    <n v="45"/>
    <n v="856"/>
    <n v="783"/>
    <n v="4.84"/>
    <n v="6"/>
    <n v="10"/>
    <n v="45"/>
    <n v="4369"/>
    <n v="1580"/>
    <n v="193"/>
    <n v="537"/>
    <n v="1038"/>
    <n v="94"/>
    <n v="159"/>
    <n v="0.98499999999999999"/>
  </r>
  <r>
    <n v="2005"/>
    <x v="2"/>
    <s v="ATL"/>
    <n v="1"/>
    <s v="Y"/>
    <s v="N"/>
    <s v="N"/>
    <s v="N"/>
    <n v="90"/>
    <n v="72"/>
    <n v="769"/>
    <n v="5486"/>
    <n v="1453"/>
    <n v="308"/>
    <n v="37"/>
    <n v="184"/>
    <n v="534"/>
    <n v="1084"/>
    <n v="92"/>
    <n v="32"/>
    <n v="45"/>
    <n v="46"/>
    <n v="674"/>
    <n v="639"/>
    <n v="3.98"/>
    <n v="8"/>
    <n v="12"/>
    <n v="38"/>
    <n v="4331"/>
    <n v="1487"/>
    <n v="145"/>
    <n v="520"/>
    <n v="929"/>
    <n v="86"/>
    <n v="170"/>
    <n v="0.98599999999999999"/>
  </r>
  <r>
    <n v="2005"/>
    <x v="3"/>
    <s v="BAL"/>
    <n v="4"/>
    <s v="N"/>
    <s v="N"/>
    <s v="N"/>
    <s v="N"/>
    <n v="74"/>
    <n v="88"/>
    <n v="729"/>
    <n v="5551"/>
    <n v="1492"/>
    <n v="296"/>
    <n v="27"/>
    <n v="189"/>
    <n v="447"/>
    <n v="902"/>
    <n v="83"/>
    <n v="37"/>
    <n v="54"/>
    <n v="42"/>
    <n v="800"/>
    <n v="724"/>
    <n v="4.5599999999999996"/>
    <n v="2"/>
    <n v="9"/>
    <n v="38"/>
    <n v="4283"/>
    <n v="1458"/>
    <n v="180"/>
    <n v="580"/>
    <n v="1052"/>
    <n v="107"/>
    <n v="154"/>
    <n v="0.98199999999999998"/>
  </r>
  <r>
    <n v="2005"/>
    <x v="4"/>
    <s v="BOS"/>
    <n v="2"/>
    <s v="N"/>
    <s v="Y"/>
    <s v="N"/>
    <s v="N"/>
    <n v="95"/>
    <n v="67"/>
    <n v="910"/>
    <n v="5626"/>
    <n v="1579"/>
    <n v="339"/>
    <n v="21"/>
    <n v="199"/>
    <n v="653"/>
    <n v="1044"/>
    <n v="45"/>
    <n v="12"/>
    <n v="47"/>
    <n v="63"/>
    <n v="805"/>
    <n v="752"/>
    <n v="4.74"/>
    <n v="6"/>
    <n v="8"/>
    <n v="38"/>
    <n v="4287"/>
    <n v="1550"/>
    <n v="164"/>
    <n v="440"/>
    <n v="959"/>
    <n v="109"/>
    <n v="135"/>
    <n v="0.98199999999999998"/>
  </r>
  <r>
    <n v="2005"/>
    <x v="5"/>
    <s v="CHA"/>
    <n v="1"/>
    <s v="Y"/>
    <s v="N"/>
    <s v="Y"/>
    <s v="Y"/>
    <n v="99"/>
    <n v="63"/>
    <n v="741"/>
    <n v="5529"/>
    <n v="1450"/>
    <n v="253"/>
    <n v="23"/>
    <n v="200"/>
    <n v="435"/>
    <n v="1002"/>
    <n v="137"/>
    <n v="67"/>
    <n v="79"/>
    <n v="49"/>
    <n v="645"/>
    <n v="592"/>
    <n v="3.61"/>
    <n v="9"/>
    <n v="10"/>
    <n v="54"/>
    <n v="4427"/>
    <n v="1392"/>
    <n v="167"/>
    <n v="459"/>
    <n v="1040"/>
    <n v="94"/>
    <n v="166"/>
    <n v="0.98499999999999999"/>
  </r>
  <r>
    <n v="2005"/>
    <x v="6"/>
    <s v="CHN"/>
    <n v="4"/>
    <s v="N"/>
    <s v="N"/>
    <s v="N"/>
    <s v="N"/>
    <n v="79"/>
    <n v="83"/>
    <n v="703"/>
    <n v="5584"/>
    <n v="1506"/>
    <n v="323"/>
    <n v="23"/>
    <n v="194"/>
    <n v="419"/>
    <n v="920"/>
    <n v="65"/>
    <n v="39"/>
    <n v="50"/>
    <n v="37"/>
    <n v="714"/>
    <n v="671"/>
    <n v="4.1900000000000004"/>
    <n v="8"/>
    <n v="10"/>
    <n v="39"/>
    <n v="4320"/>
    <n v="1357"/>
    <n v="186"/>
    <n v="576"/>
    <n v="1256"/>
    <n v="101"/>
    <n v="136"/>
    <n v="0.98299999999999998"/>
  </r>
  <r>
    <n v="2005"/>
    <x v="7"/>
    <s v="CIN"/>
    <n v="5"/>
    <s v="N"/>
    <s v="N"/>
    <s v="N"/>
    <s v="N"/>
    <n v="73"/>
    <n v="89"/>
    <n v="820"/>
    <n v="5565"/>
    <n v="1453"/>
    <n v="335"/>
    <n v="15"/>
    <n v="222"/>
    <n v="611"/>
    <n v="1303"/>
    <n v="72"/>
    <n v="23"/>
    <n v="62"/>
    <n v="39"/>
    <n v="889"/>
    <n v="820"/>
    <n v="5.15"/>
    <n v="2"/>
    <n v="1"/>
    <n v="31"/>
    <n v="4299"/>
    <n v="1657"/>
    <n v="219"/>
    <n v="492"/>
    <n v="955"/>
    <n v="104"/>
    <n v="133"/>
    <n v="0.98299999999999998"/>
  </r>
  <r>
    <n v="2005"/>
    <x v="8"/>
    <s v="CLE"/>
    <n v="2"/>
    <s v="N"/>
    <s v="N"/>
    <s v="N"/>
    <s v="N"/>
    <n v="93"/>
    <n v="69"/>
    <n v="790"/>
    <n v="5609"/>
    <n v="1522"/>
    <n v="337"/>
    <n v="30"/>
    <n v="207"/>
    <n v="503"/>
    <n v="1093"/>
    <n v="62"/>
    <n v="36"/>
    <n v="54"/>
    <n v="50"/>
    <n v="642"/>
    <n v="582"/>
    <n v="3.61"/>
    <n v="6"/>
    <n v="10"/>
    <n v="51"/>
    <n v="4358"/>
    <n v="1363"/>
    <n v="157"/>
    <n v="413"/>
    <n v="1050"/>
    <n v="106"/>
    <n v="156"/>
    <n v="0.98299999999999998"/>
  </r>
  <r>
    <n v="2005"/>
    <x v="9"/>
    <s v="COL"/>
    <n v="5"/>
    <s v="N"/>
    <s v="N"/>
    <s v="N"/>
    <s v="N"/>
    <n v="67"/>
    <n v="95"/>
    <n v="740"/>
    <n v="5542"/>
    <n v="1477"/>
    <n v="280"/>
    <n v="34"/>
    <n v="150"/>
    <n v="509"/>
    <n v="1103"/>
    <n v="65"/>
    <n v="32"/>
    <n v="64"/>
    <n v="34"/>
    <n v="862"/>
    <n v="808"/>
    <n v="5.13"/>
    <n v="4"/>
    <n v="4"/>
    <n v="37"/>
    <n v="4256"/>
    <n v="1600"/>
    <n v="175"/>
    <n v="604"/>
    <n v="981"/>
    <n v="118"/>
    <n v="158"/>
    <n v="0.98099999999999998"/>
  </r>
  <r>
    <n v="2005"/>
    <x v="10"/>
    <s v="DET"/>
    <n v="4"/>
    <s v="N"/>
    <s v="N"/>
    <s v="N"/>
    <s v="N"/>
    <n v="71"/>
    <n v="91"/>
    <n v="723"/>
    <n v="5602"/>
    <n v="1521"/>
    <n v="283"/>
    <n v="45"/>
    <n v="168"/>
    <n v="384"/>
    <n v="1038"/>
    <n v="66"/>
    <n v="28"/>
    <n v="53"/>
    <n v="52"/>
    <n v="787"/>
    <n v="719"/>
    <n v="4.51"/>
    <n v="7"/>
    <n v="2"/>
    <n v="37"/>
    <n v="4307"/>
    <n v="1504"/>
    <n v="193"/>
    <n v="461"/>
    <n v="907"/>
    <n v="110"/>
    <n v="171"/>
    <n v="0.98199999999999998"/>
  </r>
  <r>
    <n v="2005"/>
    <x v="11"/>
    <s v="FLO"/>
    <n v="3"/>
    <s v="N"/>
    <s v="N"/>
    <s v="N"/>
    <s v="N"/>
    <n v="83"/>
    <n v="79"/>
    <n v="717"/>
    <n v="5502"/>
    <n v="1499"/>
    <n v="306"/>
    <n v="32"/>
    <n v="128"/>
    <n v="512"/>
    <n v="918"/>
    <n v="96"/>
    <n v="38"/>
    <n v="67"/>
    <n v="50"/>
    <n v="732"/>
    <n v="666"/>
    <n v="4.16"/>
    <n v="14"/>
    <n v="15"/>
    <n v="42"/>
    <n v="4327"/>
    <n v="1459"/>
    <n v="116"/>
    <n v="563"/>
    <n v="1125"/>
    <n v="103"/>
    <n v="177"/>
    <n v="0.98299999999999998"/>
  </r>
  <r>
    <n v="2005"/>
    <x v="12"/>
    <s v="HOU"/>
    <n v="2"/>
    <s v="N"/>
    <s v="Y"/>
    <s v="Y"/>
    <s v="N"/>
    <n v="89"/>
    <n v="73"/>
    <n v="693"/>
    <n v="5462"/>
    <n v="1400"/>
    <n v="281"/>
    <n v="32"/>
    <n v="161"/>
    <n v="481"/>
    <n v="1037"/>
    <n v="115"/>
    <n v="44"/>
    <n v="72"/>
    <n v="42"/>
    <n v="609"/>
    <n v="563"/>
    <n v="3.51"/>
    <n v="6"/>
    <n v="11"/>
    <n v="45"/>
    <n v="4329"/>
    <n v="1336"/>
    <n v="155"/>
    <n v="440"/>
    <n v="1164"/>
    <n v="89"/>
    <n v="146"/>
    <n v="0.98499999999999999"/>
  </r>
  <r>
    <n v="2005"/>
    <x v="13"/>
    <s v="KCA"/>
    <n v="5"/>
    <s v="N"/>
    <s v="N"/>
    <s v="N"/>
    <s v="N"/>
    <n v="56"/>
    <n v="106"/>
    <n v="701"/>
    <n v="5503"/>
    <n v="1445"/>
    <n v="289"/>
    <n v="34"/>
    <n v="126"/>
    <n v="424"/>
    <n v="1008"/>
    <n v="53"/>
    <n v="33"/>
    <n v="63"/>
    <n v="50"/>
    <n v="935"/>
    <n v="862"/>
    <n v="5.49"/>
    <n v="4"/>
    <n v="4"/>
    <n v="25"/>
    <n v="4240"/>
    <n v="1640"/>
    <n v="178"/>
    <n v="580"/>
    <n v="924"/>
    <n v="125"/>
    <n v="163"/>
    <n v="0.97899999999999998"/>
  </r>
  <r>
    <n v="2005"/>
    <x v="30"/>
    <s v="LAA"/>
    <n v="1"/>
    <s v="Y"/>
    <s v="N"/>
    <s v="N"/>
    <s v="N"/>
    <n v="95"/>
    <n v="67"/>
    <n v="761"/>
    <n v="5624"/>
    <n v="1520"/>
    <n v="278"/>
    <n v="30"/>
    <n v="147"/>
    <n v="447"/>
    <n v="848"/>
    <n v="161"/>
    <n v="57"/>
    <n v="29"/>
    <n v="39"/>
    <n v="643"/>
    <n v="598"/>
    <n v="3.68"/>
    <n v="7"/>
    <n v="11"/>
    <n v="54"/>
    <n v="4393"/>
    <n v="1419"/>
    <n v="158"/>
    <n v="443"/>
    <n v="1126"/>
    <n v="87"/>
    <n v="139"/>
    <n v="0.98599999999999999"/>
  </r>
  <r>
    <n v="2005"/>
    <x v="14"/>
    <s v="LAN"/>
    <n v="4"/>
    <s v="N"/>
    <s v="N"/>
    <s v="N"/>
    <s v="N"/>
    <n v="71"/>
    <n v="91"/>
    <n v="685"/>
    <n v="5433"/>
    <n v="1374"/>
    <n v="284"/>
    <n v="21"/>
    <n v="149"/>
    <n v="541"/>
    <n v="1094"/>
    <n v="58"/>
    <n v="35"/>
    <n v="67"/>
    <n v="33"/>
    <n v="755"/>
    <n v="695"/>
    <n v="4.38"/>
    <n v="6"/>
    <n v="9"/>
    <n v="40"/>
    <n v="4282"/>
    <n v="1434"/>
    <n v="182"/>
    <n v="471"/>
    <n v="1004"/>
    <n v="106"/>
    <n v="141"/>
    <n v="0.98299999999999998"/>
  </r>
  <r>
    <n v="2005"/>
    <x v="15"/>
    <s v="MIL"/>
    <n v="3"/>
    <s v="N"/>
    <s v="N"/>
    <s v="N"/>
    <s v="N"/>
    <n v="81"/>
    <n v="81"/>
    <n v="726"/>
    <n v="5448"/>
    <n v="1413"/>
    <n v="327"/>
    <n v="19"/>
    <n v="175"/>
    <n v="531"/>
    <n v="1162"/>
    <n v="79"/>
    <n v="34"/>
    <n v="73"/>
    <n v="38"/>
    <n v="697"/>
    <n v="635"/>
    <n v="3.97"/>
    <n v="7"/>
    <n v="6"/>
    <n v="46"/>
    <n v="4314"/>
    <n v="1382"/>
    <n v="169"/>
    <n v="569"/>
    <n v="1173"/>
    <n v="119"/>
    <n v="139"/>
    <n v="0.98"/>
  </r>
  <r>
    <n v="2005"/>
    <x v="16"/>
    <s v="MIN"/>
    <n v="3"/>
    <s v="N"/>
    <s v="N"/>
    <s v="N"/>
    <s v="N"/>
    <n v="83"/>
    <n v="79"/>
    <n v="688"/>
    <n v="5564"/>
    <n v="1441"/>
    <n v="269"/>
    <n v="32"/>
    <n v="134"/>
    <n v="485"/>
    <n v="978"/>
    <n v="102"/>
    <n v="44"/>
    <n v="59"/>
    <n v="42"/>
    <n v="662"/>
    <n v="604"/>
    <n v="3.71"/>
    <n v="9"/>
    <n v="8"/>
    <n v="44"/>
    <n v="4393"/>
    <n v="1458"/>
    <n v="169"/>
    <n v="348"/>
    <n v="965"/>
    <n v="102"/>
    <n v="171"/>
    <n v="0.98399999999999999"/>
  </r>
  <r>
    <n v="2005"/>
    <x v="18"/>
    <s v="NYA"/>
    <n v="1"/>
    <s v="Y"/>
    <s v="N"/>
    <s v="N"/>
    <s v="N"/>
    <n v="95"/>
    <n v="67"/>
    <n v="886"/>
    <n v="5624"/>
    <n v="1552"/>
    <n v="259"/>
    <n v="16"/>
    <n v="229"/>
    <n v="637"/>
    <n v="989"/>
    <n v="84"/>
    <n v="27"/>
    <n v="73"/>
    <n v="43"/>
    <n v="789"/>
    <n v="718"/>
    <n v="4.5199999999999996"/>
    <n v="8"/>
    <n v="14"/>
    <n v="46"/>
    <n v="4292"/>
    <n v="1495"/>
    <n v="164"/>
    <n v="463"/>
    <n v="985"/>
    <n v="95"/>
    <n v="151"/>
    <n v="0.98399999999999999"/>
  </r>
  <r>
    <n v="2005"/>
    <x v="19"/>
    <s v="NYN"/>
    <n v="3"/>
    <s v="N"/>
    <s v="N"/>
    <s v="N"/>
    <s v="N"/>
    <n v="83"/>
    <n v="79"/>
    <n v="722"/>
    <n v="5505"/>
    <n v="1421"/>
    <n v="279"/>
    <n v="32"/>
    <n v="175"/>
    <n v="486"/>
    <n v="1075"/>
    <n v="153"/>
    <n v="40"/>
    <n v="48"/>
    <n v="38"/>
    <n v="648"/>
    <n v="599"/>
    <n v="3.76"/>
    <n v="8"/>
    <n v="11"/>
    <n v="38"/>
    <n v="4307"/>
    <n v="1390"/>
    <n v="135"/>
    <n v="491"/>
    <n v="1012"/>
    <n v="106"/>
    <n v="146"/>
    <n v="0.98299999999999998"/>
  </r>
  <r>
    <n v="2005"/>
    <x v="20"/>
    <s v="OAK"/>
    <n v="2"/>
    <s v="N"/>
    <s v="N"/>
    <s v="N"/>
    <s v="N"/>
    <n v="88"/>
    <n v="74"/>
    <n v="772"/>
    <n v="5627"/>
    <n v="1476"/>
    <n v="310"/>
    <n v="20"/>
    <n v="155"/>
    <n v="537"/>
    <n v="819"/>
    <n v="31"/>
    <n v="22"/>
    <n v="52"/>
    <n v="40"/>
    <n v="658"/>
    <n v="594"/>
    <n v="3.69"/>
    <n v="9"/>
    <n v="12"/>
    <n v="38"/>
    <n v="4351"/>
    <n v="1315"/>
    <n v="154"/>
    <n v="504"/>
    <n v="1075"/>
    <n v="88"/>
    <n v="166"/>
    <n v="0.98599999999999999"/>
  </r>
  <r>
    <n v="2005"/>
    <x v="21"/>
    <s v="PHI"/>
    <n v="2"/>
    <s v="N"/>
    <s v="N"/>
    <s v="N"/>
    <s v="N"/>
    <n v="88"/>
    <n v="74"/>
    <n v="807"/>
    <n v="5542"/>
    <n v="1494"/>
    <n v="282"/>
    <n v="35"/>
    <n v="167"/>
    <n v="639"/>
    <n v="1083"/>
    <n v="116"/>
    <n v="27"/>
    <n v="56"/>
    <n v="46"/>
    <n v="726"/>
    <n v="672"/>
    <n v="4.21"/>
    <n v="4"/>
    <n v="6"/>
    <n v="40"/>
    <n v="4305"/>
    <n v="1379"/>
    <n v="189"/>
    <n v="487"/>
    <n v="1159"/>
    <n v="90"/>
    <n v="132"/>
    <n v="0.98499999999999999"/>
  </r>
  <r>
    <n v="2005"/>
    <x v="22"/>
    <s v="PIT"/>
    <n v="6"/>
    <s v="N"/>
    <s v="N"/>
    <s v="N"/>
    <s v="N"/>
    <n v="67"/>
    <n v="95"/>
    <n v="680"/>
    <n v="5573"/>
    <n v="1445"/>
    <n v="292"/>
    <n v="38"/>
    <n v="139"/>
    <n v="471"/>
    <n v="1092"/>
    <n v="73"/>
    <n v="30"/>
    <n v="72"/>
    <n v="49"/>
    <n v="769"/>
    <n v="706"/>
    <n v="4.42"/>
    <n v="4"/>
    <n v="14"/>
    <n v="35"/>
    <n v="4308"/>
    <n v="1456"/>
    <n v="162"/>
    <n v="612"/>
    <n v="958"/>
    <n v="117"/>
    <n v="193"/>
    <n v="0.98099999999999998"/>
  </r>
  <r>
    <n v="2005"/>
    <x v="23"/>
    <s v="SDN"/>
    <n v="1"/>
    <s v="Y"/>
    <s v="N"/>
    <s v="N"/>
    <s v="N"/>
    <n v="82"/>
    <n v="80"/>
    <n v="684"/>
    <n v="5502"/>
    <n v="1416"/>
    <n v="269"/>
    <n v="39"/>
    <n v="130"/>
    <n v="600"/>
    <n v="977"/>
    <n v="99"/>
    <n v="44"/>
    <n v="49"/>
    <n v="48"/>
    <n v="726"/>
    <n v="668"/>
    <n v="4.13"/>
    <n v="4"/>
    <n v="8"/>
    <n v="45"/>
    <n v="4366"/>
    <n v="1452"/>
    <n v="146"/>
    <n v="503"/>
    <n v="1133"/>
    <n v="109"/>
    <n v="136"/>
    <n v="0.98199999999999998"/>
  </r>
  <r>
    <n v="2005"/>
    <x v="24"/>
    <s v="SEA"/>
    <n v="4"/>
    <s v="N"/>
    <s v="N"/>
    <s v="N"/>
    <s v="N"/>
    <n v="69"/>
    <n v="93"/>
    <n v="699"/>
    <n v="5507"/>
    <n v="1408"/>
    <n v="289"/>
    <n v="34"/>
    <n v="130"/>
    <n v="466"/>
    <n v="986"/>
    <n v="102"/>
    <n v="47"/>
    <n v="48"/>
    <n v="37"/>
    <n v="751"/>
    <n v="712"/>
    <n v="4.49"/>
    <n v="6"/>
    <n v="7"/>
    <n v="39"/>
    <n v="4283"/>
    <n v="1483"/>
    <n v="179"/>
    <n v="496"/>
    <n v="892"/>
    <n v="86"/>
    <n v="144"/>
    <n v="0.98599999999999999"/>
  </r>
  <r>
    <n v="2005"/>
    <x v="25"/>
    <s v="SFN"/>
    <n v="3"/>
    <s v="N"/>
    <s v="N"/>
    <s v="N"/>
    <s v="N"/>
    <n v="75"/>
    <n v="87"/>
    <n v="649"/>
    <n v="5462"/>
    <n v="1427"/>
    <n v="299"/>
    <n v="26"/>
    <n v="128"/>
    <n v="431"/>
    <n v="901"/>
    <n v="71"/>
    <n v="35"/>
    <n v="49"/>
    <n v="44"/>
    <n v="745"/>
    <n v="695"/>
    <n v="4.33"/>
    <n v="4"/>
    <n v="8"/>
    <n v="46"/>
    <n v="4333"/>
    <n v="1456"/>
    <n v="151"/>
    <n v="592"/>
    <n v="972"/>
    <n v="90"/>
    <n v="146"/>
    <n v="0.98499999999999999"/>
  </r>
  <r>
    <n v="2005"/>
    <x v="26"/>
    <s v="SLN"/>
    <n v="1"/>
    <s v="Y"/>
    <s v="N"/>
    <s v="N"/>
    <s v="N"/>
    <n v="100"/>
    <n v="62"/>
    <n v="805"/>
    <n v="5538"/>
    <n v="1494"/>
    <n v="287"/>
    <n v="26"/>
    <n v="170"/>
    <n v="534"/>
    <n v="947"/>
    <n v="83"/>
    <n v="36"/>
    <n v="62"/>
    <n v="35"/>
    <n v="634"/>
    <n v="560"/>
    <n v="3.49"/>
    <n v="15"/>
    <n v="14"/>
    <n v="48"/>
    <n v="4337"/>
    <n v="1399"/>
    <n v="153"/>
    <n v="443"/>
    <n v="974"/>
    <n v="100"/>
    <n v="196"/>
    <n v="0.98399999999999999"/>
  </r>
  <r>
    <n v="2005"/>
    <x v="27"/>
    <s v="TBA"/>
    <n v="5"/>
    <s v="N"/>
    <s v="N"/>
    <s v="N"/>
    <s v="N"/>
    <n v="67"/>
    <n v="95"/>
    <n v="750"/>
    <n v="5552"/>
    <n v="1519"/>
    <n v="289"/>
    <n v="40"/>
    <n v="157"/>
    <n v="412"/>
    <n v="990"/>
    <n v="151"/>
    <n v="49"/>
    <n v="69"/>
    <n v="51"/>
    <n v="936"/>
    <n v="851"/>
    <n v="5.39"/>
    <n v="1"/>
    <n v="4"/>
    <n v="43"/>
    <n v="4265"/>
    <n v="1570"/>
    <n v="194"/>
    <n v="615"/>
    <n v="949"/>
    <n v="124"/>
    <n v="139"/>
    <n v="0.97899999999999998"/>
  </r>
  <r>
    <n v="2005"/>
    <x v="28"/>
    <s v="TEX"/>
    <n v="3"/>
    <s v="N"/>
    <s v="N"/>
    <s v="N"/>
    <s v="N"/>
    <n v="79"/>
    <n v="83"/>
    <n v="865"/>
    <n v="5716"/>
    <n v="1528"/>
    <n v="311"/>
    <n v="29"/>
    <n v="260"/>
    <n v="495"/>
    <n v="1112"/>
    <n v="67"/>
    <n v="15"/>
    <n v="48"/>
    <n v="32"/>
    <n v="858"/>
    <n v="794"/>
    <n v="4.96"/>
    <n v="2"/>
    <n v="6"/>
    <n v="46"/>
    <n v="4320"/>
    <n v="1589"/>
    <n v="159"/>
    <n v="522"/>
    <n v="932"/>
    <n v="108"/>
    <n v="149"/>
    <n v="0.98199999999999998"/>
  </r>
  <r>
    <n v="2005"/>
    <x v="29"/>
    <s v="TOR"/>
    <n v="3"/>
    <s v="N"/>
    <s v="N"/>
    <s v="N"/>
    <s v="N"/>
    <n v="80"/>
    <n v="82"/>
    <n v="775"/>
    <n v="5581"/>
    <n v="1480"/>
    <n v="307"/>
    <n v="39"/>
    <n v="136"/>
    <n v="486"/>
    <n v="955"/>
    <n v="72"/>
    <n v="35"/>
    <n v="89"/>
    <n v="56"/>
    <n v="705"/>
    <n v="653"/>
    <n v="4.0599999999999996"/>
    <n v="9"/>
    <n v="8"/>
    <n v="35"/>
    <n v="4341"/>
    <n v="1475"/>
    <n v="185"/>
    <n v="444"/>
    <n v="958"/>
    <n v="95"/>
    <n v="154"/>
    <n v="0.98499999999999999"/>
  </r>
  <r>
    <n v="2005"/>
    <x v="31"/>
    <s v="WAS"/>
    <n v="5"/>
    <s v="N"/>
    <s v="N"/>
    <s v="N"/>
    <s v="N"/>
    <n v="81"/>
    <n v="81"/>
    <n v="639"/>
    <n v="5426"/>
    <n v="1367"/>
    <n v="311"/>
    <n v="32"/>
    <n v="117"/>
    <n v="491"/>
    <n v="1090"/>
    <n v="45"/>
    <n v="45"/>
    <n v="89"/>
    <n v="45"/>
    <n v="673"/>
    <n v="627"/>
    <n v="3.87"/>
    <n v="4"/>
    <n v="9"/>
    <n v="51"/>
    <n v="4374"/>
    <n v="1456"/>
    <n v="140"/>
    <n v="539"/>
    <n v="997"/>
    <n v="92"/>
    <n v="156"/>
    <n v="0.98499999999999999"/>
  </r>
  <r>
    <n v="2006"/>
    <x v="1"/>
    <s v="ARI"/>
    <n v="4"/>
    <s v="N"/>
    <s v="N"/>
    <s v="N"/>
    <s v="N"/>
    <n v="76"/>
    <n v="86"/>
    <n v="773"/>
    <n v="5645"/>
    <n v="1506"/>
    <n v="331"/>
    <n v="38"/>
    <n v="160"/>
    <n v="504"/>
    <n v="965"/>
    <n v="76"/>
    <n v="30"/>
    <n v="67"/>
    <n v="53"/>
    <n v="788"/>
    <n v="727"/>
    <n v="4.4800000000000004"/>
    <n v="8"/>
    <n v="9"/>
    <n v="34"/>
    <n v="4379"/>
    <n v="1503"/>
    <n v="168"/>
    <n v="536"/>
    <n v="1115"/>
    <n v="104"/>
    <n v="172"/>
    <n v="0.98299999999999998"/>
  </r>
  <r>
    <n v="2006"/>
    <x v="2"/>
    <s v="ATL"/>
    <n v="3"/>
    <s v="N"/>
    <s v="N"/>
    <s v="N"/>
    <s v="N"/>
    <n v="79"/>
    <n v="83"/>
    <n v="849"/>
    <n v="5583"/>
    <n v="1510"/>
    <n v="312"/>
    <n v="26"/>
    <n v="222"/>
    <n v="526"/>
    <n v="1169"/>
    <n v="52"/>
    <n v="35"/>
    <n v="52"/>
    <n v="44"/>
    <n v="805"/>
    <n v="736"/>
    <n v="4.5999999999999996"/>
    <n v="6"/>
    <n v="6"/>
    <n v="38"/>
    <n v="4324"/>
    <n v="1529"/>
    <n v="183"/>
    <n v="572"/>
    <n v="1049"/>
    <n v="99"/>
    <n v="146"/>
    <n v="0.98399999999999999"/>
  </r>
  <r>
    <n v="2006"/>
    <x v="3"/>
    <s v="BAL"/>
    <n v="4"/>
    <s v="N"/>
    <s v="N"/>
    <s v="N"/>
    <s v="N"/>
    <n v="70"/>
    <n v="92"/>
    <n v="768"/>
    <n v="5610"/>
    <n v="1556"/>
    <n v="288"/>
    <n v="20"/>
    <n v="164"/>
    <n v="474"/>
    <n v="878"/>
    <n v="121"/>
    <n v="32"/>
    <n v="73"/>
    <n v="41"/>
    <n v="899"/>
    <n v="843"/>
    <n v="5.35"/>
    <n v="5"/>
    <n v="9"/>
    <n v="35"/>
    <n v="4257"/>
    <n v="1579"/>
    <n v="216"/>
    <n v="613"/>
    <n v="1016"/>
    <n v="102"/>
    <n v="156"/>
    <n v="0.98299999999999998"/>
  </r>
  <r>
    <n v="2006"/>
    <x v="4"/>
    <s v="BOS"/>
    <n v="3"/>
    <s v="N"/>
    <s v="N"/>
    <s v="N"/>
    <s v="N"/>
    <n v="86"/>
    <n v="76"/>
    <n v="820"/>
    <n v="5619"/>
    <n v="1510"/>
    <n v="327"/>
    <n v="16"/>
    <n v="192"/>
    <n v="672"/>
    <n v="1056"/>
    <n v="51"/>
    <n v="23"/>
    <n v="66"/>
    <n v="56"/>
    <n v="825"/>
    <n v="773"/>
    <n v="4.83"/>
    <n v="3"/>
    <n v="6"/>
    <n v="46"/>
    <n v="4324"/>
    <n v="1570"/>
    <n v="181"/>
    <n v="509"/>
    <n v="1070"/>
    <n v="66"/>
    <n v="174"/>
    <n v="0.98899999999999999"/>
  </r>
  <r>
    <n v="2006"/>
    <x v="5"/>
    <s v="CHA"/>
    <n v="3"/>
    <s v="N"/>
    <s v="N"/>
    <s v="N"/>
    <s v="N"/>
    <n v="90"/>
    <n v="72"/>
    <n v="868"/>
    <n v="5657"/>
    <n v="1586"/>
    <n v="291"/>
    <n v="20"/>
    <n v="236"/>
    <n v="502"/>
    <n v="1056"/>
    <n v="93"/>
    <n v="48"/>
    <n v="58"/>
    <n v="57"/>
    <n v="794"/>
    <n v="743"/>
    <n v="4.6100000000000003"/>
    <n v="5"/>
    <n v="11"/>
    <n v="46"/>
    <n v="4347"/>
    <n v="1534"/>
    <n v="200"/>
    <n v="433"/>
    <n v="1012"/>
    <n v="90"/>
    <n v="145"/>
    <n v="0.98499999999999999"/>
  </r>
  <r>
    <n v="2006"/>
    <x v="6"/>
    <s v="CHN"/>
    <n v="6"/>
    <s v="N"/>
    <s v="N"/>
    <s v="N"/>
    <s v="N"/>
    <n v="66"/>
    <n v="96"/>
    <n v="716"/>
    <n v="5587"/>
    <n v="1496"/>
    <n v="271"/>
    <n v="46"/>
    <n v="166"/>
    <n v="395"/>
    <n v="928"/>
    <n v="121"/>
    <n v="49"/>
    <n v="43"/>
    <n v="37"/>
    <n v="834"/>
    <n v="758"/>
    <n v="4.74"/>
    <n v="2"/>
    <n v="7"/>
    <n v="29"/>
    <n v="4317"/>
    <n v="1396"/>
    <n v="210"/>
    <n v="687"/>
    <n v="1250"/>
    <n v="106"/>
    <n v="122"/>
    <n v="0.98199999999999998"/>
  </r>
  <r>
    <n v="2006"/>
    <x v="7"/>
    <s v="CIN"/>
    <n v="3"/>
    <s v="N"/>
    <s v="N"/>
    <s v="N"/>
    <s v="N"/>
    <n v="80"/>
    <n v="82"/>
    <n v="749"/>
    <n v="5515"/>
    <n v="1419"/>
    <n v="291"/>
    <n v="12"/>
    <n v="217"/>
    <n v="614"/>
    <n v="1192"/>
    <n v="124"/>
    <n v="33"/>
    <n v="59"/>
    <n v="38"/>
    <n v="801"/>
    <n v="725"/>
    <n v="4.51"/>
    <n v="9"/>
    <n v="10"/>
    <n v="36"/>
    <n v="4337"/>
    <n v="1576"/>
    <n v="213"/>
    <n v="464"/>
    <n v="1053"/>
    <n v="128"/>
    <n v="139"/>
    <n v="0.97899999999999998"/>
  </r>
  <r>
    <n v="2006"/>
    <x v="8"/>
    <s v="CLE"/>
    <n v="4"/>
    <s v="N"/>
    <s v="N"/>
    <s v="N"/>
    <s v="N"/>
    <n v="78"/>
    <n v="84"/>
    <n v="870"/>
    <n v="5619"/>
    <n v="1576"/>
    <n v="351"/>
    <n v="27"/>
    <n v="196"/>
    <n v="556"/>
    <n v="1204"/>
    <n v="55"/>
    <n v="23"/>
    <n v="54"/>
    <n v="43"/>
    <n v="782"/>
    <n v="698"/>
    <n v="4.41"/>
    <n v="13"/>
    <n v="13"/>
    <n v="24"/>
    <n v="4270"/>
    <n v="1583"/>
    <n v="166"/>
    <n v="429"/>
    <n v="948"/>
    <n v="118"/>
    <n v="165"/>
    <n v="0.98099999999999998"/>
  </r>
  <r>
    <n v="2006"/>
    <x v="9"/>
    <s v="COL"/>
    <n v="4"/>
    <s v="N"/>
    <s v="N"/>
    <s v="N"/>
    <s v="N"/>
    <n v="76"/>
    <n v="86"/>
    <n v="813"/>
    <n v="5562"/>
    <n v="1504"/>
    <n v="325"/>
    <n v="54"/>
    <n v="157"/>
    <n v="561"/>
    <n v="1108"/>
    <n v="85"/>
    <n v="50"/>
    <n v="60"/>
    <n v="45"/>
    <n v="812"/>
    <n v="749"/>
    <n v="4.66"/>
    <n v="5"/>
    <n v="8"/>
    <n v="34"/>
    <n v="4342"/>
    <n v="1549"/>
    <n v="155"/>
    <n v="553"/>
    <n v="952"/>
    <n v="91"/>
    <n v="190"/>
    <n v="0.98499999999999999"/>
  </r>
  <r>
    <n v="2006"/>
    <x v="10"/>
    <s v="DET"/>
    <n v="2"/>
    <s v="N"/>
    <s v="Y"/>
    <s v="Y"/>
    <s v="N"/>
    <n v="95"/>
    <n v="67"/>
    <n v="822"/>
    <n v="5642"/>
    <n v="1548"/>
    <n v="294"/>
    <n v="40"/>
    <n v="203"/>
    <n v="430"/>
    <n v="1133"/>
    <n v="60"/>
    <n v="40"/>
    <n v="45"/>
    <n v="36"/>
    <n v="675"/>
    <n v="618"/>
    <n v="3.84"/>
    <n v="3"/>
    <n v="16"/>
    <n v="46"/>
    <n v="4344"/>
    <n v="1420"/>
    <n v="160"/>
    <n v="489"/>
    <n v="1003"/>
    <n v="106"/>
    <n v="162"/>
    <n v="0.98299999999999998"/>
  </r>
  <r>
    <n v="2006"/>
    <x v="11"/>
    <s v="FLO"/>
    <n v="4"/>
    <s v="N"/>
    <s v="N"/>
    <s v="N"/>
    <s v="N"/>
    <n v="78"/>
    <n v="84"/>
    <n v="758"/>
    <n v="5502"/>
    <n v="1454"/>
    <n v="309"/>
    <n v="42"/>
    <n v="182"/>
    <n v="497"/>
    <n v="1249"/>
    <n v="110"/>
    <n v="58"/>
    <n v="74"/>
    <n v="42"/>
    <n v="772"/>
    <n v="696"/>
    <n v="4.37"/>
    <n v="6"/>
    <n v="6"/>
    <n v="41"/>
    <n v="4300"/>
    <n v="1465"/>
    <n v="166"/>
    <n v="622"/>
    <n v="1088"/>
    <n v="126"/>
    <n v="166"/>
    <n v="0.97899999999999998"/>
  </r>
  <r>
    <n v="2006"/>
    <x v="12"/>
    <s v="HOU"/>
    <n v="2"/>
    <s v="N"/>
    <s v="N"/>
    <s v="N"/>
    <s v="N"/>
    <n v="82"/>
    <n v="80"/>
    <n v="735"/>
    <n v="5521"/>
    <n v="1407"/>
    <n v="275"/>
    <n v="27"/>
    <n v="174"/>
    <n v="585"/>
    <n v="1076"/>
    <n v="79"/>
    <n v="36"/>
    <n v="73"/>
    <n v="46"/>
    <n v="719"/>
    <n v="666"/>
    <n v="4.08"/>
    <n v="5"/>
    <n v="12"/>
    <n v="42"/>
    <n v="4406"/>
    <n v="1425"/>
    <n v="182"/>
    <n v="480"/>
    <n v="1160"/>
    <n v="80"/>
    <n v="164"/>
    <n v="0.98699999999999999"/>
  </r>
  <r>
    <n v="2006"/>
    <x v="13"/>
    <s v="KCA"/>
    <n v="5"/>
    <s v="N"/>
    <s v="N"/>
    <s v="N"/>
    <s v="N"/>
    <n v="62"/>
    <n v="100"/>
    <n v="757"/>
    <n v="5589"/>
    <n v="1515"/>
    <n v="335"/>
    <n v="37"/>
    <n v="124"/>
    <n v="474"/>
    <n v="1040"/>
    <n v="65"/>
    <n v="34"/>
    <n v="64"/>
    <n v="48"/>
    <n v="971"/>
    <n v="896"/>
    <n v="5.65"/>
    <n v="3"/>
    <n v="5"/>
    <n v="35"/>
    <n v="4279"/>
    <n v="1648"/>
    <n v="213"/>
    <n v="637"/>
    <n v="904"/>
    <n v="98"/>
    <n v="189"/>
    <n v="0.98399999999999999"/>
  </r>
  <r>
    <n v="2006"/>
    <x v="30"/>
    <s v="LAA"/>
    <n v="2"/>
    <s v="N"/>
    <s v="N"/>
    <s v="N"/>
    <s v="N"/>
    <n v="89"/>
    <n v="73"/>
    <n v="766"/>
    <n v="5609"/>
    <n v="1539"/>
    <n v="309"/>
    <n v="29"/>
    <n v="159"/>
    <n v="486"/>
    <n v="914"/>
    <n v="148"/>
    <n v="57"/>
    <n v="42"/>
    <n v="53"/>
    <n v="732"/>
    <n v="652"/>
    <n v="4.04"/>
    <n v="5"/>
    <n v="12"/>
    <n v="50"/>
    <n v="4358"/>
    <n v="1410"/>
    <n v="158"/>
    <n v="471"/>
    <n v="1164"/>
    <n v="124"/>
    <n v="154"/>
    <n v="0.97899999999999998"/>
  </r>
  <r>
    <n v="2006"/>
    <x v="14"/>
    <s v="LAN"/>
    <n v="2"/>
    <s v="N"/>
    <s v="Y"/>
    <s v="N"/>
    <s v="N"/>
    <n v="88"/>
    <n v="74"/>
    <n v="820"/>
    <n v="5628"/>
    <n v="1552"/>
    <n v="307"/>
    <n v="58"/>
    <n v="153"/>
    <n v="601"/>
    <n v="959"/>
    <n v="128"/>
    <n v="49"/>
    <n v="51"/>
    <n v="48"/>
    <n v="751"/>
    <n v="686"/>
    <n v="4.2300000000000004"/>
    <n v="1"/>
    <n v="10"/>
    <n v="40"/>
    <n v="4381"/>
    <n v="1524"/>
    <n v="152"/>
    <n v="492"/>
    <n v="1068"/>
    <n v="115"/>
    <n v="174"/>
    <n v="0.98199999999999998"/>
  </r>
  <r>
    <n v="2006"/>
    <x v="15"/>
    <s v="MIL"/>
    <n v="4"/>
    <s v="N"/>
    <s v="N"/>
    <s v="N"/>
    <s v="N"/>
    <n v="75"/>
    <n v="87"/>
    <n v="730"/>
    <n v="5433"/>
    <n v="1400"/>
    <n v="301"/>
    <n v="20"/>
    <n v="180"/>
    <n v="502"/>
    <n v="1233"/>
    <n v="71"/>
    <n v="37"/>
    <n v="82"/>
    <n v="53"/>
    <n v="833"/>
    <n v="763"/>
    <n v="4.82"/>
    <n v="7"/>
    <n v="8"/>
    <n v="43"/>
    <n v="4277"/>
    <n v="1454"/>
    <n v="177"/>
    <n v="514"/>
    <n v="1145"/>
    <n v="117"/>
    <n v="126"/>
    <n v="0.98"/>
  </r>
  <r>
    <n v="2006"/>
    <x v="16"/>
    <s v="MIN"/>
    <n v="1"/>
    <s v="Y"/>
    <s v="N"/>
    <s v="N"/>
    <s v="N"/>
    <n v="96"/>
    <n v="66"/>
    <n v="801"/>
    <n v="5602"/>
    <n v="1608"/>
    <n v="275"/>
    <n v="34"/>
    <n v="143"/>
    <n v="490"/>
    <n v="872"/>
    <n v="101"/>
    <n v="42"/>
    <n v="50"/>
    <n v="55"/>
    <n v="683"/>
    <n v="632"/>
    <n v="3.95"/>
    <n v="1"/>
    <n v="6"/>
    <n v="40"/>
    <n v="4318"/>
    <n v="1490"/>
    <n v="182"/>
    <n v="356"/>
    <n v="1164"/>
    <n v="84"/>
    <n v="135"/>
    <n v="0.98599999999999999"/>
  </r>
  <r>
    <n v="2006"/>
    <x v="18"/>
    <s v="NYA"/>
    <n v="1"/>
    <s v="Y"/>
    <s v="N"/>
    <s v="N"/>
    <s v="N"/>
    <n v="97"/>
    <n v="65"/>
    <n v="930"/>
    <n v="5651"/>
    <n v="1608"/>
    <n v="327"/>
    <n v="21"/>
    <n v="210"/>
    <n v="649"/>
    <n v="1053"/>
    <n v="139"/>
    <n v="35"/>
    <n v="72"/>
    <n v="49"/>
    <n v="767"/>
    <n v="708"/>
    <n v="4.41"/>
    <n v="5"/>
    <n v="8"/>
    <n v="43"/>
    <n v="4331"/>
    <n v="1463"/>
    <n v="170"/>
    <n v="496"/>
    <n v="1019"/>
    <n v="104"/>
    <n v="145"/>
    <n v="0.98299999999999998"/>
  </r>
  <r>
    <n v="2006"/>
    <x v="19"/>
    <s v="NYN"/>
    <n v="1"/>
    <s v="Y"/>
    <s v="N"/>
    <s v="N"/>
    <s v="N"/>
    <n v="97"/>
    <n v="65"/>
    <n v="834"/>
    <n v="5558"/>
    <n v="1469"/>
    <n v="323"/>
    <n v="41"/>
    <n v="200"/>
    <n v="547"/>
    <n v="1071"/>
    <n v="146"/>
    <n v="35"/>
    <n v="62"/>
    <n v="47"/>
    <n v="731"/>
    <n v="673"/>
    <n v="4.1399999999999997"/>
    <n v="5"/>
    <n v="12"/>
    <n v="43"/>
    <n v="4384"/>
    <n v="1402"/>
    <n v="180"/>
    <n v="527"/>
    <n v="1161"/>
    <n v="104"/>
    <n v="131"/>
    <n v="0.98299999999999998"/>
  </r>
  <r>
    <n v="2006"/>
    <x v="20"/>
    <s v="OAK"/>
    <n v="1"/>
    <s v="Y"/>
    <s v="N"/>
    <s v="N"/>
    <s v="N"/>
    <n v="93"/>
    <n v="69"/>
    <n v="771"/>
    <n v="5500"/>
    <n v="1429"/>
    <n v="266"/>
    <n v="22"/>
    <n v="175"/>
    <n v="650"/>
    <n v="976"/>
    <n v="61"/>
    <n v="20"/>
    <n v="50"/>
    <n v="56"/>
    <n v="727"/>
    <n v="679"/>
    <n v="4.21"/>
    <n v="5"/>
    <n v="11"/>
    <n v="54"/>
    <n v="4355"/>
    <n v="1525"/>
    <n v="162"/>
    <n v="529"/>
    <n v="1003"/>
    <n v="84"/>
    <n v="173"/>
    <n v="0.98599999999999999"/>
  </r>
  <r>
    <n v="2006"/>
    <x v="21"/>
    <s v="PHI"/>
    <n v="2"/>
    <s v="N"/>
    <s v="N"/>
    <s v="N"/>
    <s v="N"/>
    <n v="85"/>
    <n v="77"/>
    <n v="865"/>
    <n v="5687"/>
    <n v="1518"/>
    <n v="294"/>
    <n v="41"/>
    <n v="216"/>
    <n v="626"/>
    <n v="1203"/>
    <n v="92"/>
    <n v="25"/>
    <n v="95"/>
    <n v="44"/>
    <n v="812"/>
    <n v="747"/>
    <n v="4.5999999999999996"/>
    <n v="4"/>
    <n v="6"/>
    <n v="42"/>
    <n v="4381"/>
    <n v="1561"/>
    <n v="211"/>
    <n v="512"/>
    <n v="1138"/>
    <n v="104"/>
    <n v="153"/>
    <n v="0.98299999999999998"/>
  </r>
  <r>
    <n v="2006"/>
    <x v="22"/>
    <s v="PIT"/>
    <n v="5"/>
    <s v="N"/>
    <s v="N"/>
    <s v="N"/>
    <s v="N"/>
    <n v="67"/>
    <n v="95"/>
    <n v="691"/>
    <n v="5558"/>
    <n v="1462"/>
    <n v="286"/>
    <n v="17"/>
    <n v="141"/>
    <n v="459"/>
    <n v="1200"/>
    <n v="68"/>
    <n v="23"/>
    <n v="89"/>
    <n v="49"/>
    <n v="797"/>
    <n v="720"/>
    <n v="4.5199999999999996"/>
    <n v="2"/>
    <n v="10"/>
    <n v="39"/>
    <n v="4305"/>
    <n v="1545"/>
    <n v="156"/>
    <n v="620"/>
    <n v="1060"/>
    <n v="104"/>
    <n v="168"/>
    <n v="0.98299999999999998"/>
  </r>
  <r>
    <n v="2006"/>
    <x v="23"/>
    <s v="SDN"/>
    <n v="1"/>
    <s v="Y"/>
    <s v="N"/>
    <s v="N"/>
    <s v="N"/>
    <n v="88"/>
    <n v="74"/>
    <n v="731"/>
    <n v="5576"/>
    <n v="1465"/>
    <n v="298"/>
    <n v="38"/>
    <n v="161"/>
    <n v="564"/>
    <n v="1104"/>
    <n v="123"/>
    <n v="31"/>
    <n v="40"/>
    <n v="47"/>
    <n v="679"/>
    <n v="629"/>
    <n v="3.87"/>
    <n v="4"/>
    <n v="11"/>
    <n v="50"/>
    <n v="4391"/>
    <n v="1385"/>
    <n v="176"/>
    <n v="468"/>
    <n v="1097"/>
    <n v="92"/>
    <n v="138"/>
    <n v="0.98499999999999999"/>
  </r>
  <r>
    <n v="2006"/>
    <x v="24"/>
    <s v="SEA"/>
    <n v="4"/>
    <s v="N"/>
    <s v="N"/>
    <s v="N"/>
    <s v="N"/>
    <n v="78"/>
    <n v="84"/>
    <n v="756"/>
    <n v="5670"/>
    <n v="1540"/>
    <n v="266"/>
    <n v="42"/>
    <n v="172"/>
    <n v="404"/>
    <n v="974"/>
    <n v="106"/>
    <n v="37"/>
    <n v="63"/>
    <n v="38"/>
    <n v="792"/>
    <n v="739"/>
    <n v="4.5999999999999996"/>
    <n v="6"/>
    <n v="6"/>
    <n v="47"/>
    <n v="4340"/>
    <n v="1500"/>
    <n v="183"/>
    <n v="560"/>
    <n v="1067"/>
    <n v="88"/>
    <n v="150"/>
    <n v="0.98499999999999999"/>
  </r>
  <r>
    <n v="2006"/>
    <x v="25"/>
    <s v="SFN"/>
    <n v="3"/>
    <s v="N"/>
    <s v="N"/>
    <s v="N"/>
    <s v="N"/>
    <n v="76"/>
    <n v="85"/>
    <n v="746"/>
    <n v="5472"/>
    <n v="1418"/>
    <n v="297"/>
    <n v="52"/>
    <n v="163"/>
    <n v="494"/>
    <n v="891"/>
    <n v="58"/>
    <n v="25"/>
    <n v="53"/>
    <n v="37"/>
    <n v="790"/>
    <n v="735"/>
    <n v="4.63"/>
    <n v="7"/>
    <n v="9"/>
    <n v="37"/>
    <n v="4289"/>
    <n v="1422"/>
    <n v="153"/>
    <n v="584"/>
    <n v="992"/>
    <n v="91"/>
    <n v="132"/>
    <n v="0.98499999999999999"/>
  </r>
  <r>
    <n v="2006"/>
    <x v="26"/>
    <s v="SLN"/>
    <n v="1"/>
    <s v="Y"/>
    <s v="N"/>
    <s v="Y"/>
    <s v="Y"/>
    <n v="83"/>
    <n v="78"/>
    <n v="781"/>
    <n v="5522"/>
    <n v="1484"/>
    <n v="292"/>
    <n v="27"/>
    <n v="184"/>
    <n v="531"/>
    <n v="922"/>
    <n v="59"/>
    <n v="32"/>
    <n v="61"/>
    <n v="40"/>
    <n v="762"/>
    <n v="721"/>
    <n v="4.54"/>
    <n v="6"/>
    <n v="9"/>
    <n v="38"/>
    <n v="4289"/>
    <n v="1475"/>
    <n v="193"/>
    <n v="504"/>
    <n v="970"/>
    <n v="98"/>
    <n v="170"/>
    <n v="0.98399999999999999"/>
  </r>
  <r>
    <n v="2006"/>
    <x v="27"/>
    <s v="TBA"/>
    <n v="5"/>
    <s v="N"/>
    <s v="N"/>
    <s v="N"/>
    <s v="N"/>
    <n v="61"/>
    <n v="101"/>
    <n v="689"/>
    <n v="5474"/>
    <n v="1395"/>
    <n v="267"/>
    <n v="33"/>
    <n v="190"/>
    <n v="441"/>
    <n v="1106"/>
    <n v="134"/>
    <n v="52"/>
    <n v="47"/>
    <n v="43"/>
    <n v="856"/>
    <n v="782"/>
    <n v="4.96"/>
    <n v="3"/>
    <n v="7"/>
    <n v="33"/>
    <n v="4261"/>
    <n v="1600"/>
    <n v="180"/>
    <n v="606"/>
    <n v="979"/>
    <n v="116"/>
    <n v="156"/>
    <n v="0.98099999999999998"/>
  </r>
  <r>
    <n v="2006"/>
    <x v="28"/>
    <s v="TEX"/>
    <n v="3"/>
    <s v="N"/>
    <s v="N"/>
    <s v="N"/>
    <s v="N"/>
    <n v="80"/>
    <n v="82"/>
    <n v="835"/>
    <n v="5659"/>
    <n v="1571"/>
    <n v="357"/>
    <n v="23"/>
    <n v="183"/>
    <n v="505"/>
    <n v="1061"/>
    <n v="53"/>
    <n v="24"/>
    <n v="40"/>
    <n v="50"/>
    <n v="784"/>
    <n v="731"/>
    <n v="4.5999999999999996"/>
    <n v="3"/>
    <n v="8"/>
    <n v="42"/>
    <n v="4294"/>
    <n v="1558"/>
    <n v="162"/>
    <n v="496"/>
    <n v="972"/>
    <n v="98"/>
    <n v="174"/>
    <n v="0.98399999999999999"/>
  </r>
  <r>
    <n v="2006"/>
    <x v="29"/>
    <s v="TOR"/>
    <n v="2"/>
    <s v="N"/>
    <s v="N"/>
    <s v="N"/>
    <s v="N"/>
    <n v="87"/>
    <n v="75"/>
    <n v="809"/>
    <n v="5596"/>
    <n v="1591"/>
    <n v="348"/>
    <n v="27"/>
    <n v="199"/>
    <n v="514"/>
    <n v="906"/>
    <n v="65"/>
    <n v="33"/>
    <n v="63"/>
    <n v="52"/>
    <n v="754"/>
    <n v="694"/>
    <n v="4.37"/>
    <n v="6"/>
    <n v="6"/>
    <n v="42"/>
    <n v="4285"/>
    <n v="1447"/>
    <n v="185"/>
    <n v="504"/>
    <n v="1076"/>
    <n v="99"/>
    <n v="157"/>
    <n v="0.98399999999999999"/>
  </r>
  <r>
    <n v="2006"/>
    <x v="31"/>
    <s v="WAS"/>
    <n v="5"/>
    <s v="N"/>
    <s v="N"/>
    <s v="N"/>
    <s v="N"/>
    <n v="71"/>
    <n v="91"/>
    <n v="746"/>
    <n v="5495"/>
    <n v="1437"/>
    <n v="322"/>
    <n v="22"/>
    <n v="164"/>
    <n v="594"/>
    <n v="1156"/>
    <n v="123"/>
    <n v="62"/>
    <n v="69"/>
    <n v="49"/>
    <n v="872"/>
    <n v="803"/>
    <n v="5.03"/>
    <n v="1"/>
    <n v="3"/>
    <n v="32"/>
    <n v="4309"/>
    <n v="1535"/>
    <n v="193"/>
    <n v="584"/>
    <n v="960"/>
    <n v="131"/>
    <n v="123"/>
    <n v="0.97799999999999998"/>
  </r>
  <r>
    <n v="2007"/>
    <x v="1"/>
    <s v="ARI"/>
    <n v="1"/>
    <s v="Y"/>
    <s v="N"/>
    <s v="N"/>
    <s v="N"/>
    <n v="90"/>
    <n v="72"/>
    <n v="712"/>
    <n v="5398"/>
    <n v="1350"/>
    <n v="286"/>
    <n v="40"/>
    <n v="171"/>
    <n v="532"/>
    <n v="1111"/>
    <n v="109"/>
    <n v="24"/>
    <n v="57"/>
    <n v="58"/>
    <n v="732"/>
    <n v="662"/>
    <n v="4.13"/>
    <n v="7"/>
    <n v="12"/>
    <n v="51"/>
    <n v="4323"/>
    <n v="1446"/>
    <n v="169"/>
    <n v="546"/>
    <n v="1088"/>
    <n v="106"/>
    <n v="157"/>
    <n v="0.98299999999999998"/>
  </r>
  <r>
    <n v="2007"/>
    <x v="2"/>
    <s v="ATL"/>
    <n v="3"/>
    <s v="N"/>
    <s v="N"/>
    <s v="N"/>
    <s v="N"/>
    <n v="84"/>
    <n v="78"/>
    <n v="810"/>
    <n v="5689"/>
    <n v="1562"/>
    <n v="328"/>
    <n v="27"/>
    <n v="176"/>
    <n v="534"/>
    <n v="1149"/>
    <n v="64"/>
    <n v="30"/>
    <n v="49"/>
    <n v="47"/>
    <n v="733"/>
    <n v="665"/>
    <n v="4.1100000000000003"/>
    <n v="1"/>
    <n v="6"/>
    <n v="36"/>
    <n v="4369"/>
    <n v="1442"/>
    <n v="172"/>
    <n v="537"/>
    <n v="1106"/>
    <n v="107"/>
    <n v="141"/>
    <n v="0.98299999999999998"/>
  </r>
  <r>
    <n v="2007"/>
    <x v="3"/>
    <s v="BAL"/>
    <n v="4"/>
    <s v="N"/>
    <s v="N"/>
    <s v="N"/>
    <s v="N"/>
    <n v="69"/>
    <n v="93"/>
    <n v="756"/>
    <n v="5631"/>
    <n v="1529"/>
    <n v="306"/>
    <n v="30"/>
    <n v="142"/>
    <n v="500"/>
    <n v="939"/>
    <n v="144"/>
    <n v="42"/>
    <n v="47"/>
    <n v="47"/>
    <n v="868"/>
    <n v="827"/>
    <n v="5.17"/>
    <n v="4"/>
    <n v="9"/>
    <n v="30"/>
    <n v="4316"/>
    <n v="1491"/>
    <n v="161"/>
    <n v="696"/>
    <n v="1087"/>
    <n v="79"/>
    <n v="155"/>
    <n v="0.98699999999999999"/>
  </r>
  <r>
    <n v="2007"/>
    <x v="4"/>
    <s v="BOS"/>
    <n v="1"/>
    <s v="Y"/>
    <s v="N"/>
    <s v="Y"/>
    <s v="Y"/>
    <n v="96"/>
    <n v="66"/>
    <n v="867"/>
    <n v="5589"/>
    <n v="1561"/>
    <n v="352"/>
    <n v="35"/>
    <n v="166"/>
    <n v="689"/>
    <n v="1042"/>
    <n v="96"/>
    <n v="24"/>
    <n v="64"/>
    <n v="54"/>
    <n v="657"/>
    <n v="618"/>
    <n v="3.87"/>
    <n v="5"/>
    <n v="13"/>
    <n v="45"/>
    <n v="4316"/>
    <n v="1350"/>
    <n v="151"/>
    <n v="482"/>
    <n v="1149"/>
    <n v="81"/>
    <n v="145"/>
    <n v="0.98599999999999999"/>
  </r>
  <r>
    <n v="2007"/>
    <x v="5"/>
    <s v="CHA"/>
    <n v="4"/>
    <s v="N"/>
    <s v="N"/>
    <s v="N"/>
    <s v="N"/>
    <n v="72"/>
    <n v="90"/>
    <n v="693"/>
    <n v="5441"/>
    <n v="1341"/>
    <n v="249"/>
    <n v="20"/>
    <n v="190"/>
    <n v="532"/>
    <n v="1149"/>
    <n v="78"/>
    <n v="45"/>
    <n v="52"/>
    <n v="35"/>
    <n v="839"/>
    <n v="763"/>
    <n v="4.7699999999999996"/>
    <n v="9"/>
    <n v="9"/>
    <n v="42"/>
    <n v="4322"/>
    <n v="1556"/>
    <n v="174"/>
    <n v="499"/>
    <n v="1015"/>
    <n v="108"/>
    <n v="168"/>
    <n v="0.98199999999999998"/>
  </r>
  <r>
    <n v="2007"/>
    <x v="6"/>
    <s v="CHN"/>
    <n v="1"/>
    <s v="Y"/>
    <s v="N"/>
    <s v="N"/>
    <s v="N"/>
    <n v="85"/>
    <n v="77"/>
    <n v="752"/>
    <n v="5643"/>
    <n v="1530"/>
    <n v="340"/>
    <n v="28"/>
    <n v="151"/>
    <n v="500"/>
    <n v="1054"/>
    <n v="86"/>
    <n v="33"/>
    <n v="40"/>
    <n v="37"/>
    <n v="690"/>
    <n v="650"/>
    <n v="4.04"/>
    <n v="2"/>
    <n v="10"/>
    <n v="39"/>
    <n v="4340"/>
    <n v="1340"/>
    <n v="165"/>
    <n v="573"/>
    <n v="1211"/>
    <n v="94"/>
    <n v="134"/>
    <n v="0.98399999999999999"/>
  </r>
  <r>
    <n v="2007"/>
    <x v="7"/>
    <s v="CIN"/>
    <n v="5"/>
    <s v="N"/>
    <s v="N"/>
    <s v="N"/>
    <s v="N"/>
    <n v="72"/>
    <n v="90"/>
    <n v="783"/>
    <n v="5607"/>
    <n v="1496"/>
    <n v="293"/>
    <n v="23"/>
    <n v="204"/>
    <n v="536"/>
    <n v="1113"/>
    <n v="97"/>
    <n v="31"/>
    <n v="66"/>
    <n v="46"/>
    <n v="853"/>
    <n v="796"/>
    <n v="4.9400000000000004"/>
    <n v="6"/>
    <n v="7"/>
    <n v="34"/>
    <n v="4349"/>
    <n v="1605"/>
    <n v="198"/>
    <n v="482"/>
    <n v="1068"/>
    <n v="95"/>
    <n v="155"/>
    <n v="0.98399999999999999"/>
  </r>
  <r>
    <n v="2007"/>
    <x v="8"/>
    <s v="CLE"/>
    <n v="1"/>
    <s v="Y"/>
    <s v="N"/>
    <s v="N"/>
    <s v="N"/>
    <n v="96"/>
    <n v="66"/>
    <n v="811"/>
    <n v="5604"/>
    <n v="1504"/>
    <n v="305"/>
    <n v="27"/>
    <n v="178"/>
    <n v="590"/>
    <n v="1202"/>
    <n v="72"/>
    <n v="41"/>
    <n v="80"/>
    <n v="59"/>
    <n v="704"/>
    <n v="658"/>
    <n v="4.05"/>
    <n v="9"/>
    <n v="9"/>
    <n v="49"/>
    <n v="4388"/>
    <n v="1519"/>
    <n v="146"/>
    <n v="410"/>
    <n v="1047"/>
    <n v="92"/>
    <n v="167"/>
    <n v="0.98499999999999999"/>
  </r>
  <r>
    <n v="2007"/>
    <x v="9"/>
    <s v="COL"/>
    <n v="2"/>
    <s v="N"/>
    <s v="Y"/>
    <s v="Y"/>
    <s v="N"/>
    <n v="90"/>
    <n v="73"/>
    <n v="860"/>
    <n v="5691"/>
    <n v="1591"/>
    <n v="313"/>
    <n v="36"/>
    <n v="171"/>
    <n v="622"/>
    <n v="1152"/>
    <n v="100"/>
    <n v="31"/>
    <n v="58"/>
    <n v="44"/>
    <n v="758"/>
    <n v="706"/>
    <n v="4.32"/>
    <n v="4"/>
    <n v="7"/>
    <n v="39"/>
    <n v="4416"/>
    <n v="1497"/>
    <n v="164"/>
    <n v="504"/>
    <n v="967"/>
    <n v="68"/>
    <n v="180"/>
    <n v="0.98899999999999999"/>
  </r>
  <r>
    <n v="2007"/>
    <x v="10"/>
    <s v="DET"/>
    <n v="2"/>
    <s v="N"/>
    <s v="N"/>
    <s v="N"/>
    <s v="N"/>
    <n v="88"/>
    <n v="74"/>
    <n v="887"/>
    <n v="5757"/>
    <n v="1652"/>
    <n v="352"/>
    <n v="50"/>
    <n v="177"/>
    <n v="474"/>
    <n v="1054"/>
    <n v="103"/>
    <n v="30"/>
    <n v="56"/>
    <n v="45"/>
    <n v="797"/>
    <n v="735"/>
    <n v="4.57"/>
    <n v="1"/>
    <n v="9"/>
    <n v="44"/>
    <n v="4342"/>
    <n v="1498"/>
    <n v="174"/>
    <n v="566"/>
    <n v="1047"/>
    <n v="99"/>
    <n v="148"/>
    <n v="0.98399999999999999"/>
  </r>
  <r>
    <n v="2007"/>
    <x v="11"/>
    <s v="FLO"/>
    <n v="5"/>
    <s v="N"/>
    <s v="N"/>
    <s v="N"/>
    <s v="N"/>
    <n v="71"/>
    <n v="91"/>
    <n v="790"/>
    <n v="5627"/>
    <n v="1504"/>
    <n v="340"/>
    <n v="38"/>
    <n v="201"/>
    <n v="521"/>
    <n v="1332"/>
    <n v="105"/>
    <n v="34"/>
    <n v="82"/>
    <n v="42"/>
    <n v="891"/>
    <n v="793"/>
    <n v="4.9400000000000004"/>
    <n v="0"/>
    <n v="4"/>
    <n v="40"/>
    <n v="4331"/>
    <n v="1617"/>
    <n v="176"/>
    <n v="661"/>
    <n v="1142"/>
    <n v="137"/>
    <n v="159"/>
    <n v="0.97699999999999998"/>
  </r>
  <r>
    <n v="2007"/>
    <x v="12"/>
    <s v="HOU"/>
    <n v="4"/>
    <s v="N"/>
    <s v="N"/>
    <s v="N"/>
    <s v="N"/>
    <n v="73"/>
    <n v="89"/>
    <n v="723"/>
    <n v="5605"/>
    <n v="1457"/>
    <n v="293"/>
    <n v="30"/>
    <n v="167"/>
    <n v="547"/>
    <n v="1043"/>
    <n v="65"/>
    <n v="33"/>
    <n v="55"/>
    <n v="40"/>
    <n v="813"/>
    <n v="761"/>
    <n v="4.68"/>
    <n v="2"/>
    <n v="6"/>
    <n v="38"/>
    <n v="4394"/>
    <n v="1566"/>
    <n v="206"/>
    <n v="510"/>
    <n v="1109"/>
    <n v="103"/>
    <n v="128"/>
    <n v="0.98299999999999998"/>
  </r>
  <r>
    <n v="2007"/>
    <x v="13"/>
    <s v="KCA"/>
    <n v="5"/>
    <s v="N"/>
    <s v="N"/>
    <s v="N"/>
    <s v="N"/>
    <n v="69"/>
    <n v="93"/>
    <n v="706"/>
    <n v="5534"/>
    <n v="1447"/>
    <n v="300"/>
    <n v="46"/>
    <n v="102"/>
    <n v="428"/>
    <n v="1069"/>
    <n v="78"/>
    <n v="44"/>
    <n v="89"/>
    <n v="47"/>
    <n v="778"/>
    <n v="716"/>
    <n v="4.4800000000000004"/>
    <n v="2"/>
    <n v="6"/>
    <n v="36"/>
    <n v="4312"/>
    <n v="1547"/>
    <n v="168"/>
    <n v="520"/>
    <n v="993"/>
    <n v="106"/>
    <n v="160"/>
    <n v="0.98199999999999998"/>
  </r>
  <r>
    <n v="2007"/>
    <x v="30"/>
    <s v="LAA"/>
    <n v="1"/>
    <s v="Y"/>
    <s v="N"/>
    <s v="N"/>
    <s v="N"/>
    <n v="94"/>
    <n v="68"/>
    <n v="822"/>
    <n v="5554"/>
    <n v="1578"/>
    <n v="324"/>
    <n v="23"/>
    <n v="123"/>
    <n v="507"/>
    <n v="883"/>
    <n v="139"/>
    <n v="55"/>
    <n v="40"/>
    <n v="65"/>
    <n v="731"/>
    <n v="674"/>
    <n v="4.2300000000000004"/>
    <n v="5"/>
    <n v="9"/>
    <n v="43"/>
    <n v="4305"/>
    <n v="1480"/>
    <n v="151"/>
    <n v="477"/>
    <n v="1156"/>
    <n v="101"/>
    <n v="154"/>
    <n v="0.98299999999999998"/>
  </r>
  <r>
    <n v="2007"/>
    <x v="14"/>
    <s v="LAN"/>
    <n v="4"/>
    <s v="N"/>
    <s v="N"/>
    <s v="N"/>
    <s v="N"/>
    <n v="82"/>
    <n v="80"/>
    <n v="735"/>
    <n v="5614"/>
    <n v="1544"/>
    <n v="276"/>
    <n v="35"/>
    <n v="129"/>
    <n v="511"/>
    <n v="864"/>
    <n v="137"/>
    <n v="50"/>
    <n v="41"/>
    <n v="55"/>
    <n v="727"/>
    <n v="677"/>
    <n v="4.2"/>
    <n v="4"/>
    <n v="6"/>
    <n v="43"/>
    <n v="4350"/>
    <n v="1443"/>
    <n v="146"/>
    <n v="518"/>
    <n v="1184"/>
    <n v="114"/>
    <n v="160"/>
    <n v="0.98099999999999998"/>
  </r>
  <r>
    <n v="2007"/>
    <x v="15"/>
    <s v="MIL"/>
    <n v="2"/>
    <s v="N"/>
    <s v="N"/>
    <s v="N"/>
    <s v="N"/>
    <n v="83"/>
    <n v="79"/>
    <n v="801"/>
    <n v="5554"/>
    <n v="1455"/>
    <n v="310"/>
    <n v="37"/>
    <n v="231"/>
    <n v="501"/>
    <n v="1137"/>
    <n v="96"/>
    <n v="32"/>
    <n v="76"/>
    <n v="47"/>
    <n v="776"/>
    <n v="708"/>
    <n v="4.41"/>
    <n v="3"/>
    <n v="6"/>
    <n v="49"/>
    <n v="4333"/>
    <n v="1513"/>
    <n v="161"/>
    <n v="507"/>
    <n v="1174"/>
    <n v="109"/>
    <n v="144"/>
    <n v="0.98199999999999998"/>
  </r>
  <r>
    <n v="2007"/>
    <x v="16"/>
    <s v="MIN"/>
    <n v="3"/>
    <s v="N"/>
    <s v="N"/>
    <s v="N"/>
    <s v="N"/>
    <n v="79"/>
    <n v="83"/>
    <n v="718"/>
    <n v="5522"/>
    <n v="1460"/>
    <n v="273"/>
    <n v="36"/>
    <n v="118"/>
    <n v="512"/>
    <n v="839"/>
    <n v="112"/>
    <n v="30"/>
    <n v="48"/>
    <n v="45"/>
    <n v="725"/>
    <n v="663"/>
    <n v="4.1500000000000004"/>
    <n v="5"/>
    <n v="8"/>
    <n v="38"/>
    <n v="4310"/>
    <n v="1505"/>
    <n v="185"/>
    <n v="420"/>
    <n v="1094"/>
    <n v="95"/>
    <n v="151"/>
    <n v="0.98399999999999999"/>
  </r>
  <r>
    <n v="2007"/>
    <x v="18"/>
    <s v="NYA"/>
    <n v="2"/>
    <s v="N"/>
    <s v="Y"/>
    <s v="N"/>
    <s v="N"/>
    <n v="94"/>
    <n v="68"/>
    <n v="968"/>
    <n v="5717"/>
    <n v="1656"/>
    <n v="326"/>
    <n v="32"/>
    <n v="201"/>
    <n v="637"/>
    <n v="991"/>
    <n v="123"/>
    <n v="40"/>
    <n v="78"/>
    <n v="54"/>
    <n v="777"/>
    <n v="724"/>
    <n v="4.49"/>
    <n v="1"/>
    <n v="5"/>
    <n v="34"/>
    <n v="4352"/>
    <n v="1498"/>
    <n v="150"/>
    <n v="578"/>
    <n v="1009"/>
    <n v="88"/>
    <n v="174"/>
    <n v="0.98499999999999999"/>
  </r>
  <r>
    <n v="2007"/>
    <x v="19"/>
    <s v="NYN"/>
    <n v="2"/>
    <s v="N"/>
    <s v="N"/>
    <s v="N"/>
    <s v="N"/>
    <n v="88"/>
    <n v="74"/>
    <n v="804"/>
    <n v="5605"/>
    <n v="1543"/>
    <n v="294"/>
    <n v="27"/>
    <n v="177"/>
    <n v="549"/>
    <n v="981"/>
    <n v="200"/>
    <n v="46"/>
    <n v="54"/>
    <n v="58"/>
    <n v="750"/>
    <n v="687"/>
    <n v="4.26"/>
    <n v="2"/>
    <n v="10"/>
    <n v="39"/>
    <n v="4357"/>
    <n v="1415"/>
    <n v="165"/>
    <n v="570"/>
    <n v="1134"/>
    <n v="101"/>
    <n v="124"/>
    <n v="0.98299999999999998"/>
  </r>
  <r>
    <n v="2007"/>
    <x v="20"/>
    <s v="OAK"/>
    <n v="3"/>
    <s v="N"/>
    <s v="N"/>
    <s v="N"/>
    <s v="N"/>
    <n v="76"/>
    <n v="86"/>
    <n v="741"/>
    <n v="5577"/>
    <n v="1430"/>
    <n v="295"/>
    <n v="16"/>
    <n v="171"/>
    <n v="664"/>
    <n v="1119"/>
    <n v="52"/>
    <n v="20"/>
    <n v="49"/>
    <n v="56"/>
    <n v="758"/>
    <n v="689"/>
    <n v="4.28"/>
    <n v="4"/>
    <n v="9"/>
    <n v="36"/>
    <n v="4344"/>
    <n v="1468"/>
    <n v="138"/>
    <n v="530"/>
    <n v="1036"/>
    <n v="90"/>
    <n v="153"/>
    <n v="0.98499999999999999"/>
  </r>
  <r>
    <n v="2007"/>
    <x v="21"/>
    <s v="PHI"/>
    <n v="1"/>
    <s v="Y"/>
    <s v="N"/>
    <s v="N"/>
    <s v="N"/>
    <n v="89"/>
    <n v="73"/>
    <n v="892"/>
    <n v="5688"/>
    <n v="1558"/>
    <n v="326"/>
    <n v="41"/>
    <n v="213"/>
    <n v="641"/>
    <n v="1205"/>
    <n v="138"/>
    <n v="19"/>
    <n v="90"/>
    <n v="52"/>
    <n v="821"/>
    <n v="767"/>
    <n v="4.7300000000000004"/>
    <n v="5"/>
    <n v="5"/>
    <n v="42"/>
    <n v="4375"/>
    <n v="1555"/>
    <n v="198"/>
    <n v="558"/>
    <n v="1050"/>
    <n v="89"/>
    <n v="162"/>
    <n v="0.98599999999999999"/>
  </r>
  <r>
    <n v="2007"/>
    <x v="22"/>
    <s v="PIT"/>
    <n v="6"/>
    <s v="N"/>
    <s v="N"/>
    <s v="N"/>
    <s v="N"/>
    <n v="68"/>
    <n v="94"/>
    <n v="724"/>
    <n v="5569"/>
    <n v="1463"/>
    <n v="322"/>
    <n v="31"/>
    <n v="148"/>
    <n v="463"/>
    <n v="1135"/>
    <n v="68"/>
    <n v="30"/>
    <n v="71"/>
    <n v="51"/>
    <n v="846"/>
    <n v="793"/>
    <n v="4.93"/>
    <n v="4"/>
    <n v="5"/>
    <n v="32"/>
    <n v="4343"/>
    <n v="1627"/>
    <n v="174"/>
    <n v="518"/>
    <n v="997"/>
    <n v="83"/>
    <n v="190"/>
    <n v="0.98599999999999999"/>
  </r>
  <r>
    <n v="2007"/>
    <x v="23"/>
    <s v="SDN"/>
    <n v="3"/>
    <s v="N"/>
    <s v="N"/>
    <s v="N"/>
    <s v="N"/>
    <n v="89"/>
    <n v="74"/>
    <n v="741"/>
    <n v="5612"/>
    <n v="1408"/>
    <n v="322"/>
    <n v="31"/>
    <n v="171"/>
    <n v="557"/>
    <n v="1229"/>
    <n v="55"/>
    <n v="24"/>
    <n v="49"/>
    <n v="44"/>
    <n v="666"/>
    <n v="611"/>
    <n v="3.7"/>
    <n v="1"/>
    <n v="20"/>
    <n v="45"/>
    <n v="4454"/>
    <n v="1406"/>
    <n v="119"/>
    <n v="474"/>
    <n v="1136"/>
    <n v="92"/>
    <n v="147"/>
    <n v="0.98499999999999999"/>
  </r>
  <r>
    <n v="2007"/>
    <x v="24"/>
    <s v="SEA"/>
    <n v="2"/>
    <s v="N"/>
    <s v="N"/>
    <s v="N"/>
    <s v="N"/>
    <n v="88"/>
    <n v="74"/>
    <n v="794"/>
    <n v="5684"/>
    <n v="1629"/>
    <n v="284"/>
    <n v="22"/>
    <n v="153"/>
    <n v="389"/>
    <n v="861"/>
    <n v="81"/>
    <n v="30"/>
    <n v="62"/>
    <n v="40"/>
    <n v="813"/>
    <n v="754"/>
    <n v="4.7300000000000004"/>
    <n v="6"/>
    <n v="12"/>
    <n v="43"/>
    <n v="4303"/>
    <n v="1578"/>
    <n v="147"/>
    <n v="546"/>
    <n v="1020"/>
    <n v="90"/>
    <n v="167"/>
    <n v="0.98499999999999999"/>
  </r>
  <r>
    <n v="2007"/>
    <x v="25"/>
    <s v="SFN"/>
    <n v="5"/>
    <s v="N"/>
    <s v="N"/>
    <s v="N"/>
    <s v="N"/>
    <n v="71"/>
    <n v="91"/>
    <n v="683"/>
    <n v="5538"/>
    <n v="1407"/>
    <n v="267"/>
    <n v="37"/>
    <n v="131"/>
    <n v="532"/>
    <n v="907"/>
    <n v="119"/>
    <n v="33"/>
    <n v="39"/>
    <n v="36"/>
    <n v="720"/>
    <n v="677"/>
    <n v="4.1900000000000004"/>
    <n v="5"/>
    <n v="10"/>
    <n v="37"/>
    <n v="4361"/>
    <n v="1442"/>
    <n v="133"/>
    <n v="593"/>
    <n v="1057"/>
    <n v="88"/>
    <n v="148"/>
    <n v="0.98599999999999999"/>
  </r>
  <r>
    <n v="2007"/>
    <x v="26"/>
    <s v="SLN"/>
    <n v="3"/>
    <s v="N"/>
    <s v="N"/>
    <s v="N"/>
    <s v="N"/>
    <n v="78"/>
    <n v="84"/>
    <n v="725"/>
    <n v="5529"/>
    <n v="1513"/>
    <n v="279"/>
    <n v="13"/>
    <n v="141"/>
    <n v="506"/>
    <n v="909"/>
    <n v="56"/>
    <n v="33"/>
    <n v="54"/>
    <n v="54"/>
    <n v="829"/>
    <n v="741"/>
    <n v="4.6500000000000004"/>
    <n v="2"/>
    <n v="8"/>
    <n v="34"/>
    <n v="4307"/>
    <n v="1514"/>
    <n v="168"/>
    <n v="509"/>
    <n v="945"/>
    <n v="121"/>
    <n v="155"/>
    <n v="0.98"/>
  </r>
  <r>
    <n v="2007"/>
    <x v="27"/>
    <s v="TBA"/>
    <n v="5"/>
    <s v="N"/>
    <s v="N"/>
    <s v="N"/>
    <s v="N"/>
    <n v="66"/>
    <n v="96"/>
    <n v="782"/>
    <n v="5593"/>
    <n v="1500"/>
    <n v="291"/>
    <n v="36"/>
    <n v="187"/>
    <n v="545"/>
    <n v="1324"/>
    <n v="131"/>
    <n v="48"/>
    <n v="53"/>
    <n v="52"/>
    <n v="944"/>
    <n v="879"/>
    <n v="5.53"/>
    <n v="2"/>
    <n v="2"/>
    <n v="28"/>
    <n v="4289"/>
    <n v="1649"/>
    <n v="199"/>
    <n v="568"/>
    <n v="1194"/>
    <n v="117"/>
    <n v="155"/>
    <n v="0.98"/>
  </r>
  <r>
    <n v="2007"/>
    <x v="28"/>
    <s v="TEX"/>
    <n v="4"/>
    <s v="N"/>
    <s v="N"/>
    <s v="N"/>
    <s v="N"/>
    <n v="75"/>
    <n v="87"/>
    <n v="816"/>
    <n v="5555"/>
    <n v="1460"/>
    <n v="298"/>
    <n v="36"/>
    <n v="179"/>
    <n v="503"/>
    <n v="1224"/>
    <n v="88"/>
    <n v="25"/>
    <n v="56"/>
    <n v="42"/>
    <n v="844"/>
    <n v="755"/>
    <n v="4.75"/>
    <n v="0"/>
    <n v="6"/>
    <n v="42"/>
    <n v="4290"/>
    <n v="1525"/>
    <n v="155"/>
    <n v="668"/>
    <n v="976"/>
    <n v="124"/>
    <n v="179"/>
    <n v="0.98"/>
  </r>
  <r>
    <n v="2007"/>
    <x v="29"/>
    <s v="TOR"/>
    <n v="3"/>
    <s v="N"/>
    <s v="N"/>
    <s v="N"/>
    <s v="N"/>
    <n v="83"/>
    <n v="79"/>
    <n v="753"/>
    <n v="5536"/>
    <n v="1434"/>
    <n v="344"/>
    <n v="24"/>
    <n v="165"/>
    <n v="533"/>
    <n v="1044"/>
    <n v="57"/>
    <n v="22"/>
    <n v="47"/>
    <n v="48"/>
    <n v="699"/>
    <n v="644"/>
    <n v="4"/>
    <n v="11"/>
    <n v="9"/>
    <n v="44"/>
    <n v="4346"/>
    <n v="1383"/>
    <n v="157"/>
    <n v="479"/>
    <n v="1067"/>
    <n v="102"/>
    <n v="160"/>
    <n v="0.98399999999999999"/>
  </r>
  <r>
    <n v="2007"/>
    <x v="31"/>
    <s v="WAS"/>
    <n v="4"/>
    <s v="N"/>
    <s v="N"/>
    <s v="N"/>
    <s v="N"/>
    <n v="73"/>
    <n v="89"/>
    <n v="673"/>
    <n v="5520"/>
    <n v="1415"/>
    <n v="309"/>
    <n v="31"/>
    <n v="123"/>
    <n v="524"/>
    <n v="1128"/>
    <n v="69"/>
    <n v="23"/>
    <n v="53"/>
    <n v="41"/>
    <n v="783"/>
    <n v="736"/>
    <n v="4.58"/>
    <n v="0"/>
    <n v="6"/>
    <n v="46"/>
    <n v="4340"/>
    <n v="1502"/>
    <n v="187"/>
    <n v="580"/>
    <n v="931"/>
    <n v="109"/>
    <n v="153"/>
    <n v="0.98199999999999998"/>
  </r>
  <r>
    <n v="2008"/>
    <x v="1"/>
    <s v="ARI"/>
    <n v="2"/>
    <s v="N"/>
    <s v="N"/>
    <s v="N"/>
    <s v="N"/>
    <n v="82"/>
    <n v="80"/>
    <n v="720"/>
    <n v="5409"/>
    <n v="1355"/>
    <n v="318"/>
    <n v="47"/>
    <n v="159"/>
    <n v="587"/>
    <n v="1287"/>
    <n v="58"/>
    <n v="23"/>
    <n v="49"/>
    <n v="43"/>
    <n v="706"/>
    <n v="635"/>
    <n v="3.98"/>
    <n v="6"/>
    <n v="9"/>
    <n v="39"/>
    <n v="4304"/>
    <n v="1403"/>
    <n v="147"/>
    <n v="451"/>
    <n v="1229"/>
    <n v="113"/>
    <n v="137"/>
    <n v="0.98099999999999998"/>
  </r>
  <r>
    <n v="2008"/>
    <x v="2"/>
    <s v="ATL"/>
    <n v="4"/>
    <s v="N"/>
    <s v="N"/>
    <s v="N"/>
    <s v="N"/>
    <n v="72"/>
    <n v="90"/>
    <n v="753"/>
    <n v="5604"/>
    <n v="1514"/>
    <n v="316"/>
    <n v="33"/>
    <n v="130"/>
    <n v="618"/>
    <n v="1023"/>
    <n v="58"/>
    <n v="27"/>
    <n v="42"/>
    <n v="34"/>
    <n v="778"/>
    <n v="714"/>
    <n v="4.46"/>
    <n v="2"/>
    <n v="7"/>
    <n v="26"/>
    <n v="4322"/>
    <n v="1439"/>
    <n v="156"/>
    <n v="586"/>
    <n v="1076"/>
    <n v="107"/>
    <n v="149"/>
    <n v="0.98299999999999998"/>
  </r>
  <r>
    <n v="2008"/>
    <x v="3"/>
    <s v="BAL"/>
    <n v="5"/>
    <s v="N"/>
    <s v="N"/>
    <s v="N"/>
    <s v="N"/>
    <n v="68"/>
    <n v="93"/>
    <n v="782"/>
    <n v="5559"/>
    <n v="1486"/>
    <n v="322"/>
    <n v="30"/>
    <n v="172"/>
    <n v="533"/>
    <n v="990"/>
    <n v="81"/>
    <n v="37"/>
    <n v="42"/>
    <n v="48"/>
    <n v="869"/>
    <n v="810"/>
    <n v="5.13"/>
    <n v="4"/>
    <n v="4"/>
    <n v="35"/>
    <n v="4266"/>
    <n v="1538"/>
    <n v="184"/>
    <n v="687"/>
    <n v="922"/>
    <n v="100"/>
    <n v="163"/>
    <n v="0.98299999999999998"/>
  </r>
  <r>
    <n v="2008"/>
    <x v="4"/>
    <s v="BOS"/>
    <n v="2"/>
    <s v="N"/>
    <s v="Y"/>
    <s v="N"/>
    <s v="N"/>
    <n v="95"/>
    <n v="67"/>
    <n v="845"/>
    <n v="5596"/>
    <n v="1565"/>
    <n v="353"/>
    <n v="33"/>
    <n v="173"/>
    <n v="646"/>
    <n v="1068"/>
    <n v="120"/>
    <n v="35"/>
    <n v="70"/>
    <n v="62"/>
    <n v="694"/>
    <n v="645"/>
    <n v="4.01"/>
    <n v="5"/>
    <n v="16"/>
    <n v="47"/>
    <n v="4339"/>
    <n v="1369"/>
    <n v="147"/>
    <n v="548"/>
    <n v="1185"/>
    <n v="85"/>
    <n v="149"/>
    <n v="0.98599999999999999"/>
  </r>
  <r>
    <n v="2008"/>
    <x v="5"/>
    <s v="CHA"/>
    <n v="1"/>
    <s v="Y"/>
    <s v="N"/>
    <s v="N"/>
    <s v="N"/>
    <n v="89"/>
    <n v="74"/>
    <n v="811"/>
    <n v="5553"/>
    <n v="1458"/>
    <n v="296"/>
    <n v="13"/>
    <n v="235"/>
    <n v="540"/>
    <n v="1016"/>
    <n v="67"/>
    <n v="34"/>
    <n v="63"/>
    <n v="47"/>
    <n v="729"/>
    <n v="658"/>
    <n v="4.0599999999999996"/>
    <n v="4"/>
    <n v="10"/>
    <n v="34"/>
    <n v="4373"/>
    <n v="1471"/>
    <n v="156"/>
    <n v="460"/>
    <n v="1147"/>
    <n v="108"/>
    <n v="155"/>
    <n v="0.98299999999999998"/>
  </r>
  <r>
    <n v="2008"/>
    <x v="6"/>
    <s v="CHN"/>
    <n v="1"/>
    <s v="Y"/>
    <s v="N"/>
    <s v="N"/>
    <s v="N"/>
    <n v="97"/>
    <n v="64"/>
    <n v="855"/>
    <n v="5588"/>
    <n v="1552"/>
    <n v="329"/>
    <n v="21"/>
    <n v="184"/>
    <n v="636"/>
    <n v="1186"/>
    <n v="87"/>
    <n v="34"/>
    <n v="50"/>
    <n v="45"/>
    <n v="671"/>
    <n v="624"/>
    <n v="3.87"/>
    <n v="2"/>
    <n v="8"/>
    <n v="44"/>
    <n v="4352"/>
    <n v="1329"/>
    <n v="160"/>
    <n v="548"/>
    <n v="1264"/>
    <n v="99"/>
    <n v="118"/>
    <n v="0.98299999999999998"/>
  </r>
  <r>
    <n v="2008"/>
    <x v="7"/>
    <s v="CIN"/>
    <n v="5"/>
    <s v="N"/>
    <s v="N"/>
    <s v="N"/>
    <s v="N"/>
    <n v="74"/>
    <n v="88"/>
    <n v="704"/>
    <n v="5465"/>
    <n v="1351"/>
    <n v="269"/>
    <n v="24"/>
    <n v="187"/>
    <n v="560"/>
    <n v="1125"/>
    <n v="85"/>
    <n v="47"/>
    <n v="50"/>
    <n v="41"/>
    <n v="800"/>
    <n v="729"/>
    <n v="4.55"/>
    <n v="2"/>
    <n v="6"/>
    <n v="34"/>
    <n v="4327"/>
    <n v="1542"/>
    <n v="201"/>
    <n v="557"/>
    <n v="1227"/>
    <n v="114"/>
    <n v="156"/>
    <n v="0.98099999999999998"/>
  </r>
  <r>
    <n v="2008"/>
    <x v="8"/>
    <s v="CLE"/>
    <n v="3"/>
    <s v="N"/>
    <s v="N"/>
    <s v="N"/>
    <s v="N"/>
    <n v="81"/>
    <n v="81"/>
    <n v="805"/>
    <n v="5543"/>
    <n v="1455"/>
    <n v="339"/>
    <n v="22"/>
    <n v="171"/>
    <n v="560"/>
    <n v="1213"/>
    <n v="77"/>
    <n v="29"/>
    <n v="103"/>
    <n v="49"/>
    <n v="761"/>
    <n v="711"/>
    <n v="4.45"/>
    <n v="10"/>
    <n v="13"/>
    <n v="31"/>
    <n v="4311"/>
    <n v="1530"/>
    <n v="170"/>
    <n v="444"/>
    <n v="986"/>
    <n v="94"/>
    <n v="182"/>
    <n v="0.98499999999999999"/>
  </r>
  <r>
    <n v="2008"/>
    <x v="9"/>
    <s v="COL"/>
    <n v="3"/>
    <s v="N"/>
    <s v="N"/>
    <s v="N"/>
    <s v="N"/>
    <n v="74"/>
    <n v="88"/>
    <n v="747"/>
    <n v="5557"/>
    <n v="1462"/>
    <n v="310"/>
    <n v="28"/>
    <n v="160"/>
    <n v="570"/>
    <n v="1209"/>
    <n v="141"/>
    <n v="37"/>
    <n v="57"/>
    <n v="38"/>
    <n v="822"/>
    <n v="766"/>
    <n v="4.7699999999999996"/>
    <n v="3"/>
    <n v="8"/>
    <n v="36"/>
    <n v="4338"/>
    <n v="1547"/>
    <n v="148"/>
    <n v="562"/>
    <n v="1041"/>
    <n v="96"/>
    <n v="176"/>
    <n v="0.98499999999999999"/>
  </r>
  <r>
    <n v="2008"/>
    <x v="10"/>
    <s v="DET"/>
    <n v="5"/>
    <s v="N"/>
    <s v="N"/>
    <s v="N"/>
    <s v="N"/>
    <n v="74"/>
    <n v="88"/>
    <n v="821"/>
    <n v="5641"/>
    <n v="1529"/>
    <n v="293"/>
    <n v="41"/>
    <n v="200"/>
    <n v="572"/>
    <n v="1076"/>
    <n v="63"/>
    <n v="31"/>
    <n v="44"/>
    <n v="44"/>
    <n v="857"/>
    <n v="786"/>
    <n v="4.9000000000000004"/>
    <n v="1"/>
    <n v="2"/>
    <n v="34"/>
    <n v="4335"/>
    <n v="1541"/>
    <n v="172"/>
    <n v="644"/>
    <n v="991"/>
    <n v="113"/>
    <n v="172"/>
    <n v="0.98099999999999998"/>
  </r>
  <r>
    <n v="2008"/>
    <x v="11"/>
    <s v="FLO"/>
    <n v="3"/>
    <s v="N"/>
    <s v="N"/>
    <s v="N"/>
    <s v="N"/>
    <n v="84"/>
    <n v="77"/>
    <n v="770"/>
    <n v="5499"/>
    <n v="1397"/>
    <n v="302"/>
    <n v="28"/>
    <n v="208"/>
    <n v="543"/>
    <n v="1371"/>
    <n v="76"/>
    <n v="28"/>
    <n v="69"/>
    <n v="46"/>
    <n v="767"/>
    <n v="707"/>
    <n v="4.43"/>
    <n v="2"/>
    <n v="8"/>
    <n v="36"/>
    <n v="4306"/>
    <n v="1421"/>
    <n v="161"/>
    <n v="586"/>
    <n v="1127"/>
    <n v="117"/>
    <n v="122"/>
    <n v="0.98"/>
  </r>
  <r>
    <n v="2008"/>
    <x v="12"/>
    <s v="HOU"/>
    <n v="3"/>
    <s v="N"/>
    <s v="N"/>
    <s v="N"/>
    <s v="N"/>
    <n v="86"/>
    <n v="75"/>
    <n v="712"/>
    <n v="5451"/>
    <n v="1432"/>
    <n v="284"/>
    <n v="22"/>
    <n v="167"/>
    <n v="449"/>
    <n v="1051"/>
    <n v="114"/>
    <n v="52"/>
    <n v="52"/>
    <n v="41"/>
    <n v="743"/>
    <n v="691"/>
    <n v="4.3600000000000003"/>
    <n v="4"/>
    <n v="13"/>
    <n v="48"/>
    <n v="4276"/>
    <n v="1453"/>
    <n v="197"/>
    <n v="492"/>
    <n v="1095"/>
    <n v="67"/>
    <n v="142"/>
    <n v="0.98899999999999999"/>
  </r>
  <r>
    <n v="2008"/>
    <x v="13"/>
    <s v="KCA"/>
    <n v="4"/>
    <s v="N"/>
    <s v="N"/>
    <s v="N"/>
    <s v="N"/>
    <n v="75"/>
    <n v="87"/>
    <n v="691"/>
    <n v="5608"/>
    <n v="1507"/>
    <n v="303"/>
    <n v="28"/>
    <n v="120"/>
    <n v="392"/>
    <n v="1005"/>
    <n v="79"/>
    <n v="38"/>
    <n v="50"/>
    <n v="36"/>
    <n v="781"/>
    <n v="720"/>
    <n v="4.4800000000000004"/>
    <n v="2"/>
    <n v="8"/>
    <n v="44"/>
    <n v="4337"/>
    <n v="1473"/>
    <n v="159"/>
    <n v="515"/>
    <n v="1085"/>
    <n v="96"/>
    <n v="159"/>
    <n v="0.98399999999999999"/>
  </r>
  <r>
    <n v="2008"/>
    <x v="30"/>
    <s v="LAA"/>
    <n v="1"/>
    <s v="Y"/>
    <s v="N"/>
    <s v="N"/>
    <s v="N"/>
    <n v="100"/>
    <n v="62"/>
    <n v="765"/>
    <n v="5540"/>
    <n v="1486"/>
    <n v="274"/>
    <n v="25"/>
    <n v="159"/>
    <n v="481"/>
    <n v="987"/>
    <n v="129"/>
    <n v="48"/>
    <n v="52"/>
    <n v="50"/>
    <n v="697"/>
    <n v="644"/>
    <n v="3.99"/>
    <n v="7"/>
    <n v="10"/>
    <n v="66"/>
    <n v="4354"/>
    <n v="1455"/>
    <n v="160"/>
    <n v="457"/>
    <n v="1106"/>
    <n v="91"/>
    <n v="159"/>
    <n v="0.98499999999999999"/>
  </r>
  <r>
    <n v="2008"/>
    <x v="14"/>
    <s v="LAN"/>
    <n v="1"/>
    <s v="Y"/>
    <s v="N"/>
    <s v="N"/>
    <s v="N"/>
    <n v="84"/>
    <n v="78"/>
    <n v="700"/>
    <n v="5506"/>
    <n v="1455"/>
    <n v="271"/>
    <n v="29"/>
    <n v="137"/>
    <n v="543"/>
    <n v="1032"/>
    <n v="126"/>
    <n v="43"/>
    <n v="43"/>
    <n v="38"/>
    <n v="648"/>
    <n v="591"/>
    <n v="3.68"/>
    <n v="5"/>
    <n v="11"/>
    <n v="35"/>
    <n v="4342"/>
    <n v="1381"/>
    <n v="123"/>
    <n v="480"/>
    <n v="1205"/>
    <n v="101"/>
    <n v="138"/>
    <n v="0.98399999999999999"/>
  </r>
  <r>
    <n v="2008"/>
    <x v="15"/>
    <s v="MIL"/>
    <n v="2"/>
    <s v="N"/>
    <s v="Y"/>
    <s v="N"/>
    <s v="N"/>
    <n v="90"/>
    <n v="72"/>
    <n v="750"/>
    <n v="5535"/>
    <n v="1398"/>
    <n v="324"/>
    <n v="35"/>
    <n v="198"/>
    <n v="550"/>
    <n v="1203"/>
    <n v="108"/>
    <n v="38"/>
    <n v="69"/>
    <n v="43"/>
    <n v="689"/>
    <n v="623"/>
    <n v="3.85"/>
    <n v="12"/>
    <n v="10"/>
    <n v="45"/>
    <n v="4367"/>
    <n v="1415"/>
    <n v="175"/>
    <n v="528"/>
    <n v="1110"/>
    <n v="101"/>
    <n v="160"/>
    <n v="0.98399999999999999"/>
  </r>
  <r>
    <n v="2008"/>
    <x v="16"/>
    <s v="MIN"/>
    <n v="2"/>
    <s v="N"/>
    <s v="N"/>
    <s v="N"/>
    <s v="N"/>
    <n v="88"/>
    <n v="75"/>
    <n v="829"/>
    <n v="5641"/>
    <n v="1572"/>
    <n v="298"/>
    <n v="49"/>
    <n v="111"/>
    <n v="529"/>
    <n v="979"/>
    <n v="102"/>
    <n v="42"/>
    <n v="36"/>
    <n v="72"/>
    <n v="745"/>
    <n v="675"/>
    <n v="4.16"/>
    <n v="5"/>
    <n v="10"/>
    <n v="42"/>
    <n v="4377"/>
    <n v="1568"/>
    <n v="183"/>
    <n v="406"/>
    <n v="995"/>
    <n v="108"/>
    <n v="168"/>
    <n v="0.98199999999999998"/>
  </r>
  <r>
    <n v="2008"/>
    <x v="18"/>
    <s v="NYA"/>
    <n v="3"/>
    <s v="N"/>
    <s v="N"/>
    <s v="N"/>
    <s v="N"/>
    <n v="89"/>
    <n v="73"/>
    <n v="789"/>
    <n v="5572"/>
    <n v="1512"/>
    <n v="289"/>
    <n v="20"/>
    <n v="180"/>
    <n v="535"/>
    <n v="1015"/>
    <n v="118"/>
    <n v="39"/>
    <n v="80"/>
    <n v="39"/>
    <n v="727"/>
    <n v="685"/>
    <n v="4.28"/>
    <n v="1"/>
    <n v="11"/>
    <n v="42"/>
    <n v="4325"/>
    <n v="1478"/>
    <n v="143"/>
    <n v="489"/>
    <n v="1141"/>
    <n v="83"/>
    <n v="141"/>
    <n v="0.98599999999999999"/>
  </r>
  <r>
    <n v="2008"/>
    <x v="19"/>
    <s v="NYN"/>
    <n v="2"/>
    <s v="N"/>
    <s v="N"/>
    <s v="N"/>
    <s v="N"/>
    <n v="89"/>
    <n v="73"/>
    <n v="799"/>
    <n v="5606"/>
    <n v="1491"/>
    <n v="274"/>
    <n v="38"/>
    <n v="172"/>
    <n v="619"/>
    <n v="1024"/>
    <n v="138"/>
    <n v="36"/>
    <n v="39"/>
    <n v="49"/>
    <n v="715"/>
    <n v="662"/>
    <n v="4.07"/>
    <n v="5"/>
    <n v="12"/>
    <n v="43"/>
    <n v="4393"/>
    <n v="1415"/>
    <n v="163"/>
    <n v="590"/>
    <n v="1181"/>
    <n v="83"/>
    <n v="126"/>
    <n v="0.98599999999999999"/>
  </r>
  <r>
    <n v="2008"/>
    <x v="20"/>
    <s v="OAK"/>
    <n v="3"/>
    <s v="N"/>
    <s v="N"/>
    <s v="N"/>
    <s v="N"/>
    <n v="75"/>
    <n v="86"/>
    <n v="646"/>
    <n v="5451"/>
    <n v="1318"/>
    <n v="270"/>
    <n v="23"/>
    <n v="125"/>
    <n v="574"/>
    <n v="1226"/>
    <n v="88"/>
    <n v="21"/>
    <n v="48"/>
    <n v="35"/>
    <n v="690"/>
    <n v="640"/>
    <n v="4.01"/>
    <n v="4"/>
    <n v="7"/>
    <n v="33"/>
    <n v="4305"/>
    <n v="1364"/>
    <n v="135"/>
    <n v="576"/>
    <n v="1061"/>
    <n v="98"/>
    <n v="169"/>
    <n v="0.98399999999999999"/>
  </r>
  <r>
    <n v="2008"/>
    <x v="21"/>
    <s v="PHI"/>
    <n v="1"/>
    <s v="Y"/>
    <s v="N"/>
    <s v="Y"/>
    <s v="Y"/>
    <n v="92"/>
    <n v="70"/>
    <n v="799"/>
    <n v="5509"/>
    <n v="1407"/>
    <n v="291"/>
    <n v="36"/>
    <n v="214"/>
    <n v="586"/>
    <n v="1117"/>
    <n v="136"/>
    <n v="25"/>
    <n v="67"/>
    <n v="40"/>
    <n v="680"/>
    <n v="625"/>
    <n v="3.88"/>
    <n v="4"/>
    <n v="11"/>
    <n v="47"/>
    <n v="4349"/>
    <n v="1444"/>
    <n v="160"/>
    <n v="533"/>
    <n v="1081"/>
    <n v="90"/>
    <n v="142"/>
    <n v="0.98499999999999999"/>
  </r>
  <r>
    <n v="2008"/>
    <x v="22"/>
    <s v="PIT"/>
    <n v="6"/>
    <s v="N"/>
    <s v="N"/>
    <s v="N"/>
    <s v="N"/>
    <n v="67"/>
    <n v="95"/>
    <n v="735"/>
    <n v="5628"/>
    <n v="1454"/>
    <n v="314"/>
    <n v="21"/>
    <n v="153"/>
    <n v="474"/>
    <n v="1039"/>
    <n v="57"/>
    <n v="19"/>
    <n v="59"/>
    <n v="51"/>
    <n v="884"/>
    <n v="822"/>
    <n v="5.08"/>
    <n v="3"/>
    <n v="7"/>
    <n v="34"/>
    <n v="4365"/>
    <n v="1631"/>
    <n v="176"/>
    <n v="657"/>
    <n v="963"/>
    <n v="107"/>
    <n v="179"/>
    <n v="0.98299999999999998"/>
  </r>
  <r>
    <n v="2008"/>
    <x v="23"/>
    <s v="SDN"/>
    <n v="5"/>
    <s v="N"/>
    <s v="N"/>
    <s v="N"/>
    <s v="N"/>
    <n v="63"/>
    <n v="99"/>
    <n v="637"/>
    <n v="5568"/>
    <n v="1390"/>
    <n v="264"/>
    <n v="27"/>
    <n v="154"/>
    <n v="518"/>
    <n v="1259"/>
    <n v="36"/>
    <n v="17"/>
    <n v="53"/>
    <n v="46"/>
    <n v="764"/>
    <n v="714"/>
    <n v="4.41"/>
    <n v="3"/>
    <n v="6"/>
    <n v="30"/>
    <n v="4375"/>
    <n v="1466"/>
    <n v="165"/>
    <n v="561"/>
    <n v="1100"/>
    <n v="85"/>
    <n v="149"/>
    <n v="0.98599999999999999"/>
  </r>
  <r>
    <n v="2008"/>
    <x v="24"/>
    <s v="SEA"/>
    <n v="4"/>
    <s v="N"/>
    <s v="N"/>
    <s v="N"/>
    <s v="N"/>
    <n v="61"/>
    <n v="101"/>
    <n v="671"/>
    <n v="5643"/>
    <n v="1498"/>
    <n v="285"/>
    <n v="20"/>
    <n v="124"/>
    <n v="417"/>
    <n v="890"/>
    <n v="90"/>
    <n v="32"/>
    <n v="38"/>
    <n v="42"/>
    <n v="811"/>
    <n v="754"/>
    <n v="4.7300000000000004"/>
    <n v="4"/>
    <n v="4"/>
    <n v="36"/>
    <n v="4306"/>
    <n v="1544"/>
    <n v="161"/>
    <n v="626"/>
    <n v="1016"/>
    <n v="99"/>
    <n v="160"/>
    <n v="0.98399999999999999"/>
  </r>
  <r>
    <n v="2008"/>
    <x v="25"/>
    <s v="SFN"/>
    <n v="4"/>
    <s v="N"/>
    <s v="N"/>
    <s v="N"/>
    <s v="N"/>
    <n v="72"/>
    <n v="90"/>
    <n v="640"/>
    <n v="5543"/>
    <n v="1452"/>
    <n v="311"/>
    <n v="37"/>
    <n v="94"/>
    <n v="452"/>
    <n v="1044"/>
    <n v="108"/>
    <n v="46"/>
    <n v="48"/>
    <n v="44"/>
    <n v="759"/>
    <n v="701"/>
    <n v="4.38"/>
    <n v="4"/>
    <n v="12"/>
    <n v="41"/>
    <n v="4326"/>
    <n v="1416"/>
    <n v="147"/>
    <n v="652"/>
    <n v="1240"/>
    <n v="96"/>
    <n v="129"/>
    <n v="0.98299999999999998"/>
  </r>
  <r>
    <n v="2008"/>
    <x v="26"/>
    <s v="SLN"/>
    <n v="4"/>
    <s v="N"/>
    <s v="N"/>
    <s v="N"/>
    <s v="N"/>
    <n v="86"/>
    <n v="76"/>
    <n v="779"/>
    <n v="5636"/>
    <n v="1585"/>
    <n v="283"/>
    <n v="26"/>
    <n v="174"/>
    <n v="577"/>
    <n v="985"/>
    <n v="73"/>
    <n v="32"/>
    <n v="42"/>
    <n v="44"/>
    <n v="725"/>
    <n v="677"/>
    <n v="4.1900000000000004"/>
    <n v="2"/>
    <n v="7"/>
    <n v="42"/>
    <n v="4362"/>
    <n v="1517"/>
    <n v="163"/>
    <n v="496"/>
    <n v="957"/>
    <n v="85"/>
    <n v="156"/>
    <n v="0.98599999999999999"/>
  </r>
  <r>
    <n v="2008"/>
    <x v="32"/>
    <s v="TBA"/>
    <n v="1"/>
    <s v="Y"/>
    <s v="N"/>
    <s v="Y"/>
    <s v="N"/>
    <n v="97"/>
    <n v="65"/>
    <n v="774"/>
    <n v="5541"/>
    <n v="1443"/>
    <n v="284"/>
    <n v="37"/>
    <n v="180"/>
    <n v="626"/>
    <n v="1224"/>
    <n v="142"/>
    <n v="50"/>
    <n v="68"/>
    <n v="52"/>
    <n v="671"/>
    <n v="618"/>
    <n v="3.82"/>
    <n v="7"/>
    <n v="12"/>
    <n v="52"/>
    <n v="4373"/>
    <n v="1349"/>
    <n v="166"/>
    <n v="526"/>
    <n v="1143"/>
    <n v="90"/>
    <n v="153"/>
    <n v="0.98499999999999999"/>
  </r>
  <r>
    <n v="2008"/>
    <x v="28"/>
    <s v="TEX"/>
    <n v="2"/>
    <s v="N"/>
    <s v="N"/>
    <s v="N"/>
    <s v="N"/>
    <n v="79"/>
    <n v="83"/>
    <n v="901"/>
    <n v="5728"/>
    <n v="1619"/>
    <n v="376"/>
    <n v="35"/>
    <n v="194"/>
    <n v="595"/>
    <n v="1207"/>
    <n v="81"/>
    <n v="25"/>
    <n v="63"/>
    <n v="54"/>
    <n v="967"/>
    <n v="860"/>
    <n v="5.37"/>
    <n v="6"/>
    <n v="8"/>
    <n v="36"/>
    <n v="4326"/>
    <n v="1647"/>
    <n v="176"/>
    <n v="625"/>
    <n v="963"/>
    <n v="132"/>
    <n v="191"/>
    <n v="0.97799999999999998"/>
  </r>
  <r>
    <n v="2008"/>
    <x v="29"/>
    <s v="TOR"/>
    <n v="4"/>
    <s v="N"/>
    <s v="N"/>
    <s v="N"/>
    <s v="N"/>
    <n v="86"/>
    <n v="76"/>
    <n v="714"/>
    <n v="5503"/>
    <n v="1453"/>
    <n v="303"/>
    <n v="32"/>
    <n v="126"/>
    <n v="521"/>
    <n v="938"/>
    <n v="80"/>
    <n v="27"/>
    <n v="59"/>
    <n v="56"/>
    <n v="610"/>
    <n v="561"/>
    <n v="3.49"/>
    <n v="15"/>
    <n v="13"/>
    <n v="44"/>
    <n v="4340"/>
    <n v="1330"/>
    <n v="134"/>
    <n v="467"/>
    <n v="1184"/>
    <n v="84"/>
    <n v="137"/>
    <n v="0.98599999999999999"/>
  </r>
  <r>
    <n v="2008"/>
    <x v="31"/>
    <s v="WAS"/>
    <n v="5"/>
    <s v="N"/>
    <s v="N"/>
    <s v="N"/>
    <s v="N"/>
    <n v="59"/>
    <n v="102"/>
    <n v="641"/>
    <n v="5491"/>
    <n v="1376"/>
    <n v="269"/>
    <n v="26"/>
    <n v="117"/>
    <n v="534"/>
    <n v="1095"/>
    <n v="81"/>
    <n v="43"/>
    <n v="67"/>
    <n v="36"/>
    <n v="825"/>
    <n v="742"/>
    <n v="4.66"/>
    <n v="2"/>
    <n v="8"/>
    <n v="28"/>
    <n v="4302"/>
    <n v="1496"/>
    <n v="190"/>
    <n v="588"/>
    <n v="1063"/>
    <n v="123"/>
    <n v="143"/>
    <n v="0.98"/>
  </r>
  <r>
    <n v="2009"/>
    <x v="1"/>
    <s v="ARI"/>
    <n v="5"/>
    <s v="N"/>
    <s v="N"/>
    <s v="N"/>
    <s v="N"/>
    <n v="70"/>
    <n v="92"/>
    <n v="720"/>
    <n v="5565"/>
    <n v="1408"/>
    <n v="307"/>
    <n v="45"/>
    <n v="173"/>
    <n v="571"/>
    <n v="1298"/>
    <n v="102"/>
    <n v="40"/>
    <n v="37"/>
    <n v="41"/>
    <n v="782"/>
    <n v="711"/>
    <n v="4.42"/>
    <n v="4"/>
    <n v="12"/>
    <n v="36"/>
    <n v="4343"/>
    <n v="1470"/>
    <n v="168"/>
    <n v="525"/>
    <n v="1158"/>
    <n v="124"/>
    <n v="133"/>
    <n v="0.98"/>
  </r>
  <r>
    <n v="2009"/>
    <x v="2"/>
    <s v="ATL"/>
    <n v="3"/>
    <s v="N"/>
    <s v="N"/>
    <s v="N"/>
    <s v="N"/>
    <n v="86"/>
    <n v="76"/>
    <n v="735"/>
    <n v="5539"/>
    <n v="1459"/>
    <n v="300"/>
    <n v="20"/>
    <n v="149"/>
    <n v="602"/>
    <n v="1064"/>
    <n v="58"/>
    <n v="26"/>
    <n v="52"/>
    <n v="47"/>
    <n v="641"/>
    <n v="581"/>
    <n v="3.57"/>
    <n v="3"/>
    <n v="10"/>
    <n v="38"/>
    <n v="4388"/>
    <n v="1399"/>
    <n v="119"/>
    <n v="530"/>
    <n v="1232"/>
    <n v="96"/>
    <n v="159"/>
    <n v="0.98499999999999999"/>
  </r>
  <r>
    <n v="2009"/>
    <x v="3"/>
    <s v="BAL"/>
    <n v="5"/>
    <s v="N"/>
    <s v="N"/>
    <s v="N"/>
    <s v="N"/>
    <n v="64"/>
    <n v="98"/>
    <n v="741"/>
    <n v="5618"/>
    <n v="1508"/>
    <n v="307"/>
    <n v="19"/>
    <n v="160"/>
    <n v="517"/>
    <n v="1013"/>
    <n v="76"/>
    <n v="37"/>
    <n v="39"/>
    <n v="46"/>
    <n v="876"/>
    <n v="817"/>
    <n v="5.15"/>
    <n v="2"/>
    <n v="3"/>
    <n v="31"/>
    <n v="4287"/>
    <n v="1633"/>
    <n v="218"/>
    <n v="546"/>
    <n v="933"/>
    <n v="90"/>
    <n v="151"/>
    <n v="0.98499999999999999"/>
  </r>
  <r>
    <n v="2009"/>
    <x v="4"/>
    <s v="BOS"/>
    <n v="2"/>
    <s v="N"/>
    <s v="Y"/>
    <s v="N"/>
    <s v="N"/>
    <n v="95"/>
    <n v="67"/>
    <n v="872"/>
    <n v="5543"/>
    <n v="1495"/>
    <n v="335"/>
    <n v="25"/>
    <n v="212"/>
    <n v="659"/>
    <n v="1120"/>
    <n v="126"/>
    <n v="39"/>
    <n v="70"/>
    <n v="51"/>
    <n v="736"/>
    <n v="695"/>
    <n v="4.3499999999999996"/>
    <n v="8"/>
    <n v="11"/>
    <n v="41"/>
    <n v="4310"/>
    <n v="1494"/>
    <n v="167"/>
    <n v="530"/>
    <n v="1230"/>
    <n v="82"/>
    <n v="121"/>
    <n v="0.98599999999999999"/>
  </r>
  <r>
    <n v="2009"/>
    <x v="5"/>
    <s v="CHA"/>
    <n v="3"/>
    <s v="N"/>
    <s v="N"/>
    <s v="N"/>
    <s v="N"/>
    <n v="79"/>
    <n v="83"/>
    <n v="724"/>
    <n v="5463"/>
    <n v="1410"/>
    <n v="246"/>
    <n v="20"/>
    <n v="184"/>
    <n v="534"/>
    <n v="1022"/>
    <n v="113"/>
    <n v="49"/>
    <n v="62"/>
    <n v="39"/>
    <n v="732"/>
    <n v="663"/>
    <n v="4.1399999999999997"/>
    <n v="4"/>
    <n v="11"/>
    <n v="36"/>
    <n v="4319"/>
    <n v="1438"/>
    <n v="169"/>
    <n v="507"/>
    <n v="1119"/>
    <n v="113"/>
    <n v="158"/>
    <n v="0.98099999999999998"/>
  </r>
  <r>
    <n v="2009"/>
    <x v="6"/>
    <s v="CHN"/>
    <n v="2"/>
    <s v="N"/>
    <s v="N"/>
    <s v="N"/>
    <s v="N"/>
    <n v="83"/>
    <n v="78"/>
    <n v="707"/>
    <n v="5486"/>
    <n v="1398"/>
    <n v="293"/>
    <n v="29"/>
    <n v="161"/>
    <n v="592"/>
    <n v="1185"/>
    <n v="56"/>
    <n v="34"/>
    <n v="59"/>
    <n v="42"/>
    <n v="672"/>
    <n v="616"/>
    <n v="3.84"/>
    <n v="3"/>
    <n v="8"/>
    <n v="40"/>
    <n v="4336"/>
    <n v="1329"/>
    <n v="160"/>
    <n v="586"/>
    <n v="1272"/>
    <n v="105"/>
    <n v="144"/>
    <n v="0.98299999999999998"/>
  </r>
  <r>
    <n v="2009"/>
    <x v="7"/>
    <s v="CIN"/>
    <n v="4"/>
    <s v="N"/>
    <s v="N"/>
    <s v="N"/>
    <s v="N"/>
    <n v="78"/>
    <n v="84"/>
    <n v="673"/>
    <n v="5462"/>
    <n v="1349"/>
    <n v="280"/>
    <n v="25"/>
    <n v="158"/>
    <n v="531"/>
    <n v="1129"/>
    <n v="96"/>
    <n v="40"/>
    <n v="53"/>
    <n v="41"/>
    <n v="723"/>
    <n v="677"/>
    <n v="4.18"/>
    <n v="6"/>
    <n v="12"/>
    <n v="41"/>
    <n v="4375"/>
    <n v="1420"/>
    <n v="188"/>
    <n v="577"/>
    <n v="1069"/>
    <n v="89"/>
    <n v="161"/>
    <n v="0.98499999999999999"/>
  </r>
  <r>
    <n v="2009"/>
    <x v="8"/>
    <s v="CLE"/>
    <n v="4"/>
    <s v="N"/>
    <s v="N"/>
    <s v="N"/>
    <s v="N"/>
    <n v="65"/>
    <n v="97"/>
    <n v="773"/>
    <n v="5568"/>
    <n v="1468"/>
    <n v="314"/>
    <n v="28"/>
    <n v="161"/>
    <n v="582"/>
    <n v="1211"/>
    <n v="84"/>
    <n v="31"/>
    <n v="81"/>
    <n v="50"/>
    <n v="865"/>
    <n v="806"/>
    <n v="5.0599999999999996"/>
    <n v="5"/>
    <n v="6"/>
    <n v="25"/>
    <n v="4302"/>
    <n v="1570"/>
    <n v="183"/>
    <n v="598"/>
    <n v="986"/>
    <n v="97"/>
    <n v="170"/>
    <n v="0.98399999999999999"/>
  </r>
  <r>
    <n v="2009"/>
    <x v="9"/>
    <s v="COL"/>
    <n v="2"/>
    <s v="N"/>
    <s v="Y"/>
    <s v="N"/>
    <s v="N"/>
    <n v="92"/>
    <n v="70"/>
    <n v="804"/>
    <n v="5398"/>
    <n v="1408"/>
    <n v="300"/>
    <n v="50"/>
    <n v="190"/>
    <n v="660"/>
    <n v="1277"/>
    <n v="106"/>
    <n v="55"/>
    <n v="47"/>
    <n v="60"/>
    <n v="715"/>
    <n v="675"/>
    <n v="4.22"/>
    <n v="5"/>
    <n v="7"/>
    <n v="45"/>
    <n v="4315"/>
    <n v="1427"/>
    <n v="141"/>
    <n v="528"/>
    <n v="1154"/>
    <n v="87"/>
    <n v="146"/>
    <n v="0.98599999999999999"/>
  </r>
  <r>
    <n v="2009"/>
    <x v="10"/>
    <s v="DET"/>
    <n v="2"/>
    <s v="N"/>
    <s v="N"/>
    <s v="N"/>
    <s v="N"/>
    <n v="86"/>
    <n v="77"/>
    <n v="743"/>
    <n v="5540"/>
    <n v="1443"/>
    <n v="245"/>
    <n v="35"/>
    <n v="183"/>
    <n v="540"/>
    <n v="1114"/>
    <n v="72"/>
    <n v="33"/>
    <n v="61"/>
    <n v="39"/>
    <n v="745"/>
    <n v="690"/>
    <n v="4.29"/>
    <n v="4"/>
    <n v="9"/>
    <n v="42"/>
    <n v="4341"/>
    <n v="1449"/>
    <n v="182"/>
    <n v="594"/>
    <n v="1102"/>
    <n v="88"/>
    <n v="164"/>
    <n v="0.98499999999999999"/>
  </r>
  <r>
    <n v="2009"/>
    <x v="11"/>
    <s v="FLO"/>
    <n v="2"/>
    <s v="N"/>
    <s v="N"/>
    <s v="N"/>
    <s v="N"/>
    <n v="87"/>
    <n v="75"/>
    <n v="772"/>
    <n v="5572"/>
    <n v="1493"/>
    <n v="296"/>
    <n v="25"/>
    <n v="159"/>
    <n v="568"/>
    <n v="1226"/>
    <n v="75"/>
    <n v="35"/>
    <n v="63"/>
    <n v="39"/>
    <n v="766"/>
    <n v="690"/>
    <n v="4.29"/>
    <n v="5"/>
    <n v="5"/>
    <n v="45"/>
    <n v="4339"/>
    <n v="1425"/>
    <n v="160"/>
    <n v="601"/>
    <n v="1248"/>
    <n v="106"/>
    <n v="129"/>
    <n v="0.98199999999999998"/>
  </r>
  <r>
    <n v="2009"/>
    <x v="12"/>
    <s v="HOU"/>
    <n v="5"/>
    <s v="N"/>
    <s v="N"/>
    <s v="N"/>
    <s v="N"/>
    <n v="74"/>
    <n v="88"/>
    <n v="643"/>
    <n v="5436"/>
    <n v="1415"/>
    <n v="270"/>
    <n v="32"/>
    <n v="142"/>
    <n v="448"/>
    <n v="990"/>
    <n v="113"/>
    <n v="44"/>
    <n v="43"/>
    <n v="45"/>
    <n v="770"/>
    <n v="722"/>
    <n v="4.54"/>
    <n v="5"/>
    <n v="10"/>
    <n v="39"/>
    <n v="4290"/>
    <n v="1521"/>
    <n v="176"/>
    <n v="546"/>
    <n v="1144"/>
    <n v="78"/>
    <n v="161"/>
    <n v="0.98699999999999999"/>
  </r>
  <r>
    <n v="2009"/>
    <x v="13"/>
    <s v="KCA"/>
    <n v="4"/>
    <s v="N"/>
    <s v="N"/>
    <s v="N"/>
    <s v="N"/>
    <n v="65"/>
    <n v="97"/>
    <n v="686"/>
    <n v="5532"/>
    <n v="1432"/>
    <n v="276"/>
    <n v="51"/>
    <n v="144"/>
    <n v="457"/>
    <n v="1091"/>
    <n v="88"/>
    <n v="29"/>
    <n v="42"/>
    <n v="32"/>
    <n v="842"/>
    <n v="765"/>
    <n v="4.83"/>
    <n v="10"/>
    <n v="9"/>
    <n v="34"/>
    <n v="4278"/>
    <n v="1486"/>
    <n v="166"/>
    <n v="600"/>
    <n v="1153"/>
    <n v="117"/>
    <n v="159"/>
    <n v="0.98"/>
  </r>
  <r>
    <n v="2009"/>
    <x v="30"/>
    <s v="LAA"/>
    <n v="1"/>
    <s v="Y"/>
    <s v="N"/>
    <s v="N"/>
    <s v="N"/>
    <n v="97"/>
    <n v="65"/>
    <n v="883"/>
    <n v="5622"/>
    <n v="1604"/>
    <n v="293"/>
    <n v="33"/>
    <n v="173"/>
    <n v="547"/>
    <n v="1054"/>
    <n v="148"/>
    <n v="63"/>
    <n v="41"/>
    <n v="52"/>
    <n v="761"/>
    <n v="715"/>
    <n v="4.45"/>
    <n v="9"/>
    <n v="13"/>
    <n v="51"/>
    <n v="4335"/>
    <n v="1513"/>
    <n v="180"/>
    <n v="523"/>
    <n v="1062"/>
    <n v="85"/>
    <n v="174"/>
    <n v="0.98599999999999999"/>
  </r>
  <r>
    <n v="2009"/>
    <x v="14"/>
    <s v="LAN"/>
    <n v="1"/>
    <s v="Y"/>
    <s v="N"/>
    <s v="N"/>
    <s v="N"/>
    <n v="95"/>
    <n v="67"/>
    <n v="780"/>
    <n v="5592"/>
    <n v="1511"/>
    <n v="278"/>
    <n v="39"/>
    <n v="145"/>
    <n v="607"/>
    <n v="1068"/>
    <n v="116"/>
    <n v="48"/>
    <n v="63"/>
    <n v="44"/>
    <n v="611"/>
    <n v="558"/>
    <n v="3.41"/>
    <n v="1"/>
    <n v="9"/>
    <n v="44"/>
    <n v="4420"/>
    <n v="1265"/>
    <n v="127"/>
    <n v="584"/>
    <n v="1272"/>
    <n v="83"/>
    <n v="134"/>
    <n v="0.98599999999999999"/>
  </r>
  <r>
    <n v="2009"/>
    <x v="15"/>
    <s v="MIL"/>
    <n v="3"/>
    <s v="N"/>
    <s v="N"/>
    <s v="N"/>
    <s v="N"/>
    <n v="80"/>
    <n v="82"/>
    <n v="785"/>
    <n v="5510"/>
    <n v="1447"/>
    <n v="281"/>
    <n v="37"/>
    <n v="182"/>
    <n v="610"/>
    <n v="1231"/>
    <n v="68"/>
    <n v="37"/>
    <n v="71"/>
    <n v="47"/>
    <n v="818"/>
    <n v="770"/>
    <n v="4.83"/>
    <n v="1"/>
    <n v="8"/>
    <n v="44"/>
    <n v="4305"/>
    <n v="1498"/>
    <n v="207"/>
    <n v="607"/>
    <n v="1104"/>
    <n v="98"/>
    <n v="149"/>
    <n v="0.98399999999999999"/>
  </r>
  <r>
    <n v="2009"/>
    <x v="16"/>
    <s v="MIN"/>
    <n v="1"/>
    <s v="Y"/>
    <s v="N"/>
    <s v="N"/>
    <s v="N"/>
    <n v="87"/>
    <n v="76"/>
    <n v="817"/>
    <n v="5608"/>
    <n v="1539"/>
    <n v="271"/>
    <n v="40"/>
    <n v="172"/>
    <n v="585"/>
    <n v="1021"/>
    <n v="85"/>
    <n v="32"/>
    <n v="45"/>
    <n v="57"/>
    <n v="765"/>
    <n v="726"/>
    <n v="4.5"/>
    <n v="4"/>
    <n v="7"/>
    <n v="48"/>
    <n v="4359"/>
    <n v="1542"/>
    <n v="185"/>
    <n v="466"/>
    <n v="1052"/>
    <n v="76"/>
    <n v="135"/>
    <n v="0.98699999999999999"/>
  </r>
  <r>
    <n v="2009"/>
    <x v="18"/>
    <s v="NYA"/>
    <n v="1"/>
    <s v="Y"/>
    <s v="N"/>
    <s v="Y"/>
    <s v="Y"/>
    <n v="103"/>
    <n v="59"/>
    <n v="915"/>
    <n v="5660"/>
    <n v="1604"/>
    <n v="325"/>
    <n v="21"/>
    <n v="244"/>
    <n v="663"/>
    <n v="1014"/>
    <n v="111"/>
    <n v="28"/>
    <n v="54"/>
    <n v="39"/>
    <n v="753"/>
    <n v="687"/>
    <n v="4.26"/>
    <n v="3"/>
    <n v="8"/>
    <n v="51"/>
    <n v="4350"/>
    <n v="1386"/>
    <n v="181"/>
    <n v="574"/>
    <n v="1260"/>
    <n v="86"/>
    <n v="131"/>
    <n v="0.98499999999999999"/>
  </r>
  <r>
    <n v="2009"/>
    <x v="19"/>
    <s v="NYN"/>
    <n v="4"/>
    <s v="N"/>
    <s v="N"/>
    <s v="N"/>
    <s v="N"/>
    <n v="70"/>
    <n v="92"/>
    <n v="671"/>
    <n v="5453"/>
    <n v="1472"/>
    <n v="295"/>
    <n v="49"/>
    <n v="95"/>
    <n v="526"/>
    <n v="928"/>
    <n v="122"/>
    <n v="44"/>
    <n v="36"/>
    <n v="55"/>
    <n v="757"/>
    <n v="705"/>
    <n v="4.45"/>
    <n v="3"/>
    <n v="12"/>
    <n v="39"/>
    <n v="4278"/>
    <n v="1452"/>
    <n v="158"/>
    <n v="616"/>
    <n v="1031"/>
    <n v="97"/>
    <n v="134"/>
    <n v="0.98399999999999999"/>
  </r>
  <r>
    <n v="2009"/>
    <x v="20"/>
    <s v="OAK"/>
    <n v="4"/>
    <s v="N"/>
    <s v="N"/>
    <s v="N"/>
    <s v="N"/>
    <n v="75"/>
    <n v="87"/>
    <n v="759"/>
    <n v="5584"/>
    <n v="1464"/>
    <n v="307"/>
    <n v="21"/>
    <n v="135"/>
    <n v="527"/>
    <n v="1046"/>
    <n v="133"/>
    <n v="48"/>
    <n v="50"/>
    <n v="54"/>
    <n v="761"/>
    <n v="685"/>
    <n v="4.26"/>
    <n v="2"/>
    <n v="10"/>
    <n v="38"/>
    <n v="4342"/>
    <n v="1486"/>
    <n v="156"/>
    <n v="523"/>
    <n v="1124"/>
    <n v="105"/>
    <n v="155"/>
    <n v="0.98299999999999998"/>
  </r>
  <r>
    <n v="2009"/>
    <x v="21"/>
    <s v="PHI"/>
    <n v="1"/>
    <s v="Y"/>
    <s v="N"/>
    <s v="Y"/>
    <s v="N"/>
    <n v="93"/>
    <n v="69"/>
    <n v="820"/>
    <n v="5578"/>
    <n v="1439"/>
    <n v="312"/>
    <n v="35"/>
    <n v="224"/>
    <n v="589"/>
    <n v="1155"/>
    <n v="119"/>
    <n v="28"/>
    <n v="71"/>
    <n v="45"/>
    <n v="709"/>
    <n v="673"/>
    <n v="4.16"/>
    <n v="8"/>
    <n v="9"/>
    <n v="44"/>
    <n v="4367"/>
    <n v="1479"/>
    <n v="189"/>
    <n v="489"/>
    <n v="1153"/>
    <n v="76"/>
    <n v="132"/>
    <n v="0.98699999999999999"/>
  </r>
  <r>
    <n v="2009"/>
    <x v="22"/>
    <s v="PIT"/>
    <n v="6"/>
    <s v="N"/>
    <s v="N"/>
    <s v="N"/>
    <s v="N"/>
    <n v="62"/>
    <n v="99"/>
    <n v="636"/>
    <n v="5417"/>
    <n v="1364"/>
    <n v="289"/>
    <n v="34"/>
    <n v="125"/>
    <n v="499"/>
    <n v="1142"/>
    <n v="90"/>
    <n v="32"/>
    <n v="46"/>
    <n v="36"/>
    <n v="768"/>
    <n v="723"/>
    <n v="4.59"/>
    <n v="5"/>
    <n v="7"/>
    <n v="28"/>
    <n v="4255"/>
    <n v="1491"/>
    <n v="152"/>
    <n v="563"/>
    <n v="919"/>
    <n v="73"/>
    <n v="171"/>
    <n v="0.98799999999999999"/>
  </r>
  <r>
    <n v="2009"/>
    <x v="23"/>
    <s v="SDN"/>
    <n v="4"/>
    <s v="N"/>
    <s v="N"/>
    <s v="N"/>
    <s v="N"/>
    <n v="75"/>
    <n v="87"/>
    <n v="638"/>
    <n v="5425"/>
    <n v="1315"/>
    <n v="265"/>
    <n v="31"/>
    <n v="141"/>
    <n v="586"/>
    <n v="1182"/>
    <n v="82"/>
    <n v="29"/>
    <n v="57"/>
    <n v="36"/>
    <n v="769"/>
    <n v="704"/>
    <n v="4.37"/>
    <n v="2"/>
    <n v="9"/>
    <n v="45"/>
    <n v="4352"/>
    <n v="1422"/>
    <n v="167"/>
    <n v="603"/>
    <n v="1187"/>
    <n v="94"/>
    <n v="146"/>
    <n v="0.98399999999999999"/>
  </r>
  <r>
    <n v="2009"/>
    <x v="24"/>
    <s v="SEA"/>
    <n v="3"/>
    <s v="N"/>
    <s v="N"/>
    <s v="N"/>
    <s v="N"/>
    <n v="85"/>
    <n v="77"/>
    <n v="640"/>
    <n v="5543"/>
    <n v="1430"/>
    <n v="280"/>
    <n v="19"/>
    <n v="160"/>
    <n v="421"/>
    <n v="1093"/>
    <n v="89"/>
    <n v="33"/>
    <n v="49"/>
    <n v="44"/>
    <n v="692"/>
    <n v="625"/>
    <n v="3.87"/>
    <n v="4"/>
    <n v="10"/>
    <n v="49"/>
    <n v="4358"/>
    <n v="1359"/>
    <n v="172"/>
    <n v="534"/>
    <n v="1043"/>
    <n v="105"/>
    <n v="150"/>
    <n v="0.98199999999999998"/>
  </r>
  <r>
    <n v="2009"/>
    <x v="25"/>
    <s v="SFN"/>
    <n v="3"/>
    <s v="N"/>
    <s v="N"/>
    <s v="N"/>
    <s v="N"/>
    <n v="88"/>
    <n v="74"/>
    <n v="657"/>
    <n v="5493"/>
    <n v="1411"/>
    <n v="275"/>
    <n v="43"/>
    <n v="122"/>
    <n v="392"/>
    <n v="1158"/>
    <n v="78"/>
    <n v="28"/>
    <n v="50"/>
    <n v="55"/>
    <n v="611"/>
    <n v="571"/>
    <n v="3.55"/>
    <n v="11"/>
    <n v="18"/>
    <n v="41"/>
    <n v="4338"/>
    <n v="1268"/>
    <n v="140"/>
    <n v="584"/>
    <n v="1302"/>
    <n v="88"/>
    <n v="138"/>
    <n v="0.98499999999999999"/>
  </r>
  <r>
    <n v="2009"/>
    <x v="26"/>
    <s v="SLN"/>
    <n v="1"/>
    <s v="Y"/>
    <s v="N"/>
    <s v="N"/>
    <s v="N"/>
    <n v="91"/>
    <n v="71"/>
    <n v="730"/>
    <n v="5465"/>
    <n v="1436"/>
    <n v="294"/>
    <n v="29"/>
    <n v="160"/>
    <n v="528"/>
    <n v="1041"/>
    <n v="75"/>
    <n v="31"/>
    <n v="61"/>
    <n v="43"/>
    <n v="640"/>
    <n v="586"/>
    <n v="3.66"/>
    <n v="8"/>
    <n v="11"/>
    <n v="43"/>
    <n v="4322"/>
    <n v="1407"/>
    <n v="123"/>
    <n v="460"/>
    <n v="1049"/>
    <n v="96"/>
    <n v="167"/>
    <n v="0.98499999999999999"/>
  </r>
  <r>
    <n v="2009"/>
    <x v="32"/>
    <s v="TBA"/>
    <n v="3"/>
    <s v="N"/>
    <s v="N"/>
    <s v="N"/>
    <s v="N"/>
    <n v="84"/>
    <n v="78"/>
    <n v="803"/>
    <n v="5462"/>
    <n v="1434"/>
    <n v="297"/>
    <n v="36"/>
    <n v="199"/>
    <n v="642"/>
    <n v="1229"/>
    <n v="194"/>
    <n v="61"/>
    <n v="49"/>
    <n v="45"/>
    <n v="754"/>
    <n v="686"/>
    <n v="4.33"/>
    <n v="3"/>
    <n v="5"/>
    <n v="41"/>
    <n v="4282"/>
    <n v="1421"/>
    <n v="183"/>
    <n v="515"/>
    <n v="1125"/>
    <n v="98"/>
    <n v="135"/>
    <n v="0.98299999999999998"/>
  </r>
  <r>
    <n v="2009"/>
    <x v="28"/>
    <s v="TEX"/>
    <n v="2"/>
    <s v="N"/>
    <s v="N"/>
    <s v="N"/>
    <s v="N"/>
    <n v="87"/>
    <n v="75"/>
    <n v="784"/>
    <n v="5526"/>
    <n v="1436"/>
    <n v="296"/>
    <n v="27"/>
    <n v="224"/>
    <n v="472"/>
    <n v="1253"/>
    <n v="149"/>
    <n v="36"/>
    <n v="37"/>
    <n v="51"/>
    <n v="740"/>
    <n v="698"/>
    <n v="4.38"/>
    <n v="8"/>
    <n v="11"/>
    <n v="45"/>
    <n v="4304"/>
    <n v="1432"/>
    <n v="171"/>
    <n v="531"/>
    <n v="1016"/>
    <n v="106"/>
    <n v="168"/>
    <n v="0.98199999999999998"/>
  </r>
  <r>
    <n v="2009"/>
    <x v="29"/>
    <s v="TOR"/>
    <n v="4"/>
    <s v="N"/>
    <s v="N"/>
    <s v="N"/>
    <s v="N"/>
    <n v="75"/>
    <n v="87"/>
    <n v="798"/>
    <n v="5696"/>
    <n v="1516"/>
    <n v="339"/>
    <n v="13"/>
    <n v="209"/>
    <n v="548"/>
    <n v="1028"/>
    <n v="73"/>
    <n v="23"/>
    <n v="45"/>
    <n v="49"/>
    <n v="771"/>
    <n v="720"/>
    <n v="4.47"/>
    <n v="10"/>
    <n v="10"/>
    <n v="25"/>
    <n v="4353"/>
    <n v="1509"/>
    <n v="181"/>
    <n v="551"/>
    <n v="1181"/>
    <n v="76"/>
    <n v="168"/>
    <n v="0.98799999999999999"/>
  </r>
  <r>
    <n v="2009"/>
    <x v="31"/>
    <s v="WAS"/>
    <n v="5"/>
    <s v="N"/>
    <s v="N"/>
    <s v="N"/>
    <s v="N"/>
    <n v="59"/>
    <n v="103"/>
    <n v="710"/>
    <n v="5493"/>
    <n v="1416"/>
    <n v="271"/>
    <n v="38"/>
    <n v="156"/>
    <n v="617"/>
    <n v="1208"/>
    <n v="73"/>
    <n v="40"/>
    <n v="56"/>
    <n v="42"/>
    <n v="874"/>
    <n v="791"/>
    <n v="5"/>
    <n v="6"/>
    <n v="3"/>
    <n v="33"/>
    <n v="4273"/>
    <n v="1533"/>
    <n v="173"/>
    <n v="629"/>
    <n v="911"/>
    <n v="143"/>
    <n v="155"/>
    <n v="0.97699999999999998"/>
  </r>
  <r>
    <n v="2010"/>
    <x v="1"/>
    <s v="ARI"/>
    <n v="5"/>
    <s v="N"/>
    <s v="N"/>
    <s v="N"/>
    <s v="N"/>
    <n v="65"/>
    <n v="97"/>
    <n v="713"/>
    <n v="5473"/>
    <n v="1366"/>
    <n v="301"/>
    <n v="34"/>
    <n v="180"/>
    <n v="589"/>
    <n v="1529"/>
    <n v="86"/>
    <n v="41"/>
    <n v="39"/>
    <n v="41"/>
    <n v="836"/>
    <n v="765"/>
    <n v="4.8099999999999996"/>
    <n v="3"/>
    <n v="3"/>
    <n v="35"/>
    <n v="4296"/>
    <n v="1503"/>
    <n v="210"/>
    <n v="548"/>
    <n v="1070"/>
    <n v="102"/>
    <n v="152"/>
    <n v="0.98299999999999998"/>
  </r>
  <r>
    <n v="2010"/>
    <x v="2"/>
    <s v="ATL"/>
    <n v="2"/>
    <s v="N"/>
    <s v="Y"/>
    <s v="N"/>
    <s v="N"/>
    <n v="91"/>
    <n v="71"/>
    <n v="738"/>
    <n v="5463"/>
    <n v="1411"/>
    <n v="312"/>
    <n v="25"/>
    <n v="139"/>
    <n v="634"/>
    <n v="1140"/>
    <n v="63"/>
    <n v="29"/>
    <n v="51"/>
    <n v="35"/>
    <n v="629"/>
    <n v="569"/>
    <n v="3.56"/>
    <n v="2"/>
    <n v="9"/>
    <n v="41"/>
    <n v="4318"/>
    <n v="1326"/>
    <n v="126"/>
    <n v="505"/>
    <n v="1241"/>
    <n v="126"/>
    <n v="166"/>
    <n v="0.98"/>
  </r>
  <r>
    <n v="2010"/>
    <x v="3"/>
    <s v="BAL"/>
    <n v="5"/>
    <s v="N"/>
    <s v="N"/>
    <s v="N"/>
    <s v="N"/>
    <n v="66"/>
    <n v="96"/>
    <n v="613"/>
    <n v="5554"/>
    <n v="1440"/>
    <n v="264"/>
    <n v="21"/>
    <n v="133"/>
    <n v="424"/>
    <n v="1056"/>
    <n v="76"/>
    <n v="34"/>
    <n v="54"/>
    <n v="45"/>
    <n v="785"/>
    <n v="733"/>
    <n v="4.59"/>
    <n v="3"/>
    <n v="7"/>
    <n v="35"/>
    <n v="4309"/>
    <n v="1508"/>
    <n v="186"/>
    <n v="520"/>
    <n v="1007"/>
    <n v="105"/>
    <n v="141"/>
    <n v="0.98199999999999998"/>
  </r>
  <r>
    <n v="2010"/>
    <x v="4"/>
    <s v="BOS"/>
    <n v="3"/>
    <s v="N"/>
    <s v="N"/>
    <s v="N"/>
    <s v="N"/>
    <n v="89"/>
    <n v="73"/>
    <n v="818"/>
    <n v="5646"/>
    <n v="1511"/>
    <n v="358"/>
    <n v="22"/>
    <n v="211"/>
    <n v="587"/>
    <n v="1140"/>
    <n v="68"/>
    <n v="17"/>
    <n v="47"/>
    <n v="46"/>
    <n v="744"/>
    <n v="679"/>
    <n v="4.2"/>
    <n v="3"/>
    <n v="9"/>
    <n v="44"/>
    <n v="4370"/>
    <n v="1402"/>
    <n v="152"/>
    <n v="580"/>
    <n v="1207"/>
    <n v="111"/>
    <n v="132"/>
    <n v="0.98199999999999998"/>
  </r>
  <r>
    <n v="2010"/>
    <x v="5"/>
    <s v="CHA"/>
    <n v="2"/>
    <s v="N"/>
    <s v="N"/>
    <s v="N"/>
    <s v="N"/>
    <n v="88"/>
    <n v="74"/>
    <n v="752"/>
    <n v="5484"/>
    <n v="1467"/>
    <n v="263"/>
    <n v="21"/>
    <n v="177"/>
    <n v="467"/>
    <n v="922"/>
    <n v="160"/>
    <n v="74"/>
    <n v="79"/>
    <n v="38"/>
    <n v="704"/>
    <n v="658"/>
    <n v="4.09"/>
    <n v="6"/>
    <n v="11"/>
    <n v="43"/>
    <n v="4339"/>
    <n v="1471"/>
    <n v="136"/>
    <n v="490"/>
    <n v="1149"/>
    <n v="103"/>
    <n v="158"/>
    <n v="0.98299999999999998"/>
  </r>
  <r>
    <n v="2010"/>
    <x v="6"/>
    <s v="CHN"/>
    <n v="5"/>
    <s v="N"/>
    <s v="N"/>
    <s v="N"/>
    <s v="N"/>
    <n v="75"/>
    <n v="87"/>
    <n v="685"/>
    <n v="5512"/>
    <n v="1414"/>
    <n v="298"/>
    <n v="27"/>
    <n v="149"/>
    <n v="479"/>
    <n v="1236"/>
    <n v="55"/>
    <n v="31"/>
    <n v="50"/>
    <n v="38"/>
    <n v="767"/>
    <n v="668"/>
    <n v="4.18"/>
    <n v="1"/>
    <n v="14"/>
    <n v="40"/>
    <n v="4310"/>
    <n v="1409"/>
    <n v="154"/>
    <n v="605"/>
    <n v="1268"/>
    <n v="126"/>
    <n v="137"/>
    <n v="0.97899999999999998"/>
  </r>
  <r>
    <n v="2010"/>
    <x v="7"/>
    <s v="CIN"/>
    <n v="1"/>
    <s v="Y"/>
    <s v="N"/>
    <s v="N"/>
    <s v="N"/>
    <n v="91"/>
    <n v="71"/>
    <n v="790"/>
    <n v="5579"/>
    <n v="1515"/>
    <n v="293"/>
    <n v="30"/>
    <n v="188"/>
    <n v="522"/>
    <n v="1218"/>
    <n v="93"/>
    <n v="43"/>
    <n v="68"/>
    <n v="50"/>
    <n v="685"/>
    <n v="648"/>
    <n v="4.01"/>
    <n v="4"/>
    <n v="9"/>
    <n v="43"/>
    <n v="4359"/>
    <n v="1404"/>
    <n v="158"/>
    <n v="524"/>
    <n v="1130"/>
    <n v="72"/>
    <n v="142"/>
    <n v="0.98799999999999999"/>
  </r>
  <r>
    <n v="2010"/>
    <x v="8"/>
    <s v="CLE"/>
    <n v="4"/>
    <s v="N"/>
    <s v="N"/>
    <s v="N"/>
    <s v="N"/>
    <n v="69"/>
    <n v="93"/>
    <n v="646"/>
    <n v="5487"/>
    <n v="1362"/>
    <n v="290"/>
    <n v="20"/>
    <n v="128"/>
    <n v="545"/>
    <n v="1184"/>
    <n v="91"/>
    <n v="33"/>
    <n v="64"/>
    <n v="33"/>
    <n v="752"/>
    <n v="684"/>
    <n v="4.3"/>
    <n v="10"/>
    <n v="4"/>
    <n v="34"/>
    <n v="4299"/>
    <n v="1477"/>
    <n v="147"/>
    <n v="572"/>
    <n v="967"/>
    <n v="110"/>
    <n v="179"/>
    <n v="0.98199999999999998"/>
  </r>
  <r>
    <n v="2010"/>
    <x v="9"/>
    <s v="COL"/>
    <n v="3"/>
    <s v="N"/>
    <s v="N"/>
    <s v="N"/>
    <s v="N"/>
    <n v="83"/>
    <n v="79"/>
    <n v="770"/>
    <n v="5530"/>
    <n v="1452"/>
    <n v="270"/>
    <n v="54"/>
    <n v="173"/>
    <n v="585"/>
    <n v="1274"/>
    <n v="99"/>
    <n v="42"/>
    <n v="47"/>
    <n v="47"/>
    <n v="717"/>
    <n v="663"/>
    <n v="4.1399999999999997"/>
    <n v="6"/>
    <n v="12"/>
    <n v="35"/>
    <n v="4326"/>
    <n v="1405"/>
    <n v="139"/>
    <n v="525"/>
    <n v="1234"/>
    <n v="101"/>
    <n v="182"/>
    <n v="0.98399999999999999"/>
  </r>
  <r>
    <n v="2010"/>
    <x v="10"/>
    <s v="DET"/>
    <n v="3"/>
    <s v="N"/>
    <s v="N"/>
    <s v="N"/>
    <s v="N"/>
    <n v="81"/>
    <n v="81"/>
    <n v="751"/>
    <n v="5643"/>
    <n v="1515"/>
    <n v="308"/>
    <n v="32"/>
    <n v="152"/>
    <n v="546"/>
    <n v="1147"/>
    <n v="69"/>
    <n v="30"/>
    <n v="41"/>
    <n v="41"/>
    <n v="743"/>
    <n v="690"/>
    <n v="4.3"/>
    <n v="6"/>
    <n v="5"/>
    <n v="32"/>
    <n v="4333"/>
    <n v="1445"/>
    <n v="142"/>
    <n v="537"/>
    <n v="1056"/>
    <n v="109"/>
    <n v="171"/>
    <n v="0.98199999999999998"/>
  </r>
  <r>
    <n v="2010"/>
    <x v="11"/>
    <s v="FLO"/>
    <n v="3"/>
    <s v="N"/>
    <s v="N"/>
    <s v="N"/>
    <s v="N"/>
    <n v="80"/>
    <n v="82"/>
    <n v="719"/>
    <n v="5531"/>
    <n v="1403"/>
    <n v="294"/>
    <n v="37"/>
    <n v="152"/>
    <n v="514"/>
    <n v="1375"/>
    <n v="92"/>
    <n v="26"/>
    <n v="55"/>
    <n v="43"/>
    <n v="717"/>
    <n v="652"/>
    <n v="4.08"/>
    <n v="5"/>
    <n v="17"/>
    <n v="39"/>
    <n v="4315"/>
    <n v="1433"/>
    <n v="134"/>
    <n v="549"/>
    <n v="1168"/>
    <n v="123"/>
    <n v="130"/>
    <n v="0.97899999999999998"/>
  </r>
  <r>
    <n v="2010"/>
    <x v="12"/>
    <s v="HOU"/>
    <n v="4"/>
    <s v="N"/>
    <s v="N"/>
    <s v="N"/>
    <s v="N"/>
    <n v="76"/>
    <n v="86"/>
    <n v="611"/>
    <n v="5452"/>
    <n v="1348"/>
    <n v="252"/>
    <n v="25"/>
    <n v="108"/>
    <n v="415"/>
    <n v="1025"/>
    <n v="100"/>
    <n v="36"/>
    <n v="33"/>
    <n v="29"/>
    <n v="729"/>
    <n v="654"/>
    <n v="4.09"/>
    <n v="4"/>
    <n v="11"/>
    <n v="45"/>
    <n v="4318"/>
    <n v="1446"/>
    <n v="140"/>
    <n v="548"/>
    <n v="1210"/>
    <n v="103"/>
    <n v="135"/>
    <n v="0.98299999999999998"/>
  </r>
  <r>
    <n v="2010"/>
    <x v="13"/>
    <s v="KCA"/>
    <n v="5"/>
    <s v="N"/>
    <s v="N"/>
    <s v="N"/>
    <s v="N"/>
    <n v="67"/>
    <n v="95"/>
    <n v="676"/>
    <n v="5604"/>
    <n v="1534"/>
    <n v="279"/>
    <n v="31"/>
    <n v="121"/>
    <n v="471"/>
    <n v="905"/>
    <n v="115"/>
    <n v="50"/>
    <n v="35"/>
    <n v="53"/>
    <n v="845"/>
    <n v="794"/>
    <n v="4.97"/>
    <n v="7"/>
    <n v="3"/>
    <n v="44"/>
    <n v="4310"/>
    <n v="1553"/>
    <n v="176"/>
    <n v="551"/>
    <n v="1035"/>
    <n v="121"/>
    <n v="138"/>
    <n v="0.98"/>
  </r>
  <r>
    <n v="2010"/>
    <x v="30"/>
    <s v="LAA"/>
    <n v="3"/>
    <s v="N"/>
    <s v="N"/>
    <s v="N"/>
    <s v="N"/>
    <n v="80"/>
    <n v="82"/>
    <n v="681"/>
    <n v="5488"/>
    <n v="1363"/>
    <n v="276"/>
    <n v="19"/>
    <n v="155"/>
    <n v="466"/>
    <n v="1070"/>
    <n v="104"/>
    <n v="52"/>
    <n v="52"/>
    <n v="37"/>
    <n v="702"/>
    <n v="651"/>
    <n v="4.04"/>
    <n v="10"/>
    <n v="9"/>
    <n v="39"/>
    <n v="4348"/>
    <n v="1422"/>
    <n v="148"/>
    <n v="565"/>
    <n v="1130"/>
    <n v="113"/>
    <n v="116"/>
    <n v="0.98099999999999998"/>
  </r>
  <r>
    <n v="2010"/>
    <x v="14"/>
    <s v="LAN"/>
    <n v="4"/>
    <s v="N"/>
    <s v="N"/>
    <s v="N"/>
    <s v="N"/>
    <n v="80"/>
    <n v="82"/>
    <n v="667"/>
    <n v="5426"/>
    <n v="1368"/>
    <n v="270"/>
    <n v="29"/>
    <n v="120"/>
    <n v="533"/>
    <n v="1184"/>
    <n v="92"/>
    <n v="50"/>
    <n v="46"/>
    <n v="50"/>
    <n v="692"/>
    <n v="643"/>
    <n v="4.01"/>
    <n v="4"/>
    <n v="16"/>
    <n v="41"/>
    <n v="4325"/>
    <n v="1323"/>
    <n v="134"/>
    <n v="539"/>
    <n v="1274"/>
    <n v="98"/>
    <n v="124"/>
    <n v="0.98399999999999999"/>
  </r>
  <r>
    <n v="2010"/>
    <x v="15"/>
    <s v="MIL"/>
    <n v="3"/>
    <s v="N"/>
    <s v="N"/>
    <s v="N"/>
    <s v="N"/>
    <n v="77"/>
    <n v="85"/>
    <n v="750"/>
    <n v="5606"/>
    <n v="1471"/>
    <n v="293"/>
    <n v="33"/>
    <n v="182"/>
    <n v="546"/>
    <n v="1216"/>
    <n v="81"/>
    <n v="26"/>
    <n v="81"/>
    <n v="35"/>
    <n v="804"/>
    <n v="733"/>
    <n v="4.58"/>
    <n v="3"/>
    <n v="7"/>
    <n v="35"/>
    <n v="4317"/>
    <n v="1487"/>
    <n v="173"/>
    <n v="582"/>
    <n v="1258"/>
    <n v="101"/>
    <n v="142"/>
    <n v="0.98299999999999998"/>
  </r>
  <r>
    <n v="2010"/>
    <x v="16"/>
    <s v="MIN"/>
    <n v="1"/>
    <s v="Y"/>
    <s v="N"/>
    <s v="N"/>
    <s v="N"/>
    <n v="94"/>
    <n v="68"/>
    <n v="781"/>
    <n v="5568"/>
    <n v="1521"/>
    <n v="318"/>
    <n v="41"/>
    <n v="142"/>
    <n v="559"/>
    <n v="967"/>
    <n v="68"/>
    <n v="28"/>
    <n v="39"/>
    <n v="53"/>
    <n v="671"/>
    <n v="638"/>
    <n v="3.95"/>
    <n v="9"/>
    <n v="13"/>
    <n v="40"/>
    <n v="4358"/>
    <n v="1493"/>
    <n v="155"/>
    <n v="383"/>
    <n v="1048"/>
    <n v="78"/>
    <n v="150"/>
    <n v="0.98699999999999999"/>
  </r>
  <r>
    <n v="2010"/>
    <x v="18"/>
    <s v="NYA"/>
    <n v="2"/>
    <s v="N"/>
    <s v="Y"/>
    <s v="N"/>
    <s v="N"/>
    <n v="95"/>
    <n v="67"/>
    <n v="859"/>
    <n v="5567"/>
    <n v="1485"/>
    <n v="275"/>
    <n v="32"/>
    <n v="201"/>
    <n v="662"/>
    <n v="1136"/>
    <n v="103"/>
    <n v="30"/>
    <n v="73"/>
    <n v="44"/>
    <n v="693"/>
    <n v="651"/>
    <n v="4.0599999999999996"/>
    <n v="3"/>
    <n v="8"/>
    <n v="39"/>
    <n v="4327"/>
    <n v="1349"/>
    <n v="179"/>
    <n v="540"/>
    <n v="1154"/>
    <n v="69"/>
    <n v="161"/>
    <n v="0.98799999999999999"/>
  </r>
  <r>
    <n v="2010"/>
    <x v="19"/>
    <s v="NYN"/>
    <n v="4"/>
    <s v="N"/>
    <s v="N"/>
    <s v="N"/>
    <s v="N"/>
    <n v="79"/>
    <n v="83"/>
    <n v="656"/>
    <n v="5465"/>
    <n v="1361"/>
    <n v="266"/>
    <n v="40"/>
    <n v="128"/>
    <n v="502"/>
    <n v="1095"/>
    <n v="130"/>
    <n v="44"/>
    <n v="46"/>
    <n v="57"/>
    <n v="652"/>
    <n v="597"/>
    <n v="3.7"/>
    <n v="8"/>
    <n v="19"/>
    <n v="36"/>
    <n v="4359"/>
    <n v="1438"/>
    <n v="135"/>
    <n v="545"/>
    <n v="1106"/>
    <n v="87"/>
    <n v="159"/>
    <n v="0.98599999999999999"/>
  </r>
  <r>
    <n v="2010"/>
    <x v="20"/>
    <s v="OAK"/>
    <n v="2"/>
    <s v="N"/>
    <s v="N"/>
    <s v="N"/>
    <s v="N"/>
    <n v="81"/>
    <n v="81"/>
    <n v="663"/>
    <n v="5448"/>
    <n v="1396"/>
    <n v="276"/>
    <n v="30"/>
    <n v="109"/>
    <n v="527"/>
    <n v="1061"/>
    <n v="156"/>
    <n v="38"/>
    <n v="47"/>
    <n v="51"/>
    <n v="626"/>
    <n v="566"/>
    <n v="3.56"/>
    <n v="7"/>
    <n v="17"/>
    <n v="38"/>
    <n v="4295"/>
    <n v="1315"/>
    <n v="153"/>
    <n v="512"/>
    <n v="1070"/>
    <n v="99"/>
    <n v="147"/>
    <n v="0.98399999999999999"/>
  </r>
  <r>
    <n v="2010"/>
    <x v="21"/>
    <s v="PHI"/>
    <n v="1"/>
    <s v="Y"/>
    <s v="N"/>
    <s v="N"/>
    <s v="N"/>
    <n v="97"/>
    <n v="65"/>
    <n v="772"/>
    <n v="5581"/>
    <n v="1451"/>
    <n v="290"/>
    <n v="34"/>
    <n v="166"/>
    <n v="560"/>
    <n v="1064"/>
    <n v="108"/>
    <n v="21"/>
    <n v="63"/>
    <n v="43"/>
    <n v="640"/>
    <n v="594"/>
    <n v="3.67"/>
    <n v="14"/>
    <n v="21"/>
    <n v="40"/>
    <n v="4369"/>
    <n v="1402"/>
    <n v="168"/>
    <n v="416"/>
    <n v="1183"/>
    <n v="83"/>
    <n v="158"/>
    <n v="0.98599999999999999"/>
  </r>
  <r>
    <n v="2010"/>
    <x v="22"/>
    <s v="PIT"/>
    <n v="6"/>
    <s v="N"/>
    <s v="N"/>
    <s v="N"/>
    <s v="N"/>
    <n v="57"/>
    <n v="105"/>
    <n v="587"/>
    <n v="5386"/>
    <n v="1303"/>
    <n v="276"/>
    <n v="27"/>
    <n v="126"/>
    <n v="463"/>
    <n v="1207"/>
    <n v="87"/>
    <n v="36"/>
    <n v="33"/>
    <n v="33"/>
    <n v="866"/>
    <n v="784"/>
    <n v="5"/>
    <n v="1"/>
    <n v="6"/>
    <n v="31"/>
    <n v="4235"/>
    <n v="1567"/>
    <n v="167"/>
    <n v="538"/>
    <n v="1026"/>
    <n v="127"/>
    <n v="120"/>
    <n v="0.97899999999999998"/>
  </r>
  <r>
    <n v="2010"/>
    <x v="23"/>
    <s v="SDN"/>
    <n v="2"/>
    <s v="N"/>
    <s v="N"/>
    <s v="N"/>
    <s v="N"/>
    <n v="90"/>
    <n v="72"/>
    <n v="665"/>
    <n v="5434"/>
    <n v="1338"/>
    <n v="236"/>
    <n v="24"/>
    <n v="132"/>
    <n v="538"/>
    <n v="1183"/>
    <n v="124"/>
    <n v="50"/>
    <n v="50"/>
    <n v="46"/>
    <n v="581"/>
    <n v="549"/>
    <n v="3.39"/>
    <n v="2"/>
    <n v="20"/>
    <n v="49"/>
    <n v="4369"/>
    <n v="1305"/>
    <n v="139"/>
    <n v="517"/>
    <n v="1295"/>
    <n v="72"/>
    <n v="141"/>
    <n v="0.98799999999999999"/>
  </r>
  <r>
    <n v="2010"/>
    <x v="24"/>
    <s v="SEA"/>
    <n v="4"/>
    <s v="N"/>
    <s v="N"/>
    <s v="N"/>
    <s v="N"/>
    <n v="61"/>
    <n v="101"/>
    <n v="513"/>
    <n v="5409"/>
    <n v="1274"/>
    <n v="227"/>
    <n v="16"/>
    <n v="101"/>
    <n v="459"/>
    <n v="1184"/>
    <n v="142"/>
    <n v="39"/>
    <n v="39"/>
    <n v="40"/>
    <n v="698"/>
    <n v="628"/>
    <n v="3.93"/>
    <n v="11"/>
    <n v="10"/>
    <n v="38"/>
    <n v="4314"/>
    <n v="1402"/>
    <n v="157"/>
    <n v="452"/>
    <n v="973"/>
    <n v="110"/>
    <n v="145"/>
    <n v="0.98199999999999998"/>
  </r>
  <r>
    <n v="2010"/>
    <x v="25"/>
    <s v="SFN"/>
    <n v="1"/>
    <s v="Y"/>
    <s v="N"/>
    <s v="Y"/>
    <s v="Y"/>
    <n v="92"/>
    <n v="70"/>
    <n v="697"/>
    <n v="5488"/>
    <n v="1411"/>
    <n v="284"/>
    <n v="30"/>
    <n v="162"/>
    <n v="487"/>
    <n v="1099"/>
    <n v="55"/>
    <n v="32"/>
    <n v="50"/>
    <n v="41"/>
    <n v="583"/>
    <n v="546"/>
    <n v="3.36"/>
    <n v="6"/>
    <n v="17"/>
    <n v="57"/>
    <n v="4383"/>
    <n v="1279"/>
    <n v="134"/>
    <n v="578"/>
    <n v="1331"/>
    <n v="73"/>
    <n v="110"/>
    <n v="0.98799999999999999"/>
  </r>
  <r>
    <n v="2010"/>
    <x v="26"/>
    <s v="SLN"/>
    <n v="2"/>
    <s v="N"/>
    <s v="N"/>
    <s v="N"/>
    <s v="N"/>
    <n v="86"/>
    <n v="76"/>
    <n v="736"/>
    <n v="5542"/>
    <n v="1456"/>
    <n v="285"/>
    <n v="18"/>
    <n v="150"/>
    <n v="541"/>
    <n v="1027"/>
    <n v="79"/>
    <n v="41"/>
    <n v="50"/>
    <n v="40"/>
    <n v="641"/>
    <n v="577"/>
    <n v="3.57"/>
    <n v="7"/>
    <n v="16"/>
    <n v="32"/>
    <n v="4361"/>
    <n v="1412"/>
    <n v="133"/>
    <n v="477"/>
    <n v="1094"/>
    <n v="99"/>
    <n v="172"/>
    <n v="0.98399999999999999"/>
  </r>
  <r>
    <n v="2010"/>
    <x v="32"/>
    <s v="TBA"/>
    <n v="1"/>
    <s v="Y"/>
    <s v="N"/>
    <s v="N"/>
    <s v="N"/>
    <n v="96"/>
    <n v="66"/>
    <n v="802"/>
    <n v="5439"/>
    <n v="1343"/>
    <n v="295"/>
    <n v="37"/>
    <n v="160"/>
    <n v="672"/>
    <n v="1292"/>
    <n v="172"/>
    <n v="47"/>
    <n v="57"/>
    <n v="57"/>
    <n v="649"/>
    <n v="611"/>
    <n v="3.78"/>
    <n v="6"/>
    <n v="12"/>
    <n v="51"/>
    <n v="4361"/>
    <n v="1347"/>
    <n v="175"/>
    <n v="478"/>
    <n v="1189"/>
    <n v="85"/>
    <n v="134"/>
    <n v="0.98599999999999999"/>
  </r>
  <r>
    <n v="2010"/>
    <x v="28"/>
    <s v="TEX"/>
    <n v="1"/>
    <s v="Y"/>
    <s v="N"/>
    <s v="Y"/>
    <s v="N"/>
    <n v="90"/>
    <n v="72"/>
    <n v="787"/>
    <n v="5635"/>
    <n v="1556"/>
    <n v="268"/>
    <n v="25"/>
    <n v="162"/>
    <n v="511"/>
    <n v="986"/>
    <n v="123"/>
    <n v="48"/>
    <n v="45"/>
    <n v="54"/>
    <n v="687"/>
    <n v="636"/>
    <n v="3.93"/>
    <n v="7"/>
    <n v="8"/>
    <n v="46"/>
    <n v="4366"/>
    <n v="1355"/>
    <n v="162"/>
    <n v="551"/>
    <n v="1181"/>
    <n v="105"/>
    <n v="133"/>
    <n v="0.98199999999999998"/>
  </r>
  <r>
    <n v="2010"/>
    <x v="29"/>
    <s v="TOR"/>
    <n v="4"/>
    <s v="N"/>
    <s v="N"/>
    <s v="N"/>
    <s v="N"/>
    <n v="85"/>
    <n v="77"/>
    <n v="755"/>
    <n v="5495"/>
    <n v="1364"/>
    <n v="319"/>
    <n v="21"/>
    <n v="257"/>
    <n v="471"/>
    <n v="1164"/>
    <n v="58"/>
    <n v="20"/>
    <n v="55"/>
    <n v="34"/>
    <n v="728"/>
    <n v="676"/>
    <n v="4.22"/>
    <n v="5"/>
    <n v="11"/>
    <n v="45"/>
    <n v="4322"/>
    <n v="1407"/>
    <n v="150"/>
    <n v="539"/>
    <n v="1184"/>
    <n v="92"/>
    <n v="172"/>
    <n v="0.98499999999999999"/>
  </r>
  <r>
    <n v="2010"/>
    <x v="31"/>
    <s v="WAS"/>
    <n v="5"/>
    <s v="N"/>
    <s v="N"/>
    <s v="N"/>
    <s v="N"/>
    <n v="69"/>
    <n v="93"/>
    <n v="655"/>
    <n v="5418"/>
    <n v="1355"/>
    <n v="250"/>
    <n v="31"/>
    <n v="149"/>
    <n v="503"/>
    <n v="1220"/>
    <n v="110"/>
    <n v="41"/>
    <n v="60"/>
    <n v="47"/>
    <n v="742"/>
    <n v="658"/>
    <n v="4.13"/>
    <n v="2"/>
    <n v="5"/>
    <n v="37"/>
    <n v="4305"/>
    <n v="1469"/>
    <n v="151"/>
    <n v="512"/>
    <n v="1068"/>
    <n v="127"/>
    <n v="148"/>
    <n v="0.97899999999999998"/>
  </r>
  <r>
    <n v="2011"/>
    <x v="1"/>
    <s v="ARI"/>
    <n v="1"/>
    <s v="Y"/>
    <s v="N"/>
    <s v="N"/>
    <s v="N"/>
    <n v="94"/>
    <n v="68"/>
    <n v="731"/>
    <n v="5421"/>
    <n v="1357"/>
    <n v="293"/>
    <n v="37"/>
    <n v="172"/>
    <n v="531"/>
    <n v="1249"/>
    <n v="133"/>
    <n v="55"/>
    <n v="61"/>
    <n v="33"/>
    <n v="662"/>
    <n v="609"/>
    <n v="3.8"/>
    <n v="5"/>
    <n v="12"/>
    <n v="58"/>
    <n v="4330"/>
    <n v="1414"/>
    <n v="159"/>
    <n v="442"/>
    <n v="1058"/>
    <n v="90"/>
    <n v="131"/>
    <n v="0.98499999999999999"/>
  </r>
  <r>
    <n v="2011"/>
    <x v="2"/>
    <s v="ATL"/>
    <n v="2"/>
    <s v="N"/>
    <s v="N"/>
    <s v="N"/>
    <s v="N"/>
    <n v="89"/>
    <n v="73"/>
    <n v="641"/>
    <n v="5528"/>
    <n v="1345"/>
    <n v="244"/>
    <n v="16"/>
    <n v="173"/>
    <n v="504"/>
    <n v="1260"/>
    <n v="77"/>
    <n v="44"/>
    <n v="28"/>
    <n v="30"/>
    <n v="605"/>
    <n v="572"/>
    <n v="3.48"/>
    <n v="3"/>
    <n v="16"/>
    <n v="52"/>
    <n v="4439"/>
    <n v="1332"/>
    <n v="125"/>
    <n v="521"/>
    <n v="1332"/>
    <n v="83"/>
    <n v="131"/>
    <n v="0.98699999999999999"/>
  </r>
  <r>
    <n v="2011"/>
    <x v="3"/>
    <s v="BAL"/>
    <n v="5"/>
    <s v="N"/>
    <s v="N"/>
    <s v="N"/>
    <s v="N"/>
    <n v="69"/>
    <n v="93"/>
    <n v="708"/>
    <n v="5585"/>
    <n v="1434"/>
    <n v="273"/>
    <n v="13"/>
    <n v="191"/>
    <n v="452"/>
    <n v="1120"/>
    <n v="81"/>
    <n v="25"/>
    <n v="52"/>
    <n v="43"/>
    <n v="860"/>
    <n v="786"/>
    <n v="4.8899999999999997"/>
    <n v="3"/>
    <n v="7"/>
    <n v="32"/>
    <n v="4340"/>
    <n v="1568"/>
    <n v="210"/>
    <n v="535"/>
    <n v="1044"/>
    <n v="110"/>
    <n v="159"/>
    <n v="0.98199999999999998"/>
  </r>
  <r>
    <n v="2011"/>
    <x v="4"/>
    <s v="BOS"/>
    <n v="3"/>
    <s v="N"/>
    <s v="N"/>
    <s v="N"/>
    <s v="N"/>
    <n v="90"/>
    <n v="72"/>
    <n v="875"/>
    <n v="5710"/>
    <n v="1600"/>
    <n v="352"/>
    <n v="35"/>
    <n v="203"/>
    <n v="578"/>
    <n v="1108"/>
    <n v="102"/>
    <n v="42"/>
    <n v="50"/>
    <n v="50"/>
    <n v="737"/>
    <n v="680"/>
    <n v="4.2"/>
    <n v="2"/>
    <n v="13"/>
    <n v="36"/>
    <n v="4372"/>
    <n v="1366"/>
    <n v="156"/>
    <n v="540"/>
    <n v="1213"/>
    <n v="92"/>
    <n v="120"/>
    <n v="0.98499999999999999"/>
  </r>
  <r>
    <n v="2011"/>
    <x v="5"/>
    <s v="CHA"/>
    <n v="3"/>
    <s v="N"/>
    <s v="N"/>
    <s v="N"/>
    <s v="N"/>
    <n v="79"/>
    <n v="83"/>
    <n v="654"/>
    <n v="5502"/>
    <n v="1387"/>
    <n v="252"/>
    <n v="16"/>
    <n v="154"/>
    <n v="475"/>
    <n v="989"/>
    <n v="81"/>
    <n v="53"/>
    <n v="84"/>
    <n v="46"/>
    <n v="706"/>
    <n v="665"/>
    <n v="4.0999999999999996"/>
    <n v="6"/>
    <n v="14"/>
    <n v="42"/>
    <n v="4380"/>
    <n v="1463"/>
    <n v="147"/>
    <n v="439"/>
    <n v="1220"/>
    <n v="79"/>
    <n v="129"/>
    <n v="0.98699999999999999"/>
  </r>
  <r>
    <n v="2011"/>
    <x v="6"/>
    <s v="CHN"/>
    <n v="5"/>
    <s v="N"/>
    <s v="N"/>
    <s v="N"/>
    <s v="N"/>
    <n v="71"/>
    <n v="91"/>
    <n v="654"/>
    <n v="5549"/>
    <n v="1423"/>
    <n v="285"/>
    <n v="36"/>
    <n v="148"/>
    <n v="425"/>
    <n v="1202"/>
    <n v="69"/>
    <n v="23"/>
    <n v="59"/>
    <n v="35"/>
    <n v="756"/>
    <n v="690"/>
    <n v="4.33"/>
    <n v="4"/>
    <n v="5"/>
    <n v="40"/>
    <n v="4303"/>
    <n v="1439"/>
    <n v="162"/>
    <n v="580"/>
    <n v="1224"/>
    <n v="134"/>
    <n v="128"/>
    <n v="0.97799999999999998"/>
  </r>
  <r>
    <n v="2011"/>
    <x v="7"/>
    <s v="CIN"/>
    <n v="3"/>
    <s v="N"/>
    <s v="N"/>
    <s v="N"/>
    <s v="N"/>
    <n v="79"/>
    <n v="83"/>
    <n v="735"/>
    <n v="5612"/>
    <n v="1438"/>
    <n v="264"/>
    <n v="19"/>
    <n v="183"/>
    <n v="535"/>
    <n v="1250"/>
    <n v="97"/>
    <n v="50"/>
    <n v="63"/>
    <n v="40"/>
    <n v="720"/>
    <n v="678"/>
    <n v="4.16"/>
    <n v="4"/>
    <n v="5"/>
    <n v="39"/>
    <n v="4403"/>
    <n v="1414"/>
    <n v="185"/>
    <n v="539"/>
    <n v="1112"/>
    <n v="91"/>
    <n v="146"/>
    <n v="0.98499999999999999"/>
  </r>
  <r>
    <n v="2011"/>
    <x v="8"/>
    <s v="CLE"/>
    <n v="2"/>
    <s v="N"/>
    <s v="N"/>
    <s v="N"/>
    <s v="N"/>
    <n v="80"/>
    <n v="82"/>
    <n v="704"/>
    <n v="5509"/>
    <n v="1380"/>
    <n v="290"/>
    <n v="26"/>
    <n v="154"/>
    <n v="494"/>
    <n v="1269"/>
    <n v="89"/>
    <n v="42"/>
    <n v="65"/>
    <n v="43"/>
    <n v="760"/>
    <n v="683"/>
    <n v="4.2300000000000004"/>
    <n v="2"/>
    <n v="4"/>
    <n v="38"/>
    <n v="4360"/>
    <n v="1482"/>
    <n v="153"/>
    <n v="463"/>
    <n v="1024"/>
    <n v="110"/>
    <n v="130"/>
    <n v="0.98199999999999998"/>
  </r>
  <r>
    <n v="2011"/>
    <x v="9"/>
    <s v="COL"/>
    <n v="4"/>
    <s v="N"/>
    <s v="N"/>
    <s v="N"/>
    <s v="N"/>
    <n v="73"/>
    <n v="89"/>
    <n v="735"/>
    <n v="5544"/>
    <n v="1429"/>
    <n v="274"/>
    <n v="40"/>
    <n v="163"/>
    <n v="555"/>
    <n v="1201"/>
    <n v="118"/>
    <n v="42"/>
    <n v="57"/>
    <n v="44"/>
    <n v="774"/>
    <n v="713"/>
    <n v="4.43"/>
    <n v="5"/>
    <n v="7"/>
    <n v="41"/>
    <n v="4343"/>
    <n v="1471"/>
    <n v="176"/>
    <n v="522"/>
    <n v="1118"/>
    <n v="98"/>
    <n v="156"/>
    <n v="0.98399999999999999"/>
  </r>
  <r>
    <n v="2011"/>
    <x v="10"/>
    <s v="DET"/>
    <n v="1"/>
    <s v="Y"/>
    <s v="N"/>
    <s v="N"/>
    <s v="N"/>
    <n v="95"/>
    <n v="67"/>
    <n v="787"/>
    <n v="5563"/>
    <n v="1540"/>
    <n v="297"/>
    <n v="34"/>
    <n v="169"/>
    <n v="521"/>
    <n v="1143"/>
    <n v="49"/>
    <n v="20"/>
    <n v="39"/>
    <n v="58"/>
    <n v="711"/>
    <n v="647"/>
    <n v="4.04"/>
    <n v="4"/>
    <n v="14"/>
    <n v="52"/>
    <n v="4320"/>
    <n v="1406"/>
    <n v="149"/>
    <n v="492"/>
    <n v="1115"/>
    <n v="103"/>
    <n v="148"/>
    <n v="0.98299999999999998"/>
  </r>
  <r>
    <n v="2011"/>
    <x v="11"/>
    <s v="FLO"/>
    <n v="5"/>
    <s v="N"/>
    <s v="N"/>
    <s v="N"/>
    <s v="N"/>
    <n v="72"/>
    <n v="90"/>
    <n v="625"/>
    <n v="5508"/>
    <n v="1358"/>
    <n v="274"/>
    <n v="30"/>
    <n v="149"/>
    <n v="542"/>
    <n v="1244"/>
    <n v="95"/>
    <n v="41"/>
    <n v="51"/>
    <n v="42"/>
    <n v="702"/>
    <n v="640"/>
    <n v="3.95"/>
    <n v="7"/>
    <n v="11"/>
    <n v="40"/>
    <n v="4379"/>
    <n v="1403"/>
    <n v="149"/>
    <n v="500"/>
    <n v="1218"/>
    <n v="93"/>
    <n v="126"/>
    <n v="0.98499999999999999"/>
  </r>
  <r>
    <n v="2011"/>
    <x v="12"/>
    <s v="HOU"/>
    <n v="6"/>
    <s v="N"/>
    <s v="N"/>
    <s v="N"/>
    <s v="N"/>
    <n v="56"/>
    <n v="106"/>
    <n v="615"/>
    <n v="5598"/>
    <n v="1442"/>
    <n v="309"/>
    <n v="28"/>
    <n v="95"/>
    <n v="401"/>
    <n v="1164"/>
    <n v="118"/>
    <n v="33"/>
    <n v="46"/>
    <n v="37"/>
    <n v="796"/>
    <n v="719"/>
    <n v="4.51"/>
    <n v="2"/>
    <n v="6"/>
    <n v="25"/>
    <n v="4305"/>
    <n v="1477"/>
    <n v="188"/>
    <n v="560"/>
    <n v="1191"/>
    <n v="116"/>
    <n v="140"/>
    <n v="0.98099999999999998"/>
  </r>
  <r>
    <n v="2011"/>
    <x v="13"/>
    <s v="KCA"/>
    <n v="4"/>
    <s v="N"/>
    <s v="N"/>
    <s v="N"/>
    <s v="N"/>
    <n v="71"/>
    <n v="91"/>
    <n v="730"/>
    <n v="5672"/>
    <n v="1560"/>
    <n v="325"/>
    <n v="41"/>
    <n v="129"/>
    <n v="442"/>
    <n v="1006"/>
    <n v="153"/>
    <n v="58"/>
    <n v="39"/>
    <n v="57"/>
    <n v="762"/>
    <n v="716"/>
    <n v="4.4400000000000004"/>
    <n v="2"/>
    <n v="6"/>
    <n v="37"/>
    <n v="4354"/>
    <n v="1487"/>
    <n v="163"/>
    <n v="557"/>
    <n v="1080"/>
    <n v="95"/>
    <n v="149"/>
    <n v="0.98499999999999999"/>
  </r>
  <r>
    <n v="2011"/>
    <x v="30"/>
    <s v="LAA"/>
    <n v="2"/>
    <s v="N"/>
    <s v="N"/>
    <s v="N"/>
    <s v="N"/>
    <n v="86"/>
    <n v="76"/>
    <n v="667"/>
    <n v="5513"/>
    <n v="1394"/>
    <n v="289"/>
    <n v="34"/>
    <n v="155"/>
    <n v="442"/>
    <n v="1086"/>
    <n v="135"/>
    <n v="52"/>
    <n v="51"/>
    <n v="32"/>
    <n v="633"/>
    <n v="581"/>
    <n v="3.57"/>
    <n v="12"/>
    <n v="11"/>
    <n v="39"/>
    <n v="4395"/>
    <n v="1388"/>
    <n v="142"/>
    <n v="476"/>
    <n v="1058"/>
    <n v="93"/>
    <n v="157"/>
    <n v="0.98499999999999999"/>
  </r>
  <r>
    <n v="2011"/>
    <x v="14"/>
    <s v="LAN"/>
    <n v="3"/>
    <s v="N"/>
    <s v="N"/>
    <s v="N"/>
    <s v="N"/>
    <n v="82"/>
    <n v="79"/>
    <n v="644"/>
    <n v="5436"/>
    <n v="1395"/>
    <n v="237"/>
    <n v="28"/>
    <n v="117"/>
    <n v="498"/>
    <n v="1087"/>
    <n v="126"/>
    <n v="40"/>
    <n v="45"/>
    <n v="43"/>
    <n v="612"/>
    <n v="563"/>
    <n v="3.54"/>
    <n v="7"/>
    <n v="17"/>
    <n v="40"/>
    <n v="4296"/>
    <n v="1287"/>
    <n v="132"/>
    <n v="507"/>
    <n v="1265"/>
    <n v="85"/>
    <n v="121"/>
    <n v="0.98599999999999999"/>
  </r>
  <r>
    <n v="2011"/>
    <x v="15"/>
    <s v="MIL"/>
    <n v="1"/>
    <s v="Y"/>
    <s v="N"/>
    <s v="N"/>
    <s v="N"/>
    <n v="96"/>
    <n v="66"/>
    <n v="721"/>
    <n v="5447"/>
    <n v="1422"/>
    <n v="276"/>
    <n v="31"/>
    <n v="185"/>
    <n v="481"/>
    <n v="1083"/>
    <n v="94"/>
    <n v="31"/>
    <n v="56"/>
    <n v="44"/>
    <n v="638"/>
    <n v="582"/>
    <n v="3.63"/>
    <n v="1"/>
    <n v="13"/>
    <n v="47"/>
    <n v="4325"/>
    <n v="1348"/>
    <n v="147"/>
    <n v="440"/>
    <n v="1257"/>
    <n v="111"/>
    <n v="130"/>
    <n v="0.98199999999999998"/>
  </r>
  <r>
    <n v="2011"/>
    <x v="16"/>
    <s v="MIN"/>
    <n v="5"/>
    <s v="N"/>
    <s v="N"/>
    <s v="N"/>
    <s v="N"/>
    <n v="63"/>
    <n v="99"/>
    <n v="619"/>
    <n v="5487"/>
    <n v="1357"/>
    <n v="259"/>
    <n v="25"/>
    <n v="103"/>
    <n v="440"/>
    <n v="1048"/>
    <n v="92"/>
    <n v="39"/>
    <n v="37"/>
    <n v="25"/>
    <n v="804"/>
    <n v="724"/>
    <n v="4.58"/>
    <n v="7"/>
    <n v="8"/>
    <n v="32"/>
    <n v="4265"/>
    <n v="1564"/>
    <n v="161"/>
    <n v="480"/>
    <n v="940"/>
    <n v="119"/>
    <n v="153"/>
    <n v="0.98"/>
  </r>
  <r>
    <n v="2011"/>
    <x v="18"/>
    <s v="NYA"/>
    <n v="1"/>
    <s v="Y"/>
    <s v="N"/>
    <s v="N"/>
    <s v="N"/>
    <n v="97"/>
    <n v="65"/>
    <n v="867"/>
    <n v="5518"/>
    <n v="1452"/>
    <n v="267"/>
    <n v="33"/>
    <n v="222"/>
    <n v="627"/>
    <n v="1138"/>
    <n v="147"/>
    <n v="46"/>
    <n v="74"/>
    <n v="51"/>
    <n v="657"/>
    <n v="605"/>
    <n v="3.73"/>
    <n v="5"/>
    <n v="8"/>
    <n v="47"/>
    <n v="4375"/>
    <n v="1423"/>
    <n v="152"/>
    <n v="507"/>
    <n v="1222"/>
    <n v="102"/>
    <n v="141"/>
    <n v="0.98299999999999998"/>
  </r>
  <r>
    <n v="2011"/>
    <x v="19"/>
    <s v="NYN"/>
    <n v="4"/>
    <s v="N"/>
    <s v="N"/>
    <s v="N"/>
    <s v="N"/>
    <n v="77"/>
    <n v="85"/>
    <n v="718"/>
    <n v="5600"/>
    <n v="1477"/>
    <n v="309"/>
    <n v="39"/>
    <n v="108"/>
    <n v="571"/>
    <n v="1085"/>
    <n v="130"/>
    <n v="35"/>
    <n v="51"/>
    <n v="48"/>
    <n v="742"/>
    <n v="674"/>
    <n v="4.1900000000000004"/>
    <n v="6"/>
    <n v="9"/>
    <n v="43"/>
    <n v="4344"/>
    <n v="1482"/>
    <n v="147"/>
    <n v="514"/>
    <n v="1126"/>
    <n v="116"/>
    <n v="126"/>
    <n v="0.98099999999999998"/>
  </r>
  <r>
    <n v="2011"/>
    <x v="20"/>
    <s v="OAK"/>
    <n v="3"/>
    <s v="N"/>
    <s v="N"/>
    <s v="N"/>
    <s v="N"/>
    <n v="74"/>
    <n v="88"/>
    <n v="645"/>
    <n v="5452"/>
    <n v="1330"/>
    <n v="280"/>
    <n v="29"/>
    <n v="114"/>
    <n v="509"/>
    <n v="1094"/>
    <n v="117"/>
    <n v="43"/>
    <n v="50"/>
    <n v="57"/>
    <n v="679"/>
    <n v="597"/>
    <n v="3.71"/>
    <n v="6"/>
    <n v="12"/>
    <n v="39"/>
    <n v="4343"/>
    <n v="1380"/>
    <n v="136"/>
    <n v="519"/>
    <n v="1160"/>
    <n v="124"/>
    <n v="145"/>
    <n v="0.97899999999999998"/>
  </r>
  <r>
    <n v="2011"/>
    <x v="21"/>
    <s v="PHI"/>
    <n v="1"/>
    <s v="Y"/>
    <s v="N"/>
    <s v="N"/>
    <s v="N"/>
    <n v="102"/>
    <n v="60"/>
    <n v="713"/>
    <n v="5579"/>
    <n v="1409"/>
    <n v="258"/>
    <n v="38"/>
    <n v="153"/>
    <n v="539"/>
    <n v="1024"/>
    <n v="96"/>
    <n v="24"/>
    <n v="56"/>
    <n v="38"/>
    <n v="529"/>
    <n v="495"/>
    <n v="3.02"/>
    <n v="18"/>
    <n v="21"/>
    <n v="47"/>
    <n v="4431"/>
    <n v="1320"/>
    <n v="120"/>
    <n v="404"/>
    <n v="1299"/>
    <n v="74"/>
    <n v="135"/>
    <n v="0.98799999999999999"/>
  </r>
  <r>
    <n v="2011"/>
    <x v="22"/>
    <s v="PIT"/>
    <n v="4"/>
    <s v="N"/>
    <s v="N"/>
    <s v="N"/>
    <s v="N"/>
    <n v="72"/>
    <n v="90"/>
    <n v="610"/>
    <n v="5421"/>
    <n v="1325"/>
    <n v="277"/>
    <n v="35"/>
    <n v="107"/>
    <n v="489"/>
    <n v="1308"/>
    <n v="108"/>
    <n v="52"/>
    <n v="34"/>
    <n v="44"/>
    <n v="712"/>
    <n v="650"/>
    <n v="4.04"/>
    <n v="5"/>
    <n v="11"/>
    <n v="43"/>
    <n v="4348"/>
    <n v="1513"/>
    <n v="152"/>
    <n v="535"/>
    <n v="1031"/>
    <n v="112"/>
    <n v="154"/>
    <n v="0.98199999999999998"/>
  </r>
  <r>
    <n v="2011"/>
    <x v="23"/>
    <s v="SDN"/>
    <n v="5"/>
    <s v="N"/>
    <s v="N"/>
    <s v="N"/>
    <s v="N"/>
    <n v="71"/>
    <n v="91"/>
    <n v="593"/>
    <n v="5417"/>
    <n v="1284"/>
    <n v="247"/>
    <n v="42"/>
    <n v="91"/>
    <n v="501"/>
    <n v="1320"/>
    <n v="170"/>
    <n v="44"/>
    <n v="48"/>
    <n v="47"/>
    <n v="611"/>
    <n v="551"/>
    <n v="3.42"/>
    <n v="0"/>
    <n v="10"/>
    <n v="44"/>
    <n v="4348"/>
    <n v="1324"/>
    <n v="125"/>
    <n v="521"/>
    <n v="1139"/>
    <n v="94"/>
    <n v="139"/>
    <n v="0.98499999999999999"/>
  </r>
  <r>
    <n v="2011"/>
    <x v="24"/>
    <s v="SEA"/>
    <n v="4"/>
    <s v="N"/>
    <s v="N"/>
    <s v="N"/>
    <s v="N"/>
    <n v="67"/>
    <n v="95"/>
    <n v="556"/>
    <n v="5421"/>
    <n v="1263"/>
    <n v="253"/>
    <n v="22"/>
    <n v="109"/>
    <n v="435"/>
    <n v="1280"/>
    <n v="125"/>
    <n v="40"/>
    <n v="37"/>
    <n v="41"/>
    <n v="675"/>
    <n v="621"/>
    <n v="3.9"/>
    <n v="12"/>
    <n v="10"/>
    <n v="39"/>
    <n v="4299"/>
    <n v="1369"/>
    <n v="145"/>
    <n v="436"/>
    <n v="1088"/>
    <n v="108"/>
    <n v="152"/>
    <n v="0.98199999999999998"/>
  </r>
  <r>
    <n v="2011"/>
    <x v="25"/>
    <s v="SFN"/>
    <n v="2"/>
    <s v="N"/>
    <s v="N"/>
    <s v="N"/>
    <s v="N"/>
    <n v="86"/>
    <n v="76"/>
    <n v="570"/>
    <n v="5486"/>
    <n v="1327"/>
    <n v="282"/>
    <n v="24"/>
    <n v="121"/>
    <n v="448"/>
    <n v="1122"/>
    <n v="85"/>
    <n v="51"/>
    <n v="52"/>
    <n v="43"/>
    <n v="578"/>
    <n v="522"/>
    <n v="3.2"/>
    <n v="3"/>
    <n v="12"/>
    <n v="52"/>
    <n v="4404"/>
    <n v="1260"/>
    <n v="96"/>
    <n v="559"/>
    <n v="1316"/>
    <n v="104"/>
    <n v="127"/>
    <n v="0.98299999999999998"/>
  </r>
  <r>
    <n v="2011"/>
    <x v="26"/>
    <s v="SLN"/>
    <n v="2"/>
    <s v="N"/>
    <s v="Y"/>
    <s v="Y"/>
    <s v="Y"/>
    <n v="90"/>
    <n v="72"/>
    <n v="762"/>
    <n v="5532"/>
    <n v="1513"/>
    <n v="308"/>
    <n v="22"/>
    <n v="162"/>
    <n v="542"/>
    <n v="978"/>
    <n v="57"/>
    <n v="39"/>
    <n v="44"/>
    <n v="40"/>
    <n v="692"/>
    <n v="608"/>
    <n v="3.74"/>
    <n v="7"/>
    <n v="9"/>
    <n v="47"/>
    <n v="4386"/>
    <n v="1461"/>
    <n v="136"/>
    <n v="448"/>
    <n v="1098"/>
    <n v="116"/>
    <n v="167"/>
    <n v="0.98199999999999998"/>
  </r>
  <r>
    <n v="2011"/>
    <x v="32"/>
    <s v="TBA"/>
    <n v="2"/>
    <s v="N"/>
    <s v="Y"/>
    <s v="N"/>
    <s v="N"/>
    <n v="91"/>
    <n v="71"/>
    <n v="707"/>
    <n v="5436"/>
    <n v="1324"/>
    <n v="273"/>
    <n v="37"/>
    <n v="172"/>
    <n v="571"/>
    <n v="1193"/>
    <n v="155"/>
    <n v="62"/>
    <n v="73"/>
    <n v="35"/>
    <n v="614"/>
    <n v="577"/>
    <n v="3.58"/>
    <n v="15"/>
    <n v="13"/>
    <n v="32"/>
    <n v="4347"/>
    <n v="1263"/>
    <n v="161"/>
    <n v="504"/>
    <n v="1143"/>
    <n v="73"/>
    <n v="138"/>
    <n v="0.98799999999999999"/>
  </r>
  <r>
    <n v="2011"/>
    <x v="28"/>
    <s v="TEX"/>
    <n v="1"/>
    <s v="Y"/>
    <s v="N"/>
    <s v="Y"/>
    <s v="N"/>
    <n v="96"/>
    <n v="66"/>
    <n v="855"/>
    <n v="5659"/>
    <n v="1599"/>
    <n v="310"/>
    <n v="32"/>
    <n v="210"/>
    <n v="475"/>
    <n v="930"/>
    <n v="143"/>
    <n v="45"/>
    <n v="39"/>
    <n v="49"/>
    <n v="677"/>
    <n v="607"/>
    <n v="3.79"/>
    <n v="10"/>
    <n v="19"/>
    <n v="38"/>
    <n v="4324"/>
    <n v="1327"/>
    <n v="170"/>
    <n v="461"/>
    <n v="1179"/>
    <n v="114"/>
    <n v="164"/>
    <n v="0.98099999999999998"/>
  </r>
  <r>
    <n v="2011"/>
    <x v="29"/>
    <s v="TOR"/>
    <n v="4"/>
    <s v="N"/>
    <s v="N"/>
    <s v="N"/>
    <s v="N"/>
    <n v="81"/>
    <n v="81"/>
    <n v="743"/>
    <n v="5559"/>
    <n v="1384"/>
    <n v="285"/>
    <n v="34"/>
    <n v="186"/>
    <n v="525"/>
    <n v="1184"/>
    <n v="131"/>
    <n v="52"/>
    <n v="48"/>
    <n v="47"/>
    <n v="761"/>
    <n v="700"/>
    <n v="4.32"/>
    <n v="7"/>
    <n v="10"/>
    <n v="33"/>
    <n v="4376"/>
    <n v="1433"/>
    <n v="179"/>
    <n v="540"/>
    <n v="1169"/>
    <n v="110"/>
    <n v="148"/>
    <n v="0.98199999999999998"/>
  </r>
  <r>
    <n v="2011"/>
    <x v="31"/>
    <s v="WAS"/>
    <n v="3"/>
    <s v="N"/>
    <s v="N"/>
    <s v="N"/>
    <s v="N"/>
    <n v="80"/>
    <n v="81"/>
    <n v="624"/>
    <n v="5441"/>
    <n v="1319"/>
    <n v="257"/>
    <n v="22"/>
    <n v="154"/>
    <n v="470"/>
    <n v="1323"/>
    <n v="106"/>
    <n v="38"/>
    <n v="65"/>
    <n v="32"/>
    <n v="643"/>
    <n v="577"/>
    <n v="3.58"/>
    <n v="3"/>
    <n v="10"/>
    <n v="49"/>
    <n v="4348"/>
    <n v="1403"/>
    <n v="129"/>
    <n v="477"/>
    <n v="1049"/>
    <n v="104"/>
    <n v="145"/>
    <n v="0.98299999999999998"/>
  </r>
  <r>
    <n v="2012"/>
    <x v="1"/>
    <s v="ARI"/>
    <n v="3"/>
    <s v="N"/>
    <s v="N"/>
    <s v="N"/>
    <s v="N"/>
    <n v="81"/>
    <n v="81"/>
    <n v="734"/>
    <n v="5462"/>
    <n v="1416"/>
    <n v="307"/>
    <n v="33"/>
    <n v="165"/>
    <n v="539"/>
    <n v="1266"/>
    <n v="93"/>
    <n v="51"/>
    <n v="41"/>
    <n v="45"/>
    <n v="688"/>
    <n v="626"/>
    <n v="3.93"/>
    <n v="4"/>
    <n v="9"/>
    <n v="39"/>
    <n v="4301"/>
    <n v="1432"/>
    <n v="155"/>
    <n v="417"/>
    <n v="1200"/>
    <n v="90"/>
    <n v="146"/>
    <n v="0.98499999999999999"/>
  </r>
  <r>
    <n v="2012"/>
    <x v="2"/>
    <s v="ATL"/>
    <n v="2"/>
    <s v="N"/>
    <s v="Y"/>
    <s v="N"/>
    <s v="N"/>
    <n v="94"/>
    <n v="68"/>
    <n v="700"/>
    <n v="5425"/>
    <n v="1341"/>
    <n v="263"/>
    <n v="30"/>
    <n v="149"/>
    <n v="567"/>
    <n v="1289"/>
    <n v="101"/>
    <n v="32"/>
    <n v="34"/>
    <n v="46"/>
    <n v="600"/>
    <n v="549"/>
    <n v="3.42"/>
    <n v="5"/>
    <n v="16"/>
    <n v="47"/>
    <n v="4336"/>
    <n v="1310"/>
    <n v="145"/>
    <n v="464"/>
    <n v="1232"/>
    <n v="86"/>
    <n v="147"/>
    <n v="0.98599999999999999"/>
  </r>
  <r>
    <n v="2012"/>
    <x v="3"/>
    <s v="BAL"/>
    <n v="2"/>
    <s v="N"/>
    <s v="Y"/>
    <s v="N"/>
    <s v="N"/>
    <n v="93"/>
    <n v="69"/>
    <n v="712"/>
    <n v="5560"/>
    <n v="1375"/>
    <n v="270"/>
    <n v="16"/>
    <n v="214"/>
    <n v="480"/>
    <n v="1315"/>
    <n v="58"/>
    <n v="29"/>
    <n v="50"/>
    <n v="30"/>
    <n v="705"/>
    <n v="642"/>
    <n v="3.9"/>
    <n v="1"/>
    <n v="10"/>
    <n v="55"/>
    <n v="4449"/>
    <n v="1433"/>
    <n v="184"/>
    <n v="481"/>
    <n v="1177"/>
    <n v="106"/>
    <n v="151"/>
    <n v="0.98299999999999998"/>
  </r>
  <r>
    <n v="2012"/>
    <x v="4"/>
    <s v="BOS"/>
    <n v="5"/>
    <s v="N"/>
    <s v="N"/>
    <s v="N"/>
    <s v="N"/>
    <n v="69"/>
    <n v="93"/>
    <n v="734"/>
    <n v="5604"/>
    <n v="1459"/>
    <n v="339"/>
    <n v="16"/>
    <n v="165"/>
    <n v="428"/>
    <n v="1197"/>
    <n v="97"/>
    <n v="31"/>
    <n v="45"/>
    <n v="55"/>
    <n v="806"/>
    <n v="754"/>
    <n v="4.7"/>
    <n v="6"/>
    <n v="4"/>
    <n v="35"/>
    <n v="4329"/>
    <n v="1449"/>
    <n v="190"/>
    <n v="529"/>
    <n v="1176"/>
    <n v="101"/>
    <n v="159"/>
    <n v="0.98299999999999998"/>
  </r>
  <r>
    <n v="2012"/>
    <x v="5"/>
    <s v="CHA"/>
    <n v="2"/>
    <s v="N"/>
    <s v="N"/>
    <s v="N"/>
    <s v="N"/>
    <n v="85"/>
    <n v="77"/>
    <n v="748"/>
    <n v="5518"/>
    <n v="1409"/>
    <n v="228"/>
    <n v="29"/>
    <n v="211"/>
    <n v="461"/>
    <n v="1203"/>
    <n v="109"/>
    <n v="43"/>
    <n v="65"/>
    <n v="36"/>
    <n v="676"/>
    <n v="646"/>
    <n v="4.0199999999999996"/>
    <n v="6"/>
    <n v="11"/>
    <n v="37"/>
    <n v="4337"/>
    <n v="1365"/>
    <n v="186"/>
    <n v="503"/>
    <n v="1246"/>
    <n v="70"/>
    <n v="154"/>
    <n v="0.98799999999999999"/>
  </r>
  <r>
    <n v="2012"/>
    <x v="6"/>
    <s v="CHN"/>
    <n v="5"/>
    <s v="N"/>
    <s v="N"/>
    <s v="N"/>
    <s v="N"/>
    <n v="61"/>
    <n v="101"/>
    <n v="613"/>
    <n v="5411"/>
    <n v="1297"/>
    <n v="265"/>
    <n v="36"/>
    <n v="137"/>
    <n v="447"/>
    <n v="1235"/>
    <n v="94"/>
    <n v="45"/>
    <n v="43"/>
    <n v="24"/>
    <n v="759"/>
    <n v="708"/>
    <n v="4.51"/>
    <n v="1"/>
    <n v="9"/>
    <n v="28"/>
    <n v="4241"/>
    <n v="1399"/>
    <n v="175"/>
    <n v="573"/>
    <n v="1128"/>
    <n v="105"/>
    <n v="148"/>
    <n v="0.98199999999999998"/>
  </r>
  <r>
    <n v="2012"/>
    <x v="7"/>
    <s v="CIN"/>
    <n v="1"/>
    <s v="Y"/>
    <s v="N"/>
    <s v="N"/>
    <s v="N"/>
    <n v="97"/>
    <n v="65"/>
    <n v="669"/>
    <n v="5477"/>
    <n v="1377"/>
    <n v="296"/>
    <n v="30"/>
    <n v="172"/>
    <n v="481"/>
    <n v="1266"/>
    <n v="87"/>
    <n v="27"/>
    <n v="47"/>
    <n v="37"/>
    <n v="588"/>
    <n v="540"/>
    <n v="3.34"/>
    <n v="9"/>
    <n v="12"/>
    <n v="56"/>
    <n v="4359"/>
    <n v="1356"/>
    <n v="152"/>
    <n v="427"/>
    <n v="1248"/>
    <n v="89"/>
    <n v="113"/>
    <n v="0.98499999999999999"/>
  </r>
  <r>
    <n v="2012"/>
    <x v="8"/>
    <s v="CLE"/>
    <n v="4"/>
    <s v="N"/>
    <s v="N"/>
    <s v="N"/>
    <s v="N"/>
    <n v="68"/>
    <n v="94"/>
    <n v="667"/>
    <n v="5525"/>
    <n v="1385"/>
    <n v="266"/>
    <n v="24"/>
    <n v="136"/>
    <n v="555"/>
    <n v="1087"/>
    <n v="110"/>
    <n v="44"/>
    <n v="59"/>
    <n v="39"/>
    <n v="845"/>
    <n v="766"/>
    <n v="4.78"/>
    <n v="2"/>
    <n v="6"/>
    <n v="43"/>
    <n v="4326"/>
    <n v="1503"/>
    <n v="174"/>
    <n v="543"/>
    <n v="1086"/>
    <n v="96"/>
    <n v="157"/>
    <n v="0.98399999999999999"/>
  </r>
  <r>
    <n v="2012"/>
    <x v="9"/>
    <s v="COL"/>
    <n v="5"/>
    <s v="N"/>
    <s v="N"/>
    <s v="N"/>
    <s v="N"/>
    <n v="64"/>
    <n v="98"/>
    <n v="758"/>
    <n v="5577"/>
    <n v="1526"/>
    <n v="306"/>
    <n v="52"/>
    <n v="166"/>
    <n v="450"/>
    <n v="1213"/>
    <n v="100"/>
    <n v="40"/>
    <n v="36"/>
    <n v="39"/>
    <n v="890"/>
    <n v="824"/>
    <n v="5.22"/>
    <n v="0"/>
    <n v="7"/>
    <n v="36"/>
    <n v="4266"/>
    <n v="1637"/>
    <n v="198"/>
    <n v="566"/>
    <n v="1144"/>
    <n v="122"/>
    <n v="139"/>
    <n v="0.98"/>
  </r>
  <r>
    <n v="2012"/>
    <x v="10"/>
    <s v="DET"/>
    <n v="1"/>
    <s v="Y"/>
    <s v="N"/>
    <s v="Y"/>
    <s v="N"/>
    <n v="88"/>
    <n v="74"/>
    <n v="726"/>
    <n v="5476"/>
    <n v="1467"/>
    <n v="279"/>
    <n v="39"/>
    <n v="163"/>
    <n v="511"/>
    <n v="1103"/>
    <n v="59"/>
    <n v="23"/>
    <n v="57"/>
    <n v="39"/>
    <n v="670"/>
    <n v="596"/>
    <n v="3.75"/>
    <n v="9"/>
    <n v="8"/>
    <n v="40"/>
    <n v="4292"/>
    <n v="1409"/>
    <n v="151"/>
    <n v="438"/>
    <n v="1318"/>
    <n v="99"/>
    <n v="127"/>
    <n v="0.98299999999999998"/>
  </r>
  <r>
    <n v="2012"/>
    <x v="12"/>
    <s v="HOU"/>
    <n v="6"/>
    <s v="N"/>
    <s v="N"/>
    <s v="N"/>
    <s v="N"/>
    <n v="55"/>
    <n v="107"/>
    <n v="583"/>
    <n v="5407"/>
    <n v="1276"/>
    <n v="238"/>
    <n v="28"/>
    <n v="146"/>
    <n v="463"/>
    <n v="1365"/>
    <n v="105"/>
    <n v="46"/>
    <n v="58"/>
    <n v="30"/>
    <n v="794"/>
    <n v="721"/>
    <n v="4.5599999999999996"/>
    <n v="3"/>
    <n v="11"/>
    <n v="31"/>
    <n v="4270"/>
    <n v="1493"/>
    <n v="173"/>
    <n v="540"/>
    <n v="1170"/>
    <n v="118"/>
    <n v="132"/>
    <n v="0.98099999999999998"/>
  </r>
  <r>
    <n v="2012"/>
    <x v="13"/>
    <s v="KCA"/>
    <n v="3"/>
    <s v="N"/>
    <s v="N"/>
    <s v="N"/>
    <s v="N"/>
    <n v="72"/>
    <n v="90"/>
    <n v="676"/>
    <n v="5636"/>
    <n v="1492"/>
    <n v="295"/>
    <n v="37"/>
    <n v="131"/>
    <n v="404"/>
    <n v="1032"/>
    <n v="132"/>
    <n v="38"/>
    <n v="42"/>
    <n v="41"/>
    <n v="746"/>
    <n v="693"/>
    <n v="4.3"/>
    <n v="2"/>
    <n v="12"/>
    <n v="44"/>
    <n v="4354"/>
    <n v="1504"/>
    <n v="163"/>
    <n v="542"/>
    <n v="1177"/>
    <n v="113"/>
    <n v="171"/>
    <n v="0.98099999999999998"/>
  </r>
  <r>
    <n v="2012"/>
    <x v="30"/>
    <s v="LAA"/>
    <n v="3"/>
    <s v="N"/>
    <s v="N"/>
    <s v="N"/>
    <s v="N"/>
    <n v="89"/>
    <n v="73"/>
    <n v="767"/>
    <n v="5536"/>
    <n v="1518"/>
    <n v="273"/>
    <n v="22"/>
    <n v="187"/>
    <n v="449"/>
    <n v="1113"/>
    <n v="134"/>
    <n v="33"/>
    <n v="47"/>
    <n v="41"/>
    <n v="699"/>
    <n v="640"/>
    <n v="4.0199999999999996"/>
    <n v="6"/>
    <n v="16"/>
    <n v="38"/>
    <n v="4300"/>
    <n v="1339"/>
    <n v="186"/>
    <n v="483"/>
    <n v="1157"/>
    <n v="98"/>
    <n v="141"/>
    <n v="0.98399999999999999"/>
  </r>
  <r>
    <n v="2012"/>
    <x v="14"/>
    <s v="LAN"/>
    <n v="2"/>
    <s v="N"/>
    <s v="N"/>
    <s v="N"/>
    <s v="N"/>
    <n v="86"/>
    <n v="76"/>
    <n v="637"/>
    <n v="5438"/>
    <n v="1369"/>
    <n v="269"/>
    <n v="23"/>
    <n v="116"/>
    <n v="481"/>
    <n v="1156"/>
    <n v="104"/>
    <n v="44"/>
    <n v="52"/>
    <n v="38"/>
    <n v="597"/>
    <n v="538"/>
    <n v="3.34"/>
    <n v="2"/>
    <n v="10"/>
    <n v="40"/>
    <n v="4349"/>
    <n v="1277"/>
    <n v="122"/>
    <n v="539"/>
    <n v="1276"/>
    <n v="98"/>
    <n v="138"/>
    <n v="0.98399999999999999"/>
  </r>
  <r>
    <n v="2012"/>
    <x v="33"/>
    <s v="MIA"/>
    <n v="5"/>
    <s v="N"/>
    <s v="N"/>
    <s v="N"/>
    <s v="N"/>
    <n v="69"/>
    <n v="93"/>
    <n v="609"/>
    <n v="5437"/>
    <n v="1327"/>
    <n v="261"/>
    <n v="39"/>
    <n v="137"/>
    <n v="484"/>
    <n v="1228"/>
    <n v="149"/>
    <n v="41"/>
    <n v="35"/>
    <n v="40"/>
    <n v="724"/>
    <n v="655"/>
    <n v="4.09"/>
    <n v="5"/>
    <n v="7"/>
    <n v="38"/>
    <n v="4322"/>
    <n v="1448"/>
    <n v="133"/>
    <n v="495"/>
    <n v="1113"/>
    <n v="103"/>
    <n v="154"/>
    <n v="0.98299999999999998"/>
  </r>
  <r>
    <n v="2012"/>
    <x v="15"/>
    <s v="MIL"/>
    <n v="3"/>
    <s v="N"/>
    <s v="N"/>
    <s v="N"/>
    <s v="N"/>
    <n v="83"/>
    <n v="79"/>
    <n v="776"/>
    <n v="5557"/>
    <n v="1442"/>
    <n v="300"/>
    <n v="39"/>
    <n v="202"/>
    <n v="466"/>
    <n v="1240"/>
    <n v="158"/>
    <n v="39"/>
    <n v="90"/>
    <n v="35"/>
    <n v="733"/>
    <n v="682"/>
    <n v="4.22"/>
    <n v="0"/>
    <n v="9"/>
    <n v="44"/>
    <n v="4361"/>
    <n v="1458"/>
    <n v="169"/>
    <n v="525"/>
    <n v="1402"/>
    <n v="99"/>
    <n v="133"/>
    <n v="0.98299999999999998"/>
  </r>
  <r>
    <n v="2012"/>
    <x v="16"/>
    <s v="MIN"/>
    <n v="5"/>
    <s v="N"/>
    <s v="N"/>
    <s v="N"/>
    <s v="N"/>
    <n v="66"/>
    <n v="96"/>
    <n v="701"/>
    <n v="5562"/>
    <n v="1448"/>
    <n v="270"/>
    <n v="30"/>
    <n v="131"/>
    <n v="505"/>
    <n v="1069"/>
    <n v="135"/>
    <n v="37"/>
    <n v="53"/>
    <n v="56"/>
    <n v="832"/>
    <n v="762"/>
    <n v="4.7699999999999996"/>
    <n v="3"/>
    <n v="6"/>
    <n v="35"/>
    <n v="4316"/>
    <n v="1536"/>
    <n v="198"/>
    <n v="465"/>
    <n v="943"/>
    <n v="107"/>
    <n v="188"/>
    <n v="0.98299999999999998"/>
  </r>
  <r>
    <n v="2012"/>
    <x v="18"/>
    <s v="NYA"/>
    <n v="1"/>
    <s v="Y"/>
    <s v="N"/>
    <s v="N"/>
    <s v="N"/>
    <n v="95"/>
    <n v="67"/>
    <n v="804"/>
    <n v="5524"/>
    <n v="1462"/>
    <n v="280"/>
    <n v="13"/>
    <n v="245"/>
    <n v="565"/>
    <n v="1176"/>
    <n v="93"/>
    <n v="27"/>
    <n v="62"/>
    <n v="49"/>
    <n v="668"/>
    <n v="617"/>
    <n v="3.84"/>
    <n v="6"/>
    <n v="9"/>
    <n v="51"/>
    <n v="4336"/>
    <n v="1401"/>
    <n v="190"/>
    <n v="431"/>
    <n v="1318"/>
    <n v="75"/>
    <n v="135"/>
    <n v="0.98699999999999999"/>
  </r>
  <r>
    <n v="2012"/>
    <x v="19"/>
    <s v="NYN"/>
    <n v="4"/>
    <s v="N"/>
    <s v="N"/>
    <s v="N"/>
    <s v="N"/>
    <n v="74"/>
    <n v="88"/>
    <n v="650"/>
    <n v="5450"/>
    <n v="1357"/>
    <n v="286"/>
    <n v="21"/>
    <n v="139"/>
    <n v="503"/>
    <n v="1250"/>
    <n v="79"/>
    <n v="38"/>
    <n v="42"/>
    <n v="30"/>
    <n v="709"/>
    <n v="651"/>
    <n v="4.09"/>
    <n v="7"/>
    <n v="13"/>
    <n v="36"/>
    <n v="4302"/>
    <n v="1368"/>
    <n v="161"/>
    <n v="488"/>
    <n v="1240"/>
    <n v="101"/>
    <n v="135"/>
    <n v="0.98299999999999998"/>
  </r>
  <r>
    <n v="2012"/>
    <x v="20"/>
    <s v="OAK"/>
    <n v="1"/>
    <s v="Y"/>
    <s v="N"/>
    <s v="N"/>
    <s v="N"/>
    <n v="94"/>
    <n v="68"/>
    <n v="713"/>
    <n v="5527"/>
    <n v="1315"/>
    <n v="267"/>
    <n v="32"/>
    <n v="195"/>
    <n v="550"/>
    <n v="1387"/>
    <n v="122"/>
    <n v="32"/>
    <n v="45"/>
    <n v="34"/>
    <n v="614"/>
    <n v="569"/>
    <n v="3.48"/>
    <n v="1"/>
    <n v="13"/>
    <n v="47"/>
    <n v="4410"/>
    <n v="1360"/>
    <n v="147"/>
    <n v="462"/>
    <n v="1136"/>
    <n v="111"/>
    <n v="135"/>
    <n v="0.98199999999999998"/>
  </r>
  <r>
    <n v="2012"/>
    <x v="21"/>
    <s v="PHI"/>
    <n v="3"/>
    <s v="N"/>
    <s v="N"/>
    <s v="N"/>
    <s v="N"/>
    <n v="81"/>
    <n v="81"/>
    <n v="684"/>
    <n v="5544"/>
    <n v="1414"/>
    <n v="271"/>
    <n v="28"/>
    <n v="158"/>
    <n v="454"/>
    <n v="1094"/>
    <n v="116"/>
    <n v="23"/>
    <n v="63"/>
    <n v="39"/>
    <n v="680"/>
    <n v="618"/>
    <n v="3.83"/>
    <n v="5"/>
    <n v="11"/>
    <n v="42"/>
    <n v="4354"/>
    <n v="1387"/>
    <n v="178"/>
    <n v="409"/>
    <n v="1385"/>
    <n v="101"/>
    <n v="118"/>
    <n v="0.98299999999999998"/>
  </r>
  <r>
    <n v="2012"/>
    <x v="22"/>
    <s v="PIT"/>
    <n v="4"/>
    <s v="N"/>
    <s v="N"/>
    <s v="N"/>
    <s v="N"/>
    <n v="79"/>
    <n v="83"/>
    <n v="651"/>
    <n v="5412"/>
    <n v="1313"/>
    <n v="241"/>
    <n v="37"/>
    <n v="170"/>
    <n v="444"/>
    <n v="1354"/>
    <n v="73"/>
    <n v="52"/>
    <n v="51"/>
    <n v="45"/>
    <n v="674"/>
    <n v="615"/>
    <n v="3.86"/>
    <n v="2"/>
    <n v="10"/>
    <n v="45"/>
    <n v="4300"/>
    <n v="1357"/>
    <n v="153"/>
    <n v="490"/>
    <n v="1192"/>
    <n v="112"/>
    <n v="126"/>
    <n v="0.98199999999999998"/>
  </r>
  <r>
    <n v="2012"/>
    <x v="23"/>
    <s v="SDN"/>
    <n v="4"/>
    <s v="N"/>
    <s v="N"/>
    <s v="N"/>
    <s v="N"/>
    <n v="76"/>
    <n v="86"/>
    <n v="651"/>
    <n v="5422"/>
    <n v="1339"/>
    <n v="272"/>
    <n v="43"/>
    <n v="121"/>
    <n v="539"/>
    <n v="1238"/>
    <n v="155"/>
    <n v="46"/>
    <n v="54"/>
    <n v="34"/>
    <n v="710"/>
    <n v="640"/>
    <n v="4.01"/>
    <n v="4"/>
    <n v="11"/>
    <n v="43"/>
    <n v="4304"/>
    <n v="1356"/>
    <n v="162"/>
    <n v="539"/>
    <n v="1205"/>
    <n v="121"/>
    <n v="97"/>
    <n v="0.98"/>
  </r>
  <r>
    <n v="2012"/>
    <x v="24"/>
    <s v="SEA"/>
    <n v="4"/>
    <s v="N"/>
    <s v="N"/>
    <s v="N"/>
    <s v="N"/>
    <n v="75"/>
    <n v="87"/>
    <n v="619"/>
    <n v="5494"/>
    <n v="1285"/>
    <n v="241"/>
    <n v="27"/>
    <n v="149"/>
    <n v="466"/>
    <n v="1259"/>
    <n v="104"/>
    <n v="35"/>
    <n v="30"/>
    <n v="35"/>
    <n v="651"/>
    <n v="608"/>
    <n v="3.76"/>
    <n v="8"/>
    <n v="11"/>
    <n v="43"/>
    <n v="4370"/>
    <n v="1359"/>
    <n v="166"/>
    <n v="449"/>
    <n v="1166"/>
    <n v="72"/>
    <n v="155"/>
    <n v="0.98799999999999999"/>
  </r>
  <r>
    <n v="2012"/>
    <x v="25"/>
    <s v="SFN"/>
    <n v="1"/>
    <s v="Y"/>
    <s v="N"/>
    <s v="Y"/>
    <s v="Y"/>
    <n v="94"/>
    <n v="68"/>
    <n v="718"/>
    <n v="5558"/>
    <n v="1495"/>
    <n v="287"/>
    <n v="57"/>
    <n v="103"/>
    <n v="483"/>
    <n v="1097"/>
    <n v="118"/>
    <n v="39"/>
    <n v="29"/>
    <n v="61"/>
    <n v="649"/>
    <n v="593"/>
    <n v="3.68"/>
    <n v="5"/>
    <n v="14"/>
    <n v="53"/>
    <n v="4353"/>
    <n v="1361"/>
    <n v="142"/>
    <n v="489"/>
    <n v="1237"/>
    <n v="115"/>
    <n v="134"/>
    <n v="0.98099999999999998"/>
  </r>
  <r>
    <n v="2012"/>
    <x v="26"/>
    <s v="SLN"/>
    <n v="2"/>
    <s v="N"/>
    <s v="Y"/>
    <s v="N"/>
    <s v="N"/>
    <n v="88"/>
    <n v="74"/>
    <n v="765"/>
    <n v="5622"/>
    <n v="1526"/>
    <n v="290"/>
    <n v="37"/>
    <n v="159"/>
    <n v="533"/>
    <n v="1192"/>
    <n v="91"/>
    <n v="37"/>
    <n v="53"/>
    <n v="49"/>
    <n v="648"/>
    <n v="603"/>
    <n v="3.71"/>
    <n v="4"/>
    <n v="10"/>
    <n v="42"/>
    <n v="4388"/>
    <n v="1420"/>
    <n v="134"/>
    <n v="436"/>
    <n v="1218"/>
    <n v="107"/>
    <n v="149"/>
    <n v="0.98299999999999998"/>
  </r>
  <r>
    <n v="2012"/>
    <x v="32"/>
    <s v="TBA"/>
    <n v="3"/>
    <s v="N"/>
    <s v="N"/>
    <s v="N"/>
    <s v="N"/>
    <n v="90"/>
    <n v="72"/>
    <n v="697"/>
    <n v="5398"/>
    <n v="1293"/>
    <n v="250"/>
    <n v="30"/>
    <n v="175"/>
    <n v="571"/>
    <n v="1323"/>
    <n v="134"/>
    <n v="44"/>
    <n v="58"/>
    <n v="42"/>
    <n v="577"/>
    <n v="518"/>
    <n v="3.19"/>
    <n v="7"/>
    <n v="15"/>
    <n v="50"/>
    <n v="4379"/>
    <n v="1233"/>
    <n v="139"/>
    <n v="469"/>
    <n v="1383"/>
    <n v="114"/>
    <n v="155"/>
    <n v="0.98099999999999998"/>
  </r>
  <r>
    <n v="2012"/>
    <x v="28"/>
    <s v="TEX"/>
    <n v="2"/>
    <s v="N"/>
    <s v="Y"/>
    <s v="N"/>
    <s v="N"/>
    <n v="93"/>
    <n v="69"/>
    <n v="808"/>
    <n v="5590"/>
    <n v="1526"/>
    <n v="303"/>
    <n v="32"/>
    <n v="200"/>
    <n v="478"/>
    <n v="1103"/>
    <n v="91"/>
    <n v="44"/>
    <n v="57"/>
    <n v="53"/>
    <n v="707"/>
    <n v="639"/>
    <n v="3.99"/>
    <n v="7"/>
    <n v="10"/>
    <n v="43"/>
    <n v="4326"/>
    <n v="1378"/>
    <n v="175"/>
    <n v="446"/>
    <n v="1286"/>
    <n v="85"/>
    <n v="136"/>
    <n v="0.98599999999999999"/>
  </r>
  <r>
    <n v="2012"/>
    <x v="29"/>
    <s v="TOR"/>
    <n v="4"/>
    <s v="N"/>
    <s v="N"/>
    <s v="N"/>
    <s v="N"/>
    <n v="73"/>
    <n v="89"/>
    <n v="716"/>
    <n v="5487"/>
    <n v="1346"/>
    <n v="247"/>
    <n v="22"/>
    <n v="198"/>
    <n v="473"/>
    <n v="1251"/>
    <n v="123"/>
    <n v="41"/>
    <n v="55"/>
    <n v="45"/>
    <n v="784"/>
    <n v="745"/>
    <n v="4.6399999999999997"/>
    <n v="5"/>
    <n v="11"/>
    <n v="29"/>
    <n v="4331"/>
    <n v="1439"/>
    <n v="204"/>
    <n v="574"/>
    <n v="1142"/>
    <n v="101"/>
    <n v="167"/>
    <n v="0.98399999999999999"/>
  </r>
  <r>
    <n v="2012"/>
    <x v="31"/>
    <s v="WAS"/>
    <n v="1"/>
    <s v="Y"/>
    <s v="N"/>
    <s v="N"/>
    <s v="N"/>
    <n v="98"/>
    <n v="64"/>
    <n v="731"/>
    <n v="5615"/>
    <n v="1468"/>
    <n v="301"/>
    <n v="25"/>
    <n v="194"/>
    <n v="479"/>
    <n v="1325"/>
    <n v="105"/>
    <n v="35"/>
    <n v="41"/>
    <n v="36"/>
    <n v="594"/>
    <n v="543"/>
    <n v="3.33"/>
    <n v="3"/>
    <n v="9"/>
    <n v="51"/>
    <n v="4405"/>
    <n v="1296"/>
    <n v="129"/>
    <n v="497"/>
    <n v="1325"/>
    <n v="94"/>
    <n v="134"/>
    <n v="0.98499999999999999"/>
  </r>
  <r>
    <n v="2013"/>
    <x v="1"/>
    <s v="ARI"/>
    <n v="2"/>
    <s v="N"/>
    <s v="N"/>
    <s v="N"/>
    <s v="N"/>
    <n v="81"/>
    <n v="81"/>
    <n v="685"/>
    <n v="5676"/>
    <n v="1468"/>
    <n v="302"/>
    <n v="31"/>
    <n v="130"/>
    <n v="519"/>
    <n v="1142"/>
    <n v="62"/>
    <n v="41"/>
    <n v="43"/>
    <n v="43"/>
    <n v="695"/>
    <n v="651"/>
    <n v="3.92"/>
    <n v="6"/>
    <n v="7"/>
    <n v="38"/>
    <n v="4485"/>
    <n v="1460"/>
    <n v="176"/>
    <n v="485"/>
    <n v="1218"/>
    <n v="75"/>
    <n v="135"/>
    <n v="0.98799999999999999"/>
  </r>
  <r>
    <n v="2013"/>
    <x v="2"/>
    <s v="ATL"/>
    <n v="1"/>
    <s v="Y"/>
    <s v="N"/>
    <s v="N"/>
    <s v="N"/>
    <n v="96"/>
    <n v="66"/>
    <n v="688"/>
    <n v="5441"/>
    <n v="1354"/>
    <n v="247"/>
    <n v="21"/>
    <n v="181"/>
    <n v="542"/>
    <n v="1384"/>
    <n v="64"/>
    <n v="31"/>
    <n v="55"/>
    <n v="35"/>
    <n v="548"/>
    <n v="512"/>
    <n v="3.18"/>
    <n v="1"/>
    <n v="12"/>
    <n v="53"/>
    <n v="4351"/>
    <n v="1326"/>
    <n v="127"/>
    <n v="409"/>
    <n v="1232"/>
    <n v="85"/>
    <n v="141"/>
    <n v="0.98599999999999999"/>
  </r>
  <r>
    <n v="2013"/>
    <x v="3"/>
    <s v="BAL"/>
    <n v="3"/>
    <s v="N"/>
    <s v="N"/>
    <s v="N"/>
    <s v="N"/>
    <n v="85"/>
    <n v="77"/>
    <n v="745"/>
    <n v="5620"/>
    <n v="1460"/>
    <n v="298"/>
    <n v="14"/>
    <n v="212"/>
    <n v="416"/>
    <n v="1125"/>
    <n v="79"/>
    <n v="29"/>
    <n v="36"/>
    <n v="45"/>
    <n v="709"/>
    <n v="678"/>
    <n v="4.2"/>
    <n v="2"/>
    <n v="6"/>
    <n v="57"/>
    <n v="4359"/>
    <n v="1438"/>
    <n v="202"/>
    <n v="473"/>
    <n v="1169"/>
    <n v="54"/>
    <n v="165"/>
    <n v="0.99099999999999999"/>
  </r>
  <r>
    <n v="2013"/>
    <x v="4"/>
    <s v="BOS"/>
    <n v="1"/>
    <s v="Y"/>
    <s v="N"/>
    <s v="Y"/>
    <s v="Y"/>
    <n v="97"/>
    <n v="65"/>
    <n v="853"/>
    <n v="5651"/>
    <n v="1566"/>
    <n v="363"/>
    <n v="29"/>
    <n v="178"/>
    <n v="581"/>
    <n v="1308"/>
    <n v="123"/>
    <n v="19"/>
    <n v="72"/>
    <n v="50"/>
    <n v="656"/>
    <n v="613"/>
    <n v="3.79"/>
    <n v="5"/>
    <n v="8"/>
    <n v="33"/>
    <n v="4362"/>
    <n v="1366"/>
    <n v="156"/>
    <n v="524"/>
    <n v="1294"/>
    <n v="80"/>
    <n v="142"/>
    <n v="0.98699999999999999"/>
  </r>
  <r>
    <n v="2013"/>
    <x v="5"/>
    <s v="CHA"/>
    <n v="5"/>
    <s v="N"/>
    <s v="N"/>
    <s v="N"/>
    <s v="N"/>
    <n v="63"/>
    <n v="99"/>
    <n v="598"/>
    <n v="5563"/>
    <n v="1385"/>
    <n v="237"/>
    <n v="19"/>
    <n v="148"/>
    <n v="411"/>
    <n v="1207"/>
    <n v="105"/>
    <n v="42"/>
    <n v="34"/>
    <n v="48"/>
    <n v="723"/>
    <n v="643"/>
    <n v="3.98"/>
    <n v="5"/>
    <n v="5"/>
    <n v="40"/>
    <n v="4365"/>
    <n v="1424"/>
    <n v="182"/>
    <n v="509"/>
    <n v="1249"/>
    <n v="121"/>
    <n v="155"/>
    <n v="0.98"/>
  </r>
  <r>
    <n v="2013"/>
    <x v="6"/>
    <s v="CHN"/>
    <n v="5"/>
    <s v="N"/>
    <s v="N"/>
    <s v="N"/>
    <s v="N"/>
    <n v="66"/>
    <n v="96"/>
    <n v="602"/>
    <n v="5498"/>
    <n v="1307"/>
    <n v="297"/>
    <n v="18"/>
    <n v="172"/>
    <n v="439"/>
    <n v="1230"/>
    <n v="63"/>
    <n v="32"/>
    <n v="67"/>
    <n v="30"/>
    <n v="689"/>
    <n v="643"/>
    <n v="4"/>
    <n v="3"/>
    <n v="6"/>
    <n v="39"/>
    <n v="4344"/>
    <n v="1332"/>
    <n v="160"/>
    <n v="540"/>
    <n v="1184"/>
    <n v="100"/>
    <n v="129"/>
    <n v="0.98299999999999998"/>
  </r>
  <r>
    <n v="2013"/>
    <x v="7"/>
    <s v="CIN"/>
    <n v="3"/>
    <s v="N"/>
    <s v="Y"/>
    <s v="N"/>
    <s v="N"/>
    <n v="90"/>
    <n v="72"/>
    <n v="698"/>
    <n v="5499"/>
    <n v="1370"/>
    <n v="274"/>
    <n v="20"/>
    <n v="155"/>
    <n v="585"/>
    <n v="1245"/>
    <n v="67"/>
    <n v="35"/>
    <n v="76"/>
    <n v="46"/>
    <n v="589"/>
    <n v="554"/>
    <n v="3.38"/>
    <n v="5"/>
    <n v="17"/>
    <n v="43"/>
    <n v="4421"/>
    <n v="1294"/>
    <n v="170"/>
    <n v="435"/>
    <n v="1296"/>
    <n v="76"/>
    <n v="131"/>
    <n v="0.98799999999999999"/>
  </r>
  <r>
    <n v="2013"/>
    <x v="8"/>
    <s v="CLE"/>
    <n v="2"/>
    <s v="N"/>
    <s v="Y"/>
    <s v="N"/>
    <s v="N"/>
    <n v="92"/>
    <n v="70"/>
    <n v="745"/>
    <n v="5465"/>
    <n v="1391"/>
    <n v="290"/>
    <n v="23"/>
    <n v="171"/>
    <n v="562"/>
    <n v="1283"/>
    <n v="117"/>
    <n v="36"/>
    <n v="51"/>
    <n v="56"/>
    <n v="662"/>
    <n v="611"/>
    <n v="3.82"/>
    <n v="3"/>
    <n v="16"/>
    <n v="38"/>
    <n v="4324"/>
    <n v="1359"/>
    <n v="147"/>
    <n v="554"/>
    <n v="1379"/>
    <n v="98"/>
    <n v="135"/>
    <n v="0.98299999999999998"/>
  </r>
  <r>
    <n v="2013"/>
    <x v="9"/>
    <s v="COL"/>
    <n v="5"/>
    <s v="N"/>
    <s v="N"/>
    <s v="N"/>
    <s v="N"/>
    <n v="74"/>
    <n v="88"/>
    <n v="706"/>
    <n v="5599"/>
    <n v="1511"/>
    <n v="283"/>
    <n v="36"/>
    <n v="159"/>
    <n v="427"/>
    <n v="1204"/>
    <n v="112"/>
    <n v="32"/>
    <n v="26"/>
    <n v="35"/>
    <n v="760"/>
    <n v="708"/>
    <n v="4.4400000000000004"/>
    <n v="1"/>
    <n v="5"/>
    <n v="35"/>
    <n v="4308"/>
    <n v="1545"/>
    <n v="136"/>
    <n v="517"/>
    <n v="1064"/>
    <n v="90"/>
    <n v="162"/>
    <n v="0.98599999999999999"/>
  </r>
  <r>
    <n v="2013"/>
    <x v="10"/>
    <s v="DET"/>
    <n v="1"/>
    <s v="Y"/>
    <s v="N"/>
    <s v="N"/>
    <s v="N"/>
    <n v="93"/>
    <n v="69"/>
    <n v="796"/>
    <n v="5735"/>
    <n v="1625"/>
    <n v="292"/>
    <n v="23"/>
    <n v="176"/>
    <n v="531"/>
    <n v="1073"/>
    <n v="35"/>
    <n v="20"/>
    <n v="43"/>
    <n v="47"/>
    <n v="624"/>
    <n v="587"/>
    <n v="3.61"/>
    <n v="3"/>
    <n v="12"/>
    <n v="39"/>
    <n v="4388"/>
    <n v="1369"/>
    <n v="128"/>
    <n v="462"/>
    <n v="1428"/>
    <n v="76"/>
    <n v="136"/>
    <n v="0.98699999999999999"/>
  </r>
  <r>
    <n v="2013"/>
    <x v="12"/>
    <s v="HOU"/>
    <n v="5"/>
    <s v="N"/>
    <s v="N"/>
    <s v="N"/>
    <s v="N"/>
    <n v="51"/>
    <n v="111"/>
    <n v="610"/>
    <n v="5457"/>
    <n v="1307"/>
    <n v="266"/>
    <n v="16"/>
    <n v="148"/>
    <n v="426"/>
    <n v="1535"/>
    <n v="110"/>
    <n v="61"/>
    <n v="52"/>
    <n v="38"/>
    <n v="848"/>
    <n v="766"/>
    <n v="4.79"/>
    <n v="2"/>
    <n v="5"/>
    <n v="32"/>
    <n v="4320"/>
    <n v="1530"/>
    <n v="191"/>
    <n v="616"/>
    <n v="1084"/>
    <n v="125"/>
    <n v="168"/>
    <n v="0.97899999999999998"/>
  </r>
  <r>
    <n v="2013"/>
    <x v="13"/>
    <s v="KCA"/>
    <n v="3"/>
    <s v="N"/>
    <s v="N"/>
    <s v="N"/>
    <s v="N"/>
    <n v="86"/>
    <n v="76"/>
    <n v="648"/>
    <n v="5549"/>
    <n v="1443"/>
    <n v="254"/>
    <n v="34"/>
    <n v="112"/>
    <n v="422"/>
    <n v="1048"/>
    <n v="153"/>
    <n v="32"/>
    <n v="42"/>
    <n v="42"/>
    <n v="601"/>
    <n v="555"/>
    <n v="3.45"/>
    <n v="5"/>
    <n v="12"/>
    <n v="52"/>
    <n v="4345"/>
    <n v="1366"/>
    <n v="155"/>
    <n v="469"/>
    <n v="1208"/>
    <n v="85"/>
    <n v="136"/>
    <n v="0.98599999999999999"/>
  </r>
  <r>
    <n v="2013"/>
    <x v="30"/>
    <s v="LAA"/>
    <n v="3"/>
    <s v="N"/>
    <s v="N"/>
    <s v="N"/>
    <s v="N"/>
    <n v="78"/>
    <n v="84"/>
    <n v="733"/>
    <n v="5588"/>
    <n v="1476"/>
    <n v="270"/>
    <n v="39"/>
    <n v="164"/>
    <n v="523"/>
    <n v="1221"/>
    <n v="82"/>
    <n v="34"/>
    <n v="48"/>
    <n v="64"/>
    <n v="737"/>
    <n v="685"/>
    <n v="4.2300000000000004"/>
    <n v="4"/>
    <n v="12"/>
    <n v="41"/>
    <n v="4373"/>
    <n v="1475"/>
    <n v="167"/>
    <n v="533"/>
    <n v="1200"/>
    <n v="112"/>
    <n v="135"/>
    <n v="0.98099999999999998"/>
  </r>
  <r>
    <n v="2013"/>
    <x v="14"/>
    <s v="LAN"/>
    <n v="1"/>
    <s v="Y"/>
    <s v="N"/>
    <s v="N"/>
    <s v="N"/>
    <n v="92"/>
    <n v="70"/>
    <n v="649"/>
    <n v="5491"/>
    <n v="1447"/>
    <n v="281"/>
    <n v="17"/>
    <n v="138"/>
    <n v="476"/>
    <n v="1146"/>
    <n v="78"/>
    <n v="28"/>
    <n v="57"/>
    <n v="48"/>
    <n v="582"/>
    <n v="524"/>
    <n v="3.25"/>
    <n v="7"/>
    <n v="22"/>
    <n v="46"/>
    <n v="4351"/>
    <n v="1321"/>
    <n v="127"/>
    <n v="460"/>
    <n v="1292"/>
    <n v="109"/>
    <n v="160"/>
    <n v="0.98199999999999998"/>
  </r>
  <r>
    <n v="2013"/>
    <x v="33"/>
    <s v="MIA"/>
    <n v="5"/>
    <s v="N"/>
    <s v="N"/>
    <s v="N"/>
    <s v="N"/>
    <n v="62"/>
    <n v="100"/>
    <n v="513"/>
    <n v="5449"/>
    <n v="1257"/>
    <n v="219"/>
    <n v="31"/>
    <n v="95"/>
    <n v="432"/>
    <n v="1232"/>
    <n v="78"/>
    <n v="29"/>
    <n v="56"/>
    <n v="26"/>
    <n v="646"/>
    <n v="602"/>
    <n v="3.71"/>
    <n v="2"/>
    <n v="13"/>
    <n v="36"/>
    <n v="4380"/>
    <n v="1376"/>
    <n v="121"/>
    <n v="526"/>
    <n v="1177"/>
    <n v="88"/>
    <n v="144"/>
    <n v="0.98599999999999999"/>
  </r>
  <r>
    <n v="2013"/>
    <x v="15"/>
    <s v="MIL"/>
    <n v="4"/>
    <s v="N"/>
    <s v="N"/>
    <s v="N"/>
    <s v="N"/>
    <n v="74"/>
    <n v="88"/>
    <n v="640"/>
    <n v="5474"/>
    <n v="1381"/>
    <n v="238"/>
    <n v="43"/>
    <n v="157"/>
    <n v="407"/>
    <n v="1183"/>
    <n v="142"/>
    <n v="50"/>
    <n v="71"/>
    <n v="35"/>
    <n v="687"/>
    <n v="615"/>
    <n v="3.84"/>
    <n v="4"/>
    <n v="15"/>
    <n v="40"/>
    <n v="4328"/>
    <n v="1401"/>
    <n v="175"/>
    <n v="466"/>
    <n v="1125"/>
    <n v="114"/>
    <n v="153"/>
    <n v="0.98099999999999998"/>
  </r>
  <r>
    <n v="2013"/>
    <x v="16"/>
    <s v="MIN"/>
    <n v="4"/>
    <s v="N"/>
    <s v="N"/>
    <s v="N"/>
    <s v="N"/>
    <n v="66"/>
    <n v="96"/>
    <n v="614"/>
    <n v="5564"/>
    <n v="1346"/>
    <n v="285"/>
    <n v="15"/>
    <n v="151"/>
    <n v="533"/>
    <n v="1430"/>
    <n v="52"/>
    <n v="33"/>
    <n v="52"/>
    <n v="32"/>
    <n v="788"/>
    <n v="733"/>
    <n v="4.55"/>
    <n v="1"/>
    <n v="7"/>
    <n v="40"/>
    <n v="4351"/>
    <n v="1591"/>
    <n v="168"/>
    <n v="458"/>
    <n v="985"/>
    <n v="81"/>
    <n v="178"/>
    <n v="0.98699999999999999"/>
  </r>
  <r>
    <n v="2013"/>
    <x v="18"/>
    <s v="NYA"/>
    <n v="4"/>
    <s v="N"/>
    <s v="N"/>
    <s v="N"/>
    <s v="N"/>
    <n v="85"/>
    <n v="77"/>
    <n v="650"/>
    <n v="5449"/>
    <n v="1321"/>
    <n v="247"/>
    <n v="24"/>
    <n v="144"/>
    <n v="466"/>
    <n v="1214"/>
    <n v="115"/>
    <n v="31"/>
    <n v="57"/>
    <n v="36"/>
    <n v="671"/>
    <n v="633"/>
    <n v="3.94"/>
    <n v="7"/>
    <n v="10"/>
    <n v="49"/>
    <n v="4342"/>
    <n v="1452"/>
    <n v="171"/>
    <n v="437"/>
    <n v="1233"/>
    <n v="69"/>
    <n v="139"/>
    <n v="0.98799999999999999"/>
  </r>
  <r>
    <n v="2013"/>
    <x v="19"/>
    <s v="NYN"/>
    <n v="4"/>
    <s v="N"/>
    <s v="N"/>
    <s v="N"/>
    <s v="N"/>
    <n v="74"/>
    <n v="88"/>
    <n v="619"/>
    <n v="5559"/>
    <n v="1318"/>
    <n v="263"/>
    <n v="32"/>
    <n v="130"/>
    <n v="512"/>
    <n v="1384"/>
    <n v="114"/>
    <n v="35"/>
    <n v="51"/>
    <n v="32"/>
    <n v="684"/>
    <n v="618"/>
    <n v="3.77"/>
    <n v="4"/>
    <n v="10"/>
    <n v="40"/>
    <n v="4430"/>
    <n v="1442"/>
    <n v="152"/>
    <n v="458"/>
    <n v="1209"/>
    <n v="93"/>
    <n v="127"/>
    <n v="0.98499999999999999"/>
  </r>
  <r>
    <n v="2013"/>
    <x v="20"/>
    <s v="OAK"/>
    <n v="1"/>
    <s v="Y"/>
    <s v="N"/>
    <s v="N"/>
    <s v="N"/>
    <n v="96"/>
    <n v="66"/>
    <n v="767"/>
    <n v="5521"/>
    <n v="1403"/>
    <n v="301"/>
    <n v="25"/>
    <n v="186"/>
    <n v="573"/>
    <n v="1178"/>
    <n v="74"/>
    <n v="28"/>
    <n v="45"/>
    <n v="49"/>
    <n v="625"/>
    <n v="574"/>
    <n v="3.56"/>
    <n v="6"/>
    <n v="13"/>
    <n v="46"/>
    <n v="4356"/>
    <n v="1339"/>
    <n v="163"/>
    <n v="428"/>
    <n v="1183"/>
    <n v="97"/>
    <n v="112"/>
    <n v="0.98299999999999998"/>
  </r>
  <r>
    <n v="2013"/>
    <x v="21"/>
    <s v="PHI"/>
    <n v="4"/>
    <s v="N"/>
    <s v="N"/>
    <s v="N"/>
    <s v="N"/>
    <n v="73"/>
    <n v="89"/>
    <n v="610"/>
    <n v="5456"/>
    <n v="1355"/>
    <n v="255"/>
    <n v="32"/>
    <n v="140"/>
    <n v="417"/>
    <n v="1205"/>
    <n v="73"/>
    <n v="29"/>
    <n v="53"/>
    <n v="31"/>
    <n v="749"/>
    <n v="689"/>
    <n v="4.32"/>
    <n v="6"/>
    <n v="3"/>
    <n v="32"/>
    <n v="4309"/>
    <n v="1465"/>
    <n v="152"/>
    <n v="506"/>
    <n v="1199"/>
    <n v="97"/>
    <n v="141"/>
    <n v="0.98399999999999999"/>
  </r>
  <r>
    <n v="2013"/>
    <x v="22"/>
    <s v="PIT"/>
    <n v="2"/>
    <s v="N"/>
    <s v="Y"/>
    <s v="N"/>
    <s v="N"/>
    <n v="94"/>
    <n v="68"/>
    <n v="634"/>
    <n v="5486"/>
    <n v="1346"/>
    <n v="273"/>
    <n v="35"/>
    <n v="161"/>
    <n v="469"/>
    <n v="1330"/>
    <n v="94"/>
    <n v="42"/>
    <n v="88"/>
    <n v="29"/>
    <n v="577"/>
    <n v="533"/>
    <n v="3.26"/>
    <n v="3"/>
    <n v="16"/>
    <n v="55"/>
    <n v="4412"/>
    <n v="1299"/>
    <n v="101"/>
    <n v="515"/>
    <n v="1261"/>
    <n v="106"/>
    <n v="154"/>
    <n v="0.98399999999999999"/>
  </r>
  <r>
    <n v="2013"/>
    <x v="23"/>
    <s v="SDN"/>
    <n v="3"/>
    <s v="N"/>
    <s v="N"/>
    <s v="N"/>
    <s v="N"/>
    <n v="76"/>
    <n v="86"/>
    <n v="618"/>
    <n v="5517"/>
    <n v="1349"/>
    <n v="246"/>
    <n v="26"/>
    <n v="146"/>
    <n v="467"/>
    <n v="1309"/>
    <n v="118"/>
    <n v="34"/>
    <n v="52"/>
    <n v="34"/>
    <n v="700"/>
    <n v="643"/>
    <n v="3.98"/>
    <n v="3"/>
    <n v="6"/>
    <n v="40"/>
    <n v="4365"/>
    <n v="1407"/>
    <n v="156"/>
    <n v="525"/>
    <n v="1171"/>
    <n v="83"/>
    <n v="140"/>
    <n v="0.98599999999999999"/>
  </r>
  <r>
    <n v="2013"/>
    <x v="24"/>
    <s v="SEA"/>
    <n v="4"/>
    <s v="N"/>
    <s v="N"/>
    <s v="N"/>
    <s v="N"/>
    <n v="71"/>
    <n v="91"/>
    <n v="624"/>
    <n v="5558"/>
    <n v="1318"/>
    <n v="249"/>
    <n v="17"/>
    <n v="188"/>
    <n v="529"/>
    <n v="1353"/>
    <n v="49"/>
    <n v="23"/>
    <n v="31"/>
    <n v="28"/>
    <n v="754"/>
    <n v="702"/>
    <n v="4.3099999999999996"/>
    <n v="4"/>
    <n v="14"/>
    <n v="43"/>
    <n v="4395"/>
    <n v="1467"/>
    <n v="174"/>
    <n v="478"/>
    <n v="1297"/>
    <n v="88"/>
    <n v="149"/>
    <n v="0.98599999999999999"/>
  </r>
  <r>
    <n v="2013"/>
    <x v="25"/>
    <s v="SFN"/>
    <n v="4"/>
    <s v="N"/>
    <s v="N"/>
    <s v="N"/>
    <s v="N"/>
    <n v="76"/>
    <n v="86"/>
    <n v="629"/>
    <n v="5552"/>
    <n v="1446"/>
    <n v="280"/>
    <n v="35"/>
    <n v="107"/>
    <n v="469"/>
    <n v="1078"/>
    <n v="67"/>
    <n v="26"/>
    <n v="39"/>
    <n v="42"/>
    <n v="691"/>
    <n v="643"/>
    <n v="4"/>
    <n v="2"/>
    <n v="13"/>
    <n v="41"/>
    <n v="4342"/>
    <n v="1380"/>
    <n v="145"/>
    <n v="521"/>
    <n v="1256"/>
    <n v="107"/>
    <n v="128"/>
    <n v="0.98199999999999998"/>
  </r>
  <r>
    <n v="2013"/>
    <x v="26"/>
    <s v="SLN"/>
    <n v="1"/>
    <s v="Y"/>
    <s v="N"/>
    <s v="Y"/>
    <s v="N"/>
    <n v="97"/>
    <n v="65"/>
    <n v="783"/>
    <n v="5557"/>
    <n v="1494"/>
    <n v="322"/>
    <n v="20"/>
    <n v="125"/>
    <n v="481"/>
    <n v="1110"/>
    <n v="45"/>
    <n v="22"/>
    <n v="64"/>
    <n v="44"/>
    <n v="596"/>
    <n v="555"/>
    <n v="3.42"/>
    <n v="7"/>
    <n v="15"/>
    <n v="44"/>
    <n v="4379"/>
    <n v="1366"/>
    <n v="112"/>
    <n v="451"/>
    <n v="1254"/>
    <n v="75"/>
    <n v="177"/>
    <n v="0.98799999999999999"/>
  </r>
  <r>
    <n v="2013"/>
    <x v="32"/>
    <s v="TBA"/>
    <n v="2"/>
    <s v="N"/>
    <s v="Y"/>
    <s v="N"/>
    <s v="N"/>
    <n v="92"/>
    <n v="71"/>
    <n v="700"/>
    <n v="5538"/>
    <n v="1421"/>
    <n v="296"/>
    <n v="23"/>
    <n v="165"/>
    <n v="589"/>
    <n v="1171"/>
    <n v="73"/>
    <n v="38"/>
    <n v="36"/>
    <n v="55"/>
    <n v="646"/>
    <n v="608"/>
    <n v="3.74"/>
    <n v="9"/>
    <n v="17"/>
    <n v="42"/>
    <n v="4392"/>
    <n v="1315"/>
    <n v="153"/>
    <n v="482"/>
    <n v="1310"/>
    <n v="59"/>
    <n v="147"/>
    <n v="0.99"/>
  </r>
  <r>
    <n v="2013"/>
    <x v="28"/>
    <s v="TEX"/>
    <n v="2"/>
    <s v="N"/>
    <s v="N"/>
    <s v="N"/>
    <s v="N"/>
    <n v="91"/>
    <n v="72"/>
    <n v="730"/>
    <n v="5585"/>
    <n v="1465"/>
    <n v="262"/>
    <n v="23"/>
    <n v="176"/>
    <n v="462"/>
    <n v="1067"/>
    <n v="149"/>
    <n v="46"/>
    <n v="61"/>
    <n v="42"/>
    <n v="636"/>
    <n v="589"/>
    <n v="3.62"/>
    <n v="4"/>
    <n v="10"/>
    <n v="46"/>
    <n v="4390"/>
    <n v="1370"/>
    <n v="157"/>
    <n v="498"/>
    <n v="1309"/>
    <n v="86"/>
    <n v="146"/>
    <n v="0.98599999999999999"/>
  </r>
  <r>
    <n v="2013"/>
    <x v="29"/>
    <s v="TOR"/>
    <n v="5"/>
    <s v="N"/>
    <s v="N"/>
    <s v="N"/>
    <s v="N"/>
    <n v="74"/>
    <n v="88"/>
    <n v="712"/>
    <n v="5537"/>
    <n v="1398"/>
    <n v="273"/>
    <n v="24"/>
    <n v="185"/>
    <n v="510"/>
    <n v="1123"/>
    <n v="112"/>
    <n v="41"/>
    <n v="38"/>
    <n v="38"/>
    <n v="756"/>
    <n v="685"/>
    <n v="4.25"/>
    <n v="4"/>
    <n v="11"/>
    <n v="39"/>
    <n v="4356"/>
    <n v="1451"/>
    <n v="195"/>
    <n v="500"/>
    <n v="1208"/>
    <n v="111"/>
    <n v="145"/>
    <n v="0.98199999999999998"/>
  </r>
  <r>
    <n v="2013"/>
    <x v="31"/>
    <s v="WAS"/>
    <n v="2"/>
    <s v="N"/>
    <s v="N"/>
    <s v="N"/>
    <s v="N"/>
    <n v="86"/>
    <n v="76"/>
    <n v="656"/>
    <n v="5436"/>
    <n v="1365"/>
    <n v="259"/>
    <n v="27"/>
    <n v="161"/>
    <n v="464"/>
    <n v="1192"/>
    <n v="88"/>
    <n v="28"/>
    <n v="40"/>
    <n v="39"/>
    <n v="626"/>
    <n v="576"/>
    <n v="3.59"/>
    <n v="6"/>
    <n v="13"/>
    <n v="47"/>
    <n v="4337"/>
    <n v="1367"/>
    <n v="142"/>
    <n v="405"/>
    <n v="1236"/>
    <n v="107"/>
    <n v="146"/>
    <n v="0.98199999999999998"/>
  </r>
  <r>
    <n v="2014"/>
    <x v="1"/>
    <s v="ARI"/>
    <n v="5"/>
    <s v="N"/>
    <s v="N"/>
    <s v="N"/>
    <s v="N"/>
    <n v="64"/>
    <n v="98"/>
    <n v="615"/>
    <n v="5552"/>
    <n v="1379"/>
    <n v="259"/>
    <n v="47"/>
    <n v="118"/>
    <n v="398"/>
    <n v="1165"/>
    <n v="86"/>
    <n v="33"/>
    <n v="43"/>
    <n v="36"/>
    <n v="742"/>
    <n v="683"/>
    <n v="4.26"/>
    <n v="2"/>
    <n v="4"/>
    <n v="35"/>
    <n v="4333"/>
    <n v="1467"/>
    <n v="154"/>
    <n v="469"/>
    <n v="1278"/>
    <n v="101"/>
    <n v="147"/>
    <n v="0.98299999999999998"/>
  </r>
  <r>
    <n v="2014"/>
    <x v="2"/>
    <s v="ATL"/>
    <n v="2"/>
    <s v="N"/>
    <s v="N"/>
    <s v="N"/>
    <s v="N"/>
    <n v="79"/>
    <n v="83"/>
    <n v="573"/>
    <n v="5468"/>
    <n v="1316"/>
    <n v="240"/>
    <n v="22"/>
    <n v="123"/>
    <n v="472"/>
    <n v="1369"/>
    <n v="95"/>
    <n v="33"/>
    <n v="43"/>
    <n v="27"/>
    <n v="597"/>
    <n v="547"/>
    <n v="3.38"/>
    <n v="5"/>
    <n v="13"/>
    <n v="54"/>
    <n v="4365"/>
    <n v="1369"/>
    <n v="121"/>
    <n v="472"/>
    <n v="1301"/>
    <n v="85"/>
    <n v="143"/>
    <n v="0.98599999999999999"/>
  </r>
  <r>
    <n v="2014"/>
    <x v="3"/>
    <s v="BAL"/>
    <n v="1"/>
    <s v="Y"/>
    <s v="N"/>
    <s v="N"/>
    <s v="N"/>
    <n v="96"/>
    <n v="66"/>
    <n v="705"/>
    <n v="5596"/>
    <n v="1434"/>
    <n v="264"/>
    <n v="16"/>
    <n v="211"/>
    <n v="401"/>
    <n v="1285"/>
    <n v="44"/>
    <n v="20"/>
    <n v="62"/>
    <n v="36"/>
    <n v="593"/>
    <n v="557"/>
    <n v="3.43"/>
    <n v="3"/>
    <n v="13"/>
    <n v="53"/>
    <n v="4384"/>
    <n v="1342"/>
    <n v="151"/>
    <n v="472"/>
    <n v="1174"/>
    <n v="87"/>
    <n v="156"/>
    <n v="0.98599999999999999"/>
  </r>
  <r>
    <n v="2014"/>
    <x v="4"/>
    <s v="BOS"/>
    <n v="5"/>
    <s v="N"/>
    <s v="N"/>
    <s v="N"/>
    <s v="N"/>
    <n v="71"/>
    <n v="91"/>
    <n v="634"/>
    <n v="5551"/>
    <n v="1355"/>
    <n v="282"/>
    <n v="20"/>
    <n v="123"/>
    <n v="535"/>
    <n v="1337"/>
    <n v="63"/>
    <n v="25"/>
    <n v="68"/>
    <n v="52"/>
    <n v="715"/>
    <n v="653"/>
    <n v="4.01"/>
    <n v="3"/>
    <n v="7"/>
    <n v="36"/>
    <n v="4397"/>
    <n v="1458"/>
    <n v="154"/>
    <n v="482"/>
    <n v="1213"/>
    <n v="92"/>
    <n v="155"/>
    <n v="0.98499999999999999"/>
  </r>
  <r>
    <n v="2014"/>
    <x v="5"/>
    <s v="CHA"/>
    <n v="4"/>
    <s v="N"/>
    <s v="N"/>
    <s v="N"/>
    <s v="N"/>
    <n v="73"/>
    <n v="89"/>
    <n v="660"/>
    <n v="5543"/>
    <n v="1400"/>
    <n v="279"/>
    <n v="32"/>
    <n v="155"/>
    <n v="417"/>
    <n v="1362"/>
    <n v="85"/>
    <n v="36"/>
    <n v="60"/>
    <n v="38"/>
    <n v="758"/>
    <n v="687"/>
    <n v="4.29"/>
    <n v="3"/>
    <n v="6"/>
    <n v="36"/>
    <n v="4323"/>
    <n v="1468"/>
    <n v="140"/>
    <n v="557"/>
    <n v="1152"/>
    <n v="107"/>
    <n v="170"/>
    <n v="0.98199999999999998"/>
  </r>
  <r>
    <n v="2014"/>
    <x v="6"/>
    <s v="CHN"/>
    <n v="5"/>
    <s v="N"/>
    <s v="N"/>
    <s v="N"/>
    <s v="N"/>
    <n v="73"/>
    <n v="89"/>
    <n v="614"/>
    <n v="5508"/>
    <n v="1315"/>
    <n v="270"/>
    <n v="31"/>
    <n v="157"/>
    <n v="442"/>
    <n v="1477"/>
    <n v="65"/>
    <n v="40"/>
    <n v="54"/>
    <n v="41"/>
    <n v="707"/>
    <n v="636"/>
    <n v="3.91"/>
    <n v="1"/>
    <n v="11"/>
    <n v="37"/>
    <n v="4390"/>
    <n v="1398"/>
    <n v="115"/>
    <n v="504"/>
    <n v="1311"/>
    <n v="103"/>
    <n v="137"/>
    <n v="0.98299999999999998"/>
  </r>
  <r>
    <n v="2014"/>
    <x v="7"/>
    <s v="CIN"/>
    <n v="4"/>
    <s v="N"/>
    <s v="N"/>
    <s v="N"/>
    <s v="N"/>
    <n v="76"/>
    <n v="86"/>
    <n v="595"/>
    <n v="5395"/>
    <n v="1282"/>
    <n v="254"/>
    <n v="20"/>
    <n v="131"/>
    <n v="415"/>
    <n v="1252"/>
    <n v="122"/>
    <n v="52"/>
    <n v="52"/>
    <n v="37"/>
    <n v="612"/>
    <n v="576"/>
    <n v="3.59"/>
    <n v="5"/>
    <n v="13"/>
    <n v="44"/>
    <n v="4338"/>
    <n v="1282"/>
    <n v="163"/>
    <n v="507"/>
    <n v="1290"/>
    <n v="72"/>
    <n v="120"/>
    <n v="0.98799999999999999"/>
  </r>
  <r>
    <n v="2014"/>
    <x v="8"/>
    <s v="CLE"/>
    <n v="3"/>
    <s v="N"/>
    <s v="N"/>
    <s v="N"/>
    <s v="N"/>
    <n v="85"/>
    <n v="77"/>
    <n v="669"/>
    <n v="5575"/>
    <n v="1411"/>
    <n v="284"/>
    <n v="23"/>
    <n v="142"/>
    <n v="504"/>
    <n v="1189"/>
    <n v="104"/>
    <n v="27"/>
    <n v="42"/>
    <n v="49"/>
    <n v="653"/>
    <n v="581"/>
    <n v="3.56"/>
    <n v="6"/>
    <n v="15"/>
    <n v="40"/>
    <n v="4405"/>
    <n v="1398"/>
    <n v="135"/>
    <n v="464"/>
    <n v="1450"/>
    <n v="116"/>
    <n v="139"/>
    <n v="0.98099999999999998"/>
  </r>
  <r>
    <n v="2014"/>
    <x v="9"/>
    <s v="COL"/>
    <n v="4"/>
    <s v="N"/>
    <s v="N"/>
    <s v="N"/>
    <s v="N"/>
    <n v="66"/>
    <n v="96"/>
    <n v="755"/>
    <n v="5612"/>
    <n v="1551"/>
    <n v="307"/>
    <n v="41"/>
    <n v="186"/>
    <n v="397"/>
    <n v="1281"/>
    <n v="85"/>
    <n v="48"/>
    <n v="48"/>
    <n v="48"/>
    <n v="818"/>
    <n v="770"/>
    <n v="4.84"/>
    <n v="1"/>
    <n v="4"/>
    <n v="24"/>
    <n v="4293"/>
    <n v="1528"/>
    <n v="173"/>
    <n v="531"/>
    <n v="1074"/>
    <n v="106"/>
    <n v="166"/>
    <n v="0.98299999999999998"/>
  </r>
  <r>
    <n v="2014"/>
    <x v="10"/>
    <s v="DET"/>
    <n v="1"/>
    <s v="Y"/>
    <s v="N"/>
    <s v="N"/>
    <s v="N"/>
    <n v="90"/>
    <n v="72"/>
    <n v="757"/>
    <n v="5630"/>
    <n v="1557"/>
    <n v="325"/>
    <n v="26"/>
    <n v="155"/>
    <n v="443"/>
    <n v="1144"/>
    <n v="106"/>
    <n v="41"/>
    <n v="44"/>
    <n v="61"/>
    <n v="705"/>
    <n v="648"/>
    <n v="4.01"/>
    <n v="5"/>
    <n v="8"/>
    <n v="41"/>
    <n v="4362"/>
    <n v="1475"/>
    <n v="127"/>
    <n v="462"/>
    <n v="1244"/>
    <n v="101"/>
    <n v="153"/>
    <n v="0.98299999999999998"/>
  </r>
  <r>
    <n v="2014"/>
    <x v="12"/>
    <s v="HOU"/>
    <n v="4"/>
    <s v="N"/>
    <s v="N"/>
    <s v="N"/>
    <s v="N"/>
    <n v="70"/>
    <n v="92"/>
    <n v="629"/>
    <n v="5447"/>
    <n v="1317"/>
    <n v="240"/>
    <n v="19"/>
    <n v="163"/>
    <n v="495"/>
    <n v="1442"/>
    <n v="122"/>
    <n v="37"/>
    <n v="55"/>
    <n v="36"/>
    <n v="723"/>
    <n v="657"/>
    <n v="4.1100000000000003"/>
    <n v="7"/>
    <n v="3"/>
    <n v="31"/>
    <n v="4316"/>
    <n v="1437"/>
    <n v="139"/>
    <n v="484"/>
    <n v="1137"/>
    <n v="106"/>
    <n v="151"/>
    <n v="0.98299999999999998"/>
  </r>
  <r>
    <n v="2014"/>
    <x v="13"/>
    <s v="KCA"/>
    <n v="2"/>
    <s v="N"/>
    <s v="Y"/>
    <s v="Y"/>
    <s v="N"/>
    <n v="89"/>
    <n v="73"/>
    <n v="651"/>
    <n v="5545"/>
    <n v="1456"/>
    <n v="286"/>
    <n v="29"/>
    <n v="95"/>
    <n v="380"/>
    <n v="985"/>
    <n v="153"/>
    <n v="36"/>
    <n v="53"/>
    <n v="47"/>
    <n v="624"/>
    <n v="565"/>
    <n v="3.51"/>
    <n v="3"/>
    <n v="14"/>
    <n v="53"/>
    <n v="4352"/>
    <n v="1386"/>
    <n v="128"/>
    <n v="440"/>
    <n v="1168"/>
    <n v="104"/>
    <n v="122"/>
    <n v="0.98299999999999998"/>
  </r>
  <r>
    <n v="2014"/>
    <x v="30"/>
    <s v="LAA"/>
    <n v="1"/>
    <s v="Y"/>
    <s v="N"/>
    <s v="N"/>
    <s v="N"/>
    <n v="98"/>
    <n v="64"/>
    <n v="773"/>
    <n v="5652"/>
    <n v="1464"/>
    <n v="304"/>
    <n v="31"/>
    <n v="155"/>
    <n v="492"/>
    <n v="1266"/>
    <n v="81"/>
    <n v="39"/>
    <n v="60"/>
    <n v="54"/>
    <n v="630"/>
    <n v="590"/>
    <n v="3.58"/>
    <n v="3"/>
    <n v="13"/>
    <n v="46"/>
    <n v="4448"/>
    <n v="1307"/>
    <n v="126"/>
    <n v="504"/>
    <n v="1342"/>
    <n v="83"/>
    <n v="127"/>
    <n v="0.98599999999999999"/>
  </r>
  <r>
    <n v="2014"/>
    <x v="14"/>
    <s v="LAN"/>
    <n v="1"/>
    <s v="Y"/>
    <s v="N"/>
    <s v="N"/>
    <s v="N"/>
    <n v="94"/>
    <n v="68"/>
    <n v="718"/>
    <n v="5560"/>
    <n v="1476"/>
    <n v="302"/>
    <n v="38"/>
    <n v="134"/>
    <n v="519"/>
    <n v="1246"/>
    <n v="138"/>
    <n v="50"/>
    <n v="61"/>
    <n v="43"/>
    <n v="617"/>
    <n v="554"/>
    <n v="3.4"/>
    <n v="7"/>
    <n v="16"/>
    <n v="47"/>
    <n v="4394"/>
    <n v="1338"/>
    <n v="142"/>
    <n v="429"/>
    <n v="1373"/>
    <n v="107"/>
    <n v="145"/>
    <n v="0.98299999999999998"/>
  </r>
  <r>
    <n v="2014"/>
    <x v="33"/>
    <s v="MIA"/>
    <n v="4"/>
    <s v="N"/>
    <s v="N"/>
    <s v="N"/>
    <s v="N"/>
    <n v="77"/>
    <n v="85"/>
    <n v="645"/>
    <n v="5538"/>
    <n v="1399"/>
    <n v="254"/>
    <n v="36"/>
    <n v="122"/>
    <n v="501"/>
    <n v="1419"/>
    <n v="58"/>
    <n v="21"/>
    <n v="35"/>
    <n v="39"/>
    <n v="674"/>
    <n v="613"/>
    <n v="3.78"/>
    <n v="3"/>
    <n v="16"/>
    <n v="42"/>
    <n v="4373"/>
    <n v="1481"/>
    <n v="114"/>
    <n v="458"/>
    <n v="1190"/>
    <n v="97"/>
    <n v="154"/>
    <n v="0.98399999999999999"/>
  </r>
  <r>
    <n v="2014"/>
    <x v="15"/>
    <s v="MIL"/>
    <n v="3"/>
    <s v="N"/>
    <s v="N"/>
    <s v="N"/>
    <s v="N"/>
    <n v="82"/>
    <n v="80"/>
    <n v="650"/>
    <n v="5462"/>
    <n v="1366"/>
    <n v="297"/>
    <n v="28"/>
    <n v="150"/>
    <n v="423"/>
    <n v="1197"/>
    <n v="102"/>
    <n v="43"/>
    <n v="73"/>
    <n v="37"/>
    <n v="657"/>
    <n v="594"/>
    <n v="3.67"/>
    <n v="3"/>
    <n v="9"/>
    <n v="45"/>
    <n v="4373"/>
    <n v="1386"/>
    <n v="167"/>
    <n v="431"/>
    <n v="1246"/>
    <n v="99"/>
    <n v="130"/>
    <n v="0.98399999999999999"/>
  </r>
  <r>
    <n v="2014"/>
    <x v="16"/>
    <s v="MIN"/>
    <n v="5"/>
    <s v="N"/>
    <s v="N"/>
    <s v="N"/>
    <s v="N"/>
    <n v="70"/>
    <n v="92"/>
    <n v="715"/>
    <n v="5567"/>
    <n v="1412"/>
    <n v="316"/>
    <n v="27"/>
    <n v="128"/>
    <n v="544"/>
    <n v="1329"/>
    <n v="99"/>
    <n v="36"/>
    <n v="53"/>
    <n v="44"/>
    <n v="777"/>
    <n v="728"/>
    <n v="4.57"/>
    <n v="2"/>
    <n v="7"/>
    <n v="38"/>
    <n v="4305"/>
    <n v="1588"/>
    <n v="147"/>
    <n v="408"/>
    <n v="1031"/>
    <n v="97"/>
    <n v="136"/>
    <n v="0.98399999999999999"/>
  </r>
  <r>
    <n v="2014"/>
    <x v="18"/>
    <s v="NYA"/>
    <n v="2"/>
    <s v="N"/>
    <s v="N"/>
    <s v="N"/>
    <s v="N"/>
    <n v="84"/>
    <n v="78"/>
    <n v="633"/>
    <n v="5497"/>
    <n v="1349"/>
    <n v="247"/>
    <n v="26"/>
    <n v="147"/>
    <n v="452"/>
    <n v="1133"/>
    <n v="112"/>
    <n v="26"/>
    <n v="56"/>
    <n v="47"/>
    <n v="664"/>
    <n v="605"/>
    <n v="3.75"/>
    <n v="5"/>
    <n v="10"/>
    <n v="48"/>
    <n v="4359"/>
    <n v="1392"/>
    <n v="164"/>
    <n v="398"/>
    <n v="1370"/>
    <n v="92"/>
    <n v="107"/>
    <n v="0.98399999999999999"/>
  </r>
  <r>
    <n v="2014"/>
    <x v="19"/>
    <s v="NYN"/>
    <n v="3"/>
    <s v="N"/>
    <s v="N"/>
    <s v="N"/>
    <s v="N"/>
    <n v="79"/>
    <n v="83"/>
    <n v="629"/>
    <n v="5472"/>
    <n v="1306"/>
    <n v="275"/>
    <n v="19"/>
    <n v="125"/>
    <n v="516"/>
    <n v="1264"/>
    <n v="101"/>
    <n v="34"/>
    <n v="54"/>
    <n v="44"/>
    <n v="618"/>
    <n v="568"/>
    <n v="3.49"/>
    <n v="1"/>
    <n v="11"/>
    <n v="42"/>
    <n v="4391"/>
    <n v="1370"/>
    <n v="141"/>
    <n v="509"/>
    <n v="1303"/>
    <n v="104"/>
    <n v="158"/>
    <n v="0.98299999999999998"/>
  </r>
  <r>
    <n v="2014"/>
    <x v="20"/>
    <s v="OAK"/>
    <n v="2"/>
    <s v="N"/>
    <s v="Y"/>
    <s v="N"/>
    <s v="N"/>
    <n v="88"/>
    <n v="74"/>
    <n v="729"/>
    <n v="5545"/>
    <n v="1354"/>
    <n v="253"/>
    <n v="33"/>
    <n v="146"/>
    <n v="586"/>
    <n v="1104"/>
    <n v="83"/>
    <n v="20"/>
    <n v="49"/>
    <n v="43"/>
    <n v="572"/>
    <n v="524"/>
    <n v="3.22"/>
    <n v="7"/>
    <n v="13"/>
    <n v="31"/>
    <n v="4390"/>
    <n v="1269"/>
    <n v="147"/>
    <n v="406"/>
    <n v="1244"/>
    <n v="111"/>
    <n v="150"/>
    <n v="0.98199999999999998"/>
  </r>
  <r>
    <n v="2014"/>
    <x v="21"/>
    <s v="PHI"/>
    <n v="5"/>
    <s v="N"/>
    <s v="N"/>
    <s v="N"/>
    <s v="N"/>
    <n v="73"/>
    <n v="89"/>
    <n v="619"/>
    <n v="5603"/>
    <n v="1356"/>
    <n v="251"/>
    <n v="27"/>
    <n v="125"/>
    <n v="443"/>
    <n v="1306"/>
    <n v="109"/>
    <n v="26"/>
    <n v="55"/>
    <n v="37"/>
    <n v="687"/>
    <n v="619"/>
    <n v="3.79"/>
    <n v="2"/>
    <n v="12"/>
    <n v="40"/>
    <n v="4405"/>
    <n v="1396"/>
    <n v="134"/>
    <n v="521"/>
    <n v="1255"/>
    <n v="83"/>
    <n v="133"/>
    <n v="0.98699999999999999"/>
  </r>
  <r>
    <n v="2014"/>
    <x v="22"/>
    <s v="PIT"/>
    <n v="2"/>
    <s v="N"/>
    <s v="Y"/>
    <s v="N"/>
    <s v="N"/>
    <n v="88"/>
    <n v="74"/>
    <n v="682"/>
    <n v="5536"/>
    <n v="1436"/>
    <n v="275"/>
    <n v="30"/>
    <n v="156"/>
    <n v="520"/>
    <n v="1244"/>
    <n v="104"/>
    <n v="47"/>
    <n v="78"/>
    <n v="35"/>
    <n v="631"/>
    <n v="562"/>
    <n v="3.47"/>
    <n v="2"/>
    <n v="7"/>
    <n v="48"/>
    <n v="4369"/>
    <n v="1341"/>
    <n v="128"/>
    <n v="499"/>
    <n v="1228"/>
    <n v="109"/>
    <n v="148"/>
    <n v="0.98299999999999998"/>
  </r>
  <r>
    <n v="2014"/>
    <x v="23"/>
    <s v="SDN"/>
    <n v="3"/>
    <s v="N"/>
    <s v="N"/>
    <s v="N"/>
    <s v="N"/>
    <n v="77"/>
    <n v="85"/>
    <n v="535"/>
    <n v="5294"/>
    <n v="1199"/>
    <n v="224"/>
    <n v="30"/>
    <n v="109"/>
    <n v="468"/>
    <n v="1294"/>
    <n v="91"/>
    <n v="34"/>
    <n v="41"/>
    <n v="45"/>
    <n v="577"/>
    <n v="523"/>
    <n v="3.27"/>
    <n v="4"/>
    <n v="10"/>
    <n v="41"/>
    <n v="4316"/>
    <n v="1300"/>
    <n v="117"/>
    <n v="462"/>
    <n v="1284"/>
    <n v="101"/>
    <n v="124"/>
    <n v="0.98299999999999998"/>
  </r>
  <r>
    <n v="2014"/>
    <x v="24"/>
    <s v="SEA"/>
    <n v="3"/>
    <s v="N"/>
    <s v="N"/>
    <s v="N"/>
    <s v="N"/>
    <n v="87"/>
    <n v="75"/>
    <n v="634"/>
    <n v="5450"/>
    <n v="1328"/>
    <n v="247"/>
    <n v="32"/>
    <n v="136"/>
    <n v="396"/>
    <n v="1232"/>
    <n v="96"/>
    <n v="42"/>
    <n v="60"/>
    <n v="34"/>
    <n v="554"/>
    <n v="512"/>
    <n v="3.17"/>
    <n v="2"/>
    <n v="9"/>
    <n v="51"/>
    <n v="4356"/>
    <n v="1240"/>
    <n v="137"/>
    <n v="463"/>
    <n v="1317"/>
    <n v="82"/>
    <n v="139"/>
    <n v="0.98599999999999999"/>
  </r>
  <r>
    <n v="2014"/>
    <x v="25"/>
    <s v="SFN"/>
    <n v="2"/>
    <s v="N"/>
    <s v="Y"/>
    <s v="Y"/>
    <s v="Y"/>
    <n v="88"/>
    <n v="74"/>
    <n v="665"/>
    <n v="5523"/>
    <n v="1407"/>
    <n v="257"/>
    <n v="42"/>
    <n v="132"/>
    <n v="427"/>
    <n v="1245"/>
    <n v="56"/>
    <n v="27"/>
    <n v="43"/>
    <n v="49"/>
    <n v="614"/>
    <n v="564"/>
    <n v="3.5"/>
    <n v="8"/>
    <n v="12"/>
    <n v="46"/>
    <n v="4347"/>
    <n v="1305"/>
    <n v="133"/>
    <n v="389"/>
    <n v="1211"/>
    <n v="100"/>
    <n v="155"/>
    <n v="0.98399999999999999"/>
  </r>
  <r>
    <n v="2014"/>
    <x v="26"/>
    <s v="SLN"/>
    <n v="1"/>
    <s v="Y"/>
    <s v="N"/>
    <s v="N"/>
    <s v="N"/>
    <n v="90"/>
    <n v="72"/>
    <n v="619"/>
    <n v="5426"/>
    <n v="1371"/>
    <n v="275"/>
    <n v="21"/>
    <n v="105"/>
    <n v="471"/>
    <n v="1133"/>
    <n v="57"/>
    <n v="32"/>
    <n v="86"/>
    <n v="39"/>
    <n v="603"/>
    <n v="564"/>
    <n v="3.5"/>
    <n v="8"/>
    <n v="23"/>
    <n v="55"/>
    <n v="4346"/>
    <n v="1321"/>
    <n v="123"/>
    <n v="470"/>
    <n v="1221"/>
    <n v="88"/>
    <n v="145"/>
    <n v="0.98499999999999999"/>
  </r>
  <r>
    <n v="2014"/>
    <x v="32"/>
    <s v="TBA"/>
    <n v="4"/>
    <s v="N"/>
    <s v="N"/>
    <s v="N"/>
    <s v="N"/>
    <n v="77"/>
    <n v="85"/>
    <n v="612"/>
    <n v="5516"/>
    <n v="1361"/>
    <n v="263"/>
    <n v="24"/>
    <n v="117"/>
    <n v="527"/>
    <n v="1124"/>
    <n v="63"/>
    <n v="27"/>
    <n v="66"/>
    <n v="53"/>
    <n v="625"/>
    <n v="579"/>
    <n v="3.56"/>
    <n v="3"/>
    <n v="22"/>
    <n v="37"/>
    <n v="4391"/>
    <n v="1292"/>
    <n v="145"/>
    <n v="482"/>
    <n v="1437"/>
    <n v="88"/>
    <n v="96"/>
    <n v="0.98499999999999999"/>
  </r>
  <r>
    <n v="2014"/>
    <x v="28"/>
    <s v="TEX"/>
    <n v="5"/>
    <s v="N"/>
    <s v="N"/>
    <s v="N"/>
    <s v="N"/>
    <n v="67"/>
    <n v="95"/>
    <n v="637"/>
    <n v="5460"/>
    <n v="1400"/>
    <n v="260"/>
    <n v="28"/>
    <n v="111"/>
    <n v="417"/>
    <n v="1162"/>
    <n v="105"/>
    <n v="59"/>
    <n v="61"/>
    <n v="45"/>
    <n v="773"/>
    <n v="711"/>
    <n v="4.49"/>
    <n v="6"/>
    <n v="17"/>
    <n v="33"/>
    <n v="4279"/>
    <n v="1510"/>
    <n v="160"/>
    <n v="505"/>
    <n v="1110"/>
    <n v="106"/>
    <n v="155"/>
    <n v="0.98199999999999998"/>
  </r>
  <r>
    <n v="2014"/>
    <x v="29"/>
    <s v="TOR"/>
    <n v="3"/>
    <s v="N"/>
    <s v="N"/>
    <s v="N"/>
    <s v="N"/>
    <n v="83"/>
    <n v="79"/>
    <n v="723"/>
    <n v="5549"/>
    <n v="1435"/>
    <n v="282"/>
    <n v="24"/>
    <n v="177"/>
    <n v="502"/>
    <n v="1151"/>
    <n v="78"/>
    <n v="21"/>
    <n v="41"/>
    <n v="40"/>
    <n v="686"/>
    <n v="642"/>
    <n v="4"/>
    <n v="3"/>
    <n v="16"/>
    <n v="45"/>
    <n v="4329"/>
    <n v="1400"/>
    <n v="151"/>
    <n v="490"/>
    <n v="1199"/>
    <n v="87"/>
    <n v="130"/>
    <n v="0.98499999999999999"/>
  </r>
  <r>
    <n v="2014"/>
    <x v="31"/>
    <s v="WAS"/>
    <n v="1"/>
    <s v="Y"/>
    <s v="N"/>
    <s v="N"/>
    <s v="N"/>
    <n v="96"/>
    <n v="66"/>
    <n v="686"/>
    <n v="5542"/>
    <n v="1403"/>
    <n v="265"/>
    <n v="27"/>
    <n v="152"/>
    <n v="517"/>
    <n v="1304"/>
    <n v="101"/>
    <n v="23"/>
    <n v="56"/>
    <n v="41"/>
    <n v="555"/>
    <n v="495"/>
    <n v="3.03"/>
    <n v="5"/>
    <n v="19"/>
    <n v="45"/>
    <n v="4412"/>
    <n v="1351"/>
    <n v="110"/>
    <n v="352"/>
    <n v="1288"/>
    <n v="100"/>
    <n v="139"/>
    <n v="0.98399999999999999"/>
  </r>
  <r>
    <n v="2015"/>
    <x v="1"/>
    <s v="ARI"/>
    <n v="3"/>
    <s v="N"/>
    <s v="N"/>
    <s v="N"/>
    <s v="N"/>
    <n v="79"/>
    <n v="83"/>
    <n v="720"/>
    <n v="5649"/>
    <n v="1494"/>
    <n v="289"/>
    <n v="48"/>
    <n v="154"/>
    <n v="490"/>
    <n v="1312"/>
    <n v="132"/>
    <n v="44"/>
    <n v="33"/>
    <n v="57"/>
    <n v="713"/>
    <n v="659"/>
    <n v="4.04"/>
    <n v="1"/>
    <n v="12"/>
    <n v="44"/>
    <n v="4400"/>
    <n v="1450"/>
    <n v="182"/>
    <n v="500"/>
    <n v="1215"/>
    <n v="86"/>
    <n v="146"/>
    <n v="0.98599999999999999"/>
  </r>
  <r>
    <n v="2015"/>
    <x v="2"/>
    <s v="ATL"/>
    <n v="4"/>
    <s v="N"/>
    <s v="N"/>
    <s v="N"/>
    <s v="N"/>
    <n v="67"/>
    <n v="95"/>
    <n v="573"/>
    <n v="5420"/>
    <n v="1361"/>
    <n v="251"/>
    <n v="18"/>
    <n v="100"/>
    <n v="471"/>
    <n v="1107"/>
    <n v="69"/>
    <n v="33"/>
    <n v="44"/>
    <n v="31"/>
    <n v="760"/>
    <n v="698"/>
    <n v="4.41"/>
    <n v="3"/>
    <n v="10"/>
    <n v="44"/>
    <n v="4276"/>
    <n v="1462"/>
    <n v="170"/>
    <n v="550"/>
    <n v="1148"/>
    <n v="90"/>
    <n v="186"/>
    <n v="0.98499999999999999"/>
  </r>
  <r>
    <n v="2015"/>
    <x v="3"/>
    <s v="BAL"/>
    <n v="3"/>
    <s v="N"/>
    <s v="N"/>
    <s v="N"/>
    <s v="N"/>
    <n v="81"/>
    <n v="81"/>
    <n v="713"/>
    <n v="5485"/>
    <n v="1370"/>
    <n v="246"/>
    <n v="20"/>
    <n v="217"/>
    <n v="418"/>
    <n v="1331"/>
    <n v="44"/>
    <n v="25"/>
    <n v="51"/>
    <n v="32"/>
    <n v="693"/>
    <n v="646"/>
    <n v="4.05"/>
    <n v="0"/>
    <n v="10"/>
    <n v="43"/>
    <n v="4304"/>
    <n v="1406"/>
    <n v="174"/>
    <n v="483"/>
    <n v="1233"/>
    <n v="77"/>
    <n v="134"/>
    <n v="0.98699999999999999"/>
  </r>
  <r>
    <n v="2015"/>
    <x v="4"/>
    <s v="BOS"/>
    <n v="5"/>
    <s v="N"/>
    <s v="N"/>
    <s v="N"/>
    <s v="N"/>
    <n v="78"/>
    <n v="84"/>
    <n v="748"/>
    <n v="5640"/>
    <n v="1495"/>
    <n v="294"/>
    <n v="33"/>
    <n v="161"/>
    <n v="478"/>
    <n v="1148"/>
    <n v="71"/>
    <n v="27"/>
    <n v="46"/>
    <n v="42"/>
    <n v="753"/>
    <n v="694"/>
    <n v="4.3099999999999996"/>
    <n v="3"/>
    <n v="10"/>
    <n v="40"/>
    <n v="4345"/>
    <n v="1486"/>
    <n v="178"/>
    <n v="478"/>
    <n v="1218"/>
    <n v="97"/>
    <n v="148"/>
    <n v="0.98399999999999999"/>
  </r>
  <r>
    <n v="2015"/>
    <x v="5"/>
    <s v="CHA"/>
    <n v="4"/>
    <s v="N"/>
    <s v="N"/>
    <s v="N"/>
    <s v="N"/>
    <n v="76"/>
    <n v="86"/>
    <n v="622"/>
    <n v="5533"/>
    <n v="1381"/>
    <n v="260"/>
    <n v="27"/>
    <n v="136"/>
    <n v="404"/>
    <n v="1231"/>
    <n v="68"/>
    <n v="42"/>
    <n v="65"/>
    <n v="37"/>
    <n v="701"/>
    <n v="643"/>
    <n v="3.98"/>
    <n v="7"/>
    <n v="9"/>
    <n v="37"/>
    <n v="4358"/>
    <n v="1443"/>
    <n v="162"/>
    <n v="474"/>
    <n v="1359"/>
    <n v="101"/>
    <n v="159"/>
    <n v="0.98299999999999998"/>
  </r>
  <r>
    <n v="2015"/>
    <x v="6"/>
    <s v="CHN"/>
    <n v="3"/>
    <s v="N"/>
    <s v="Y"/>
    <s v="N"/>
    <s v="N"/>
    <n v="97"/>
    <n v="65"/>
    <n v="689"/>
    <n v="5491"/>
    <n v="1341"/>
    <n v="272"/>
    <n v="30"/>
    <n v="171"/>
    <n v="567"/>
    <n v="1518"/>
    <n v="95"/>
    <n v="37"/>
    <n v="74"/>
    <n v="35"/>
    <n v="608"/>
    <n v="546"/>
    <n v="3.36"/>
    <n v="6"/>
    <n v="21"/>
    <n v="48"/>
    <n v="4384"/>
    <n v="1276"/>
    <n v="134"/>
    <n v="407"/>
    <n v="1431"/>
    <n v="111"/>
    <n v="120"/>
    <n v="0.98199999999999998"/>
  </r>
  <r>
    <n v="2015"/>
    <x v="7"/>
    <s v="CIN"/>
    <n v="5"/>
    <s v="N"/>
    <s v="N"/>
    <s v="N"/>
    <s v="N"/>
    <n v="64"/>
    <n v="98"/>
    <n v="640"/>
    <n v="5571"/>
    <n v="1382"/>
    <n v="257"/>
    <n v="27"/>
    <n v="167"/>
    <n v="496"/>
    <n v="1255"/>
    <n v="134"/>
    <n v="38"/>
    <n v="42"/>
    <n v="40"/>
    <n v="754"/>
    <n v="700"/>
    <n v="4.33"/>
    <n v="2"/>
    <n v="8"/>
    <n v="35"/>
    <n v="4360"/>
    <n v="1436"/>
    <n v="177"/>
    <n v="544"/>
    <n v="1252"/>
    <n v="90"/>
    <n v="131"/>
    <n v="0.98499999999999999"/>
  </r>
  <r>
    <n v="2015"/>
    <x v="8"/>
    <s v="CLE"/>
    <n v="3"/>
    <s v="N"/>
    <s v="N"/>
    <s v="N"/>
    <s v="N"/>
    <n v="81"/>
    <n v="80"/>
    <n v="669"/>
    <n v="5439"/>
    <n v="1395"/>
    <n v="303"/>
    <n v="29"/>
    <n v="141"/>
    <n v="533"/>
    <n v="1157"/>
    <n v="86"/>
    <n v="28"/>
    <n v="39"/>
    <n v="50"/>
    <n v="640"/>
    <n v="584"/>
    <n v="3.67"/>
    <n v="11"/>
    <n v="10"/>
    <n v="38"/>
    <n v="4298"/>
    <n v="1274"/>
    <n v="161"/>
    <n v="425"/>
    <n v="1407"/>
    <n v="79"/>
    <n v="136"/>
    <n v="0.98699999999999999"/>
  </r>
  <r>
    <n v="2015"/>
    <x v="9"/>
    <s v="COL"/>
    <n v="5"/>
    <s v="N"/>
    <s v="N"/>
    <s v="N"/>
    <s v="N"/>
    <n v="68"/>
    <n v="94"/>
    <n v="737"/>
    <n v="5572"/>
    <n v="1479"/>
    <n v="274"/>
    <n v="49"/>
    <n v="186"/>
    <n v="388"/>
    <n v="1283"/>
    <n v="97"/>
    <n v="43"/>
    <n v="33"/>
    <n v="34"/>
    <n v="844"/>
    <n v="799"/>
    <n v="5.04"/>
    <n v="4"/>
    <n v="4"/>
    <n v="36"/>
    <n v="4279"/>
    <n v="1579"/>
    <n v="183"/>
    <n v="579"/>
    <n v="1112"/>
    <n v="95"/>
    <n v="171"/>
    <n v="0.98499999999999999"/>
  </r>
  <r>
    <n v="2015"/>
    <x v="10"/>
    <s v="DET"/>
    <n v="5"/>
    <s v="N"/>
    <s v="N"/>
    <s v="N"/>
    <s v="N"/>
    <n v="74"/>
    <n v="87"/>
    <n v="689"/>
    <n v="5605"/>
    <n v="1515"/>
    <n v="289"/>
    <n v="49"/>
    <n v="151"/>
    <n v="455"/>
    <n v="1259"/>
    <n v="83"/>
    <n v="51"/>
    <n v="41"/>
    <n v="35"/>
    <n v="803"/>
    <n v="746"/>
    <n v="4.6399999999999997"/>
    <n v="7"/>
    <n v="12"/>
    <n v="35"/>
    <n v="4341"/>
    <n v="1491"/>
    <n v="193"/>
    <n v="489"/>
    <n v="1100"/>
    <n v="86"/>
    <n v="165"/>
    <n v="0.98599999999999999"/>
  </r>
  <r>
    <n v="2015"/>
    <x v="12"/>
    <s v="HOU"/>
    <n v="2"/>
    <s v="N"/>
    <s v="Y"/>
    <s v="N"/>
    <s v="N"/>
    <n v="86"/>
    <n v="76"/>
    <n v="729"/>
    <n v="5459"/>
    <n v="1363"/>
    <n v="278"/>
    <n v="26"/>
    <n v="230"/>
    <n v="486"/>
    <n v="1392"/>
    <n v="121"/>
    <n v="48"/>
    <n v="56"/>
    <n v="43"/>
    <n v="618"/>
    <n v="572"/>
    <n v="3.57"/>
    <n v="5"/>
    <n v="13"/>
    <n v="39"/>
    <n v="4323"/>
    <n v="1308"/>
    <n v="148"/>
    <n v="423"/>
    <n v="1280"/>
    <n v="85"/>
    <n v="131"/>
    <n v="0.98599999999999999"/>
  </r>
  <r>
    <n v="2015"/>
    <x v="13"/>
    <s v="KCA"/>
    <n v="1"/>
    <s v="Y"/>
    <s v="N"/>
    <s v="Y"/>
    <s v="Y"/>
    <n v="95"/>
    <n v="67"/>
    <n v="724"/>
    <n v="5575"/>
    <n v="1497"/>
    <n v="300"/>
    <n v="42"/>
    <n v="139"/>
    <n v="383"/>
    <n v="973"/>
    <n v="104"/>
    <n v="34"/>
    <n v="77"/>
    <n v="47"/>
    <n v="641"/>
    <n v="601"/>
    <n v="3.73"/>
    <n v="2"/>
    <n v="8"/>
    <n v="56"/>
    <n v="4356"/>
    <n v="1372"/>
    <n v="155"/>
    <n v="489"/>
    <n v="1160"/>
    <n v="88"/>
    <n v="138"/>
    <n v="0.98499999999999999"/>
  </r>
  <r>
    <n v="2015"/>
    <x v="30"/>
    <s v="LAA"/>
    <n v="3"/>
    <s v="N"/>
    <s v="N"/>
    <s v="N"/>
    <s v="N"/>
    <n v="85"/>
    <n v="77"/>
    <n v="661"/>
    <n v="5417"/>
    <n v="1331"/>
    <n v="243"/>
    <n v="21"/>
    <n v="176"/>
    <n v="435"/>
    <n v="1150"/>
    <n v="52"/>
    <n v="34"/>
    <n v="58"/>
    <n v="40"/>
    <n v="675"/>
    <n v="630"/>
    <n v="3.94"/>
    <n v="2"/>
    <n v="12"/>
    <n v="46"/>
    <n v="4322"/>
    <n v="1355"/>
    <n v="166"/>
    <n v="466"/>
    <n v="1221"/>
    <n v="93"/>
    <n v="108"/>
    <n v="0.98399999999999999"/>
  </r>
  <r>
    <n v="2015"/>
    <x v="14"/>
    <s v="LAN"/>
    <n v="1"/>
    <s v="Y"/>
    <s v="N"/>
    <s v="N"/>
    <s v="N"/>
    <n v="92"/>
    <n v="70"/>
    <n v="667"/>
    <n v="5385"/>
    <n v="1346"/>
    <n v="263"/>
    <n v="26"/>
    <n v="187"/>
    <n v="563"/>
    <n v="1258"/>
    <n v="59"/>
    <n v="34"/>
    <n v="60"/>
    <n v="30"/>
    <n v="595"/>
    <n v="553"/>
    <n v="3.44"/>
    <n v="6"/>
    <n v="21"/>
    <n v="47"/>
    <n v="4337"/>
    <n v="1317"/>
    <n v="145"/>
    <n v="395"/>
    <n v="1396"/>
    <n v="75"/>
    <n v="133"/>
    <n v="0.98799999999999999"/>
  </r>
  <r>
    <n v="2015"/>
    <x v="33"/>
    <s v="MIA"/>
    <n v="3"/>
    <s v="N"/>
    <s v="N"/>
    <s v="N"/>
    <s v="N"/>
    <n v="71"/>
    <n v="91"/>
    <n v="613"/>
    <n v="5463"/>
    <n v="1420"/>
    <n v="236"/>
    <n v="40"/>
    <n v="120"/>
    <n v="375"/>
    <n v="1150"/>
    <n v="112"/>
    <n v="45"/>
    <n v="39"/>
    <n v="40"/>
    <n v="678"/>
    <n v="638"/>
    <n v="4.0199999999999996"/>
    <n v="0"/>
    <n v="12"/>
    <n v="35"/>
    <n v="4281"/>
    <n v="1374"/>
    <n v="141"/>
    <n v="508"/>
    <n v="1152"/>
    <n v="77"/>
    <n v="162"/>
    <n v="0.98699999999999999"/>
  </r>
  <r>
    <n v="2015"/>
    <x v="15"/>
    <s v="MIL"/>
    <n v="4"/>
    <s v="N"/>
    <s v="N"/>
    <s v="N"/>
    <s v="N"/>
    <n v="68"/>
    <n v="94"/>
    <n v="655"/>
    <n v="5480"/>
    <n v="1378"/>
    <n v="274"/>
    <n v="34"/>
    <n v="145"/>
    <n v="412"/>
    <n v="1299"/>
    <n v="84"/>
    <n v="29"/>
    <n v="41"/>
    <n v="34"/>
    <n v="737"/>
    <n v="682"/>
    <n v="4.28"/>
    <n v="1"/>
    <n v="7"/>
    <n v="40"/>
    <n v="4305"/>
    <n v="1432"/>
    <n v="176"/>
    <n v="517"/>
    <n v="1260"/>
    <n v="116"/>
    <n v="164"/>
    <n v="0.98099999999999998"/>
  </r>
  <r>
    <n v="2015"/>
    <x v="16"/>
    <s v="MIN"/>
    <n v="2"/>
    <s v="N"/>
    <s v="N"/>
    <s v="N"/>
    <s v="N"/>
    <n v="83"/>
    <n v="79"/>
    <n v="696"/>
    <n v="5467"/>
    <n v="1349"/>
    <n v="277"/>
    <n v="44"/>
    <n v="156"/>
    <n v="439"/>
    <n v="1264"/>
    <n v="70"/>
    <n v="38"/>
    <n v="40"/>
    <n v="41"/>
    <n v="700"/>
    <n v="653"/>
    <n v="4.07"/>
    <n v="2"/>
    <n v="12"/>
    <n v="45"/>
    <n v="4329"/>
    <n v="1506"/>
    <n v="163"/>
    <n v="413"/>
    <n v="1046"/>
    <n v="86"/>
    <n v="150"/>
    <n v="0.98599999999999999"/>
  </r>
  <r>
    <n v="2015"/>
    <x v="18"/>
    <s v="NYA"/>
    <n v="2"/>
    <s v="N"/>
    <s v="Y"/>
    <s v="N"/>
    <s v="N"/>
    <n v="87"/>
    <n v="75"/>
    <n v="764"/>
    <n v="5567"/>
    <n v="1397"/>
    <n v="272"/>
    <n v="19"/>
    <n v="212"/>
    <n v="554"/>
    <n v="1227"/>
    <n v="63"/>
    <n v="25"/>
    <n v="63"/>
    <n v="54"/>
    <n v="698"/>
    <n v="652"/>
    <n v="4.03"/>
    <n v="3"/>
    <n v="4"/>
    <n v="48"/>
    <n v="4373"/>
    <n v="1416"/>
    <n v="182"/>
    <n v="474"/>
    <n v="1370"/>
    <n v="93"/>
    <n v="135"/>
    <n v="0.98499999999999999"/>
  </r>
  <r>
    <n v="2015"/>
    <x v="19"/>
    <s v="NYN"/>
    <n v="1"/>
    <s v="Y"/>
    <s v="N"/>
    <s v="Y"/>
    <s v="N"/>
    <n v="90"/>
    <n v="72"/>
    <n v="683"/>
    <n v="5527"/>
    <n v="1351"/>
    <n v="295"/>
    <n v="17"/>
    <n v="177"/>
    <n v="488"/>
    <n v="1290"/>
    <n v="51"/>
    <n v="25"/>
    <n v="68"/>
    <n v="32"/>
    <n v="613"/>
    <n v="557"/>
    <n v="3.43"/>
    <n v="1"/>
    <n v="14"/>
    <n v="50"/>
    <n v="4388"/>
    <n v="1341"/>
    <n v="152"/>
    <n v="383"/>
    <n v="1337"/>
    <n v="88"/>
    <n v="131"/>
    <n v="0.98599999999999999"/>
  </r>
  <r>
    <n v="2015"/>
    <x v="20"/>
    <s v="OAK"/>
    <n v="5"/>
    <s v="N"/>
    <s v="N"/>
    <s v="N"/>
    <s v="N"/>
    <n v="68"/>
    <n v="94"/>
    <n v="694"/>
    <n v="5600"/>
    <n v="1405"/>
    <n v="277"/>
    <n v="46"/>
    <n v="146"/>
    <n v="475"/>
    <n v="1119"/>
    <n v="78"/>
    <n v="29"/>
    <n v="40"/>
    <n v="38"/>
    <n v="729"/>
    <n v="664"/>
    <n v="4.1399999999999997"/>
    <n v="5"/>
    <n v="15"/>
    <n v="28"/>
    <n v="4334"/>
    <n v="1402"/>
    <n v="172"/>
    <n v="474"/>
    <n v="1179"/>
    <n v="126"/>
    <n v="154"/>
    <n v="0.97899999999999998"/>
  </r>
  <r>
    <n v="2015"/>
    <x v="21"/>
    <s v="PHI"/>
    <n v="5"/>
    <s v="N"/>
    <s v="N"/>
    <s v="N"/>
    <s v="N"/>
    <n v="63"/>
    <n v="99"/>
    <n v="626"/>
    <n v="5529"/>
    <n v="1374"/>
    <n v="272"/>
    <n v="37"/>
    <n v="130"/>
    <n v="387"/>
    <n v="1274"/>
    <n v="88"/>
    <n v="32"/>
    <n v="54"/>
    <n v="29"/>
    <n v="809"/>
    <n v="749"/>
    <n v="4.6900000000000004"/>
    <n v="1"/>
    <n v="7"/>
    <n v="35"/>
    <n v="4309"/>
    <n v="1592"/>
    <n v="191"/>
    <n v="488"/>
    <n v="1153"/>
    <n v="117"/>
    <n v="145"/>
    <n v="0.98099999999999998"/>
  </r>
  <r>
    <n v="2015"/>
    <x v="22"/>
    <s v="PIT"/>
    <n v="2"/>
    <s v="N"/>
    <s v="Y"/>
    <s v="N"/>
    <s v="N"/>
    <n v="98"/>
    <n v="64"/>
    <n v="697"/>
    <n v="5631"/>
    <n v="1462"/>
    <n v="292"/>
    <n v="27"/>
    <n v="140"/>
    <n v="461"/>
    <n v="1322"/>
    <n v="98"/>
    <n v="45"/>
    <n v="89"/>
    <n v="41"/>
    <n v="596"/>
    <n v="532"/>
    <n v="3.21"/>
    <n v="0"/>
    <n v="13"/>
    <n v="54"/>
    <n v="4469"/>
    <n v="1392"/>
    <n v="110"/>
    <n v="453"/>
    <n v="1338"/>
    <n v="122"/>
    <n v="177"/>
    <n v="0.98099999999999998"/>
  </r>
  <r>
    <n v="2015"/>
    <x v="23"/>
    <s v="SDN"/>
    <n v="4"/>
    <s v="N"/>
    <s v="N"/>
    <s v="N"/>
    <s v="N"/>
    <n v="74"/>
    <n v="88"/>
    <n v="650"/>
    <n v="5457"/>
    <n v="1324"/>
    <n v="260"/>
    <n v="36"/>
    <n v="148"/>
    <n v="426"/>
    <n v="1327"/>
    <n v="82"/>
    <n v="29"/>
    <n v="40"/>
    <n v="42"/>
    <n v="731"/>
    <n v="655"/>
    <n v="4.09"/>
    <n v="1"/>
    <n v="6"/>
    <n v="41"/>
    <n v="4321"/>
    <n v="1371"/>
    <n v="171"/>
    <n v="516"/>
    <n v="1393"/>
    <n v="92"/>
    <n v="138"/>
    <n v="0.98499999999999999"/>
  </r>
  <r>
    <n v="2015"/>
    <x v="24"/>
    <s v="SEA"/>
    <n v="4"/>
    <s v="N"/>
    <s v="N"/>
    <s v="N"/>
    <s v="N"/>
    <n v="76"/>
    <n v="86"/>
    <n v="656"/>
    <n v="5544"/>
    <n v="1379"/>
    <n v="262"/>
    <n v="22"/>
    <n v="198"/>
    <n v="478"/>
    <n v="1336"/>
    <n v="69"/>
    <n v="45"/>
    <n v="36"/>
    <n v="35"/>
    <n v="726"/>
    <n v="677"/>
    <n v="4.16"/>
    <n v="6"/>
    <n v="12"/>
    <n v="45"/>
    <n v="4389"/>
    <n v="1430"/>
    <n v="181"/>
    <n v="491"/>
    <n v="1283"/>
    <n v="94"/>
    <n v="155"/>
    <n v="0.98499999999999999"/>
  </r>
  <r>
    <n v="2015"/>
    <x v="25"/>
    <s v="SFN"/>
    <n v="2"/>
    <s v="N"/>
    <s v="N"/>
    <s v="N"/>
    <s v="N"/>
    <n v="84"/>
    <n v="78"/>
    <n v="696"/>
    <n v="5565"/>
    <n v="1486"/>
    <n v="288"/>
    <n v="39"/>
    <n v="136"/>
    <n v="457"/>
    <n v="1159"/>
    <n v="93"/>
    <n v="36"/>
    <n v="49"/>
    <n v="37"/>
    <n v="627"/>
    <n v="597"/>
    <n v="3.72"/>
    <n v="7"/>
    <n v="18"/>
    <n v="41"/>
    <n v="4333"/>
    <n v="1344"/>
    <n v="155"/>
    <n v="431"/>
    <n v="1165"/>
    <n v="78"/>
    <n v="145"/>
    <n v="0.98699999999999999"/>
  </r>
  <r>
    <n v="2015"/>
    <x v="26"/>
    <s v="SLN"/>
    <n v="1"/>
    <s v="Y"/>
    <s v="N"/>
    <s v="N"/>
    <s v="N"/>
    <n v="100"/>
    <n v="62"/>
    <n v="647"/>
    <n v="5484"/>
    <n v="1386"/>
    <n v="288"/>
    <n v="39"/>
    <n v="137"/>
    <n v="506"/>
    <n v="1267"/>
    <n v="69"/>
    <n v="38"/>
    <n v="66"/>
    <n v="42"/>
    <n v="525"/>
    <n v="478"/>
    <n v="2.94"/>
    <n v="1"/>
    <n v="15"/>
    <n v="62"/>
    <n v="4394"/>
    <n v="1359"/>
    <n v="123"/>
    <n v="477"/>
    <n v="1329"/>
    <n v="96"/>
    <n v="159"/>
    <n v="0.98399999999999999"/>
  </r>
  <r>
    <n v="2015"/>
    <x v="32"/>
    <s v="TBA"/>
    <n v="4"/>
    <s v="N"/>
    <s v="N"/>
    <s v="N"/>
    <s v="N"/>
    <n v="80"/>
    <n v="82"/>
    <n v="644"/>
    <n v="5485"/>
    <n v="1383"/>
    <n v="278"/>
    <n v="32"/>
    <n v="167"/>
    <n v="436"/>
    <n v="1310"/>
    <n v="87"/>
    <n v="45"/>
    <n v="84"/>
    <n v="47"/>
    <n v="642"/>
    <n v="604"/>
    <n v="3.74"/>
    <n v="1"/>
    <n v="12"/>
    <n v="60"/>
    <n v="4360"/>
    <n v="1314"/>
    <n v="175"/>
    <n v="477"/>
    <n v="1355"/>
    <n v="95"/>
    <n v="118"/>
    <n v="0.98399999999999999"/>
  </r>
  <r>
    <n v="2015"/>
    <x v="28"/>
    <s v="TEX"/>
    <n v="1"/>
    <s v="Y"/>
    <s v="N"/>
    <s v="N"/>
    <s v="N"/>
    <n v="88"/>
    <n v="74"/>
    <n v="751"/>
    <n v="5511"/>
    <n v="1419"/>
    <n v="279"/>
    <n v="32"/>
    <n v="172"/>
    <n v="503"/>
    <n v="1233"/>
    <n v="101"/>
    <n v="39"/>
    <n v="76"/>
    <n v="54"/>
    <n v="733"/>
    <n v="680"/>
    <n v="4.24"/>
    <n v="5"/>
    <n v="9"/>
    <n v="45"/>
    <n v="4328"/>
    <n v="1459"/>
    <n v="171"/>
    <n v="508"/>
    <n v="1095"/>
    <n v="119"/>
    <n v="169"/>
    <n v="0.98099999999999998"/>
  </r>
  <r>
    <n v="2015"/>
    <x v="29"/>
    <s v="TOR"/>
    <n v="1"/>
    <s v="Y"/>
    <s v="N"/>
    <s v="N"/>
    <s v="N"/>
    <n v="93"/>
    <n v="69"/>
    <n v="891"/>
    <n v="5509"/>
    <n v="1480"/>
    <n v="308"/>
    <n v="17"/>
    <n v="232"/>
    <n v="570"/>
    <n v="1151"/>
    <n v="88"/>
    <n v="23"/>
    <n v="54"/>
    <n v="62"/>
    <n v="670"/>
    <n v="609"/>
    <n v="3.8"/>
    <n v="7"/>
    <n v="10"/>
    <n v="34"/>
    <n v="4323"/>
    <n v="1353"/>
    <n v="173"/>
    <n v="397"/>
    <n v="1117"/>
    <n v="88"/>
    <n v="145"/>
    <n v="0.98499999999999999"/>
  </r>
  <r>
    <n v="2015"/>
    <x v="31"/>
    <s v="WAS"/>
    <n v="2"/>
    <s v="N"/>
    <s v="N"/>
    <s v="N"/>
    <s v="N"/>
    <n v="83"/>
    <n v="79"/>
    <n v="703"/>
    <n v="5428"/>
    <n v="1363"/>
    <n v="265"/>
    <n v="13"/>
    <n v="177"/>
    <n v="539"/>
    <n v="1344"/>
    <n v="57"/>
    <n v="23"/>
    <n v="44"/>
    <n v="51"/>
    <n v="635"/>
    <n v="577"/>
    <n v="3.62"/>
    <n v="4"/>
    <n v="13"/>
    <n v="41"/>
    <n v="4304"/>
    <n v="1366"/>
    <n v="145"/>
    <n v="364"/>
    <n v="1342"/>
    <n v="90"/>
    <n v="125"/>
    <n v="0.98499999999999999"/>
  </r>
  <r>
    <n v="2016"/>
    <x v="1"/>
    <s v="ARI"/>
    <n v="4"/>
    <s v="N"/>
    <s v="N"/>
    <s v="N"/>
    <s v="N"/>
    <n v="69"/>
    <n v="93"/>
    <n v="752"/>
    <n v="5665"/>
    <n v="1479"/>
    <n v="285"/>
    <n v="56"/>
    <n v="190"/>
    <n v="463"/>
    <n v="1427"/>
    <n v="137"/>
    <n v="31"/>
    <n v="50"/>
    <n v="38"/>
    <n v="890"/>
    <n v="821"/>
    <n v="5.09"/>
    <n v="2"/>
    <n v="7"/>
    <n v="31"/>
    <n v="4354"/>
    <n v="1563"/>
    <n v="202"/>
    <n v="603"/>
    <n v="1318"/>
    <n v="101"/>
    <n v="143"/>
    <n v="0.98299999999999998"/>
  </r>
  <r>
    <n v="2016"/>
    <x v="2"/>
    <s v="ATL"/>
    <n v="5"/>
    <s v="N"/>
    <s v="N"/>
    <s v="N"/>
    <s v="N"/>
    <n v="68"/>
    <n v="93"/>
    <n v="649"/>
    <n v="5514"/>
    <n v="1404"/>
    <n v="295"/>
    <n v="27"/>
    <n v="122"/>
    <n v="502"/>
    <n v="1240"/>
    <n v="75"/>
    <n v="34"/>
    <n v="59"/>
    <n v="52"/>
    <n v="779"/>
    <n v="725"/>
    <n v="4.51"/>
    <n v="1"/>
    <n v="9"/>
    <n v="39"/>
    <n v="4343"/>
    <n v="1414"/>
    <n v="177"/>
    <n v="547"/>
    <n v="1227"/>
    <n v="101"/>
    <n v="134"/>
    <n v="0.98299999999999998"/>
  </r>
  <r>
    <n v="2016"/>
    <x v="3"/>
    <s v="BAL"/>
    <n v="2"/>
    <s v="N"/>
    <s v="Y"/>
    <s v="N"/>
    <s v="N"/>
    <n v="89"/>
    <n v="73"/>
    <n v="744"/>
    <n v="5524"/>
    <n v="1413"/>
    <n v="265"/>
    <n v="6"/>
    <n v="253"/>
    <n v="468"/>
    <n v="1324"/>
    <n v="19"/>
    <n v="13"/>
    <n v="44"/>
    <n v="36"/>
    <n v="715"/>
    <n v="671"/>
    <n v="4.22"/>
    <n v="1"/>
    <n v="9"/>
    <n v="54"/>
    <n v="4296"/>
    <n v="1408"/>
    <n v="183"/>
    <n v="545"/>
    <n v="1248"/>
    <n v="80"/>
    <n v="165"/>
    <n v="0.98699999999999999"/>
  </r>
  <r>
    <n v="2016"/>
    <x v="4"/>
    <s v="BOS"/>
    <n v="1"/>
    <s v="Y"/>
    <s v="N"/>
    <s v="N"/>
    <s v="N"/>
    <n v="93"/>
    <n v="69"/>
    <n v="878"/>
    <n v="5670"/>
    <n v="1598"/>
    <n v="343"/>
    <n v="25"/>
    <n v="208"/>
    <n v="558"/>
    <n v="1160"/>
    <n v="83"/>
    <n v="24"/>
    <n v="43"/>
    <n v="40"/>
    <n v="694"/>
    <n v="640"/>
    <n v="4"/>
    <n v="9"/>
    <n v="5"/>
    <n v="43"/>
    <n v="4319"/>
    <n v="1342"/>
    <n v="176"/>
    <n v="490"/>
    <n v="1362"/>
    <n v="75"/>
    <n v="139"/>
    <n v="0.98699999999999999"/>
  </r>
  <r>
    <n v="2016"/>
    <x v="5"/>
    <s v="CHA"/>
    <n v="4"/>
    <s v="N"/>
    <s v="N"/>
    <s v="N"/>
    <s v="N"/>
    <n v="78"/>
    <n v="84"/>
    <n v="686"/>
    <n v="5550"/>
    <n v="1428"/>
    <n v="277"/>
    <n v="33"/>
    <n v="168"/>
    <n v="455"/>
    <n v="1285"/>
    <n v="77"/>
    <n v="36"/>
    <n v="53"/>
    <n v="44"/>
    <n v="715"/>
    <n v="659"/>
    <n v="4.0999999999999996"/>
    <n v="7"/>
    <n v="10"/>
    <n v="43"/>
    <n v="4340"/>
    <n v="1422"/>
    <n v="185"/>
    <n v="521"/>
    <n v="1270"/>
    <n v="95"/>
    <n v="148"/>
    <n v="0.98399999999999999"/>
  </r>
  <r>
    <n v="2016"/>
    <x v="6"/>
    <s v="CHN"/>
    <n v="1"/>
    <s v="Y"/>
    <s v="N"/>
    <s v="Y"/>
    <s v="Y"/>
    <n v="103"/>
    <n v="58"/>
    <n v="808"/>
    <n v="5503"/>
    <n v="1409"/>
    <n v="293"/>
    <n v="30"/>
    <n v="199"/>
    <n v="656"/>
    <n v="1339"/>
    <n v="66"/>
    <n v="34"/>
    <n v="96"/>
    <n v="37"/>
    <n v="556"/>
    <n v="511"/>
    <n v="3.15"/>
    <n v="5"/>
    <n v="15"/>
    <n v="38"/>
    <n v="4379"/>
    <n v="1125"/>
    <n v="163"/>
    <n v="495"/>
    <n v="1441"/>
    <n v="101"/>
    <n v="116"/>
    <n v="0.98299999999999998"/>
  </r>
  <r>
    <n v="2016"/>
    <x v="7"/>
    <s v="CIN"/>
    <n v="5"/>
    <s v="N"/>
    <s v="N"/>
    <s v="N"/>
    <s v="N"/>
    <n v="68"/>
    <n v="94"/>
    <n v="716"/>
    <n v="5487"/>
    <n v="1403"/>
    <n v="277"/>
    <n v="33"/>
    <n v="164"/>
    <n v="452"/>
    <n v="1284"/>
    <n v="139"/>
    <n v="51"/>
    <n v="52"/>
    <n v="44"/>
    <n v="854"/>
    <n v="786"/>
    <n v="4.91"/>
    <n v="2"/>
    <n v="8"/>
    <n v="28"/>
    <n v="4326"/>
    <n v="1457"/>
    <n v="258"/>
    <n v="636"/>
    <n v="1241"/>
    <n v="102"/>
    <n v="142"/>
    <n v="0.98299999999999998"/>
  </r>
  <r>
    <n v="2016"/>
    <x v="8"/>
    <s v="CLE"/>
    <n v="1"/>
    <s v="Y"/>
    <s v="N"/>
    <s v="Y"/>
    <s v="N"/>
    <n v="94"/>
    <n v="67"/>
    <n v="777"/>
    <n v="5484"/>
    <n v="1435"/>
    <n v="308"/>
    <n v="29"/>
    <n v="185"/>
    <n v="531"/>
    <n v="1246"/>
    <n v="134"/>
    <n v="31"/>
    <n v="49"/>
    <n v="60"/>
    <n v="676"/>
    <n v="617"/>
    <n v="3.84"/>
    <n v="5"/>
    <n v="11"/>
    <n v="37"/>
    <n v="4335"/>
    <n v="1330"/>
    <n v="186"/>
    <n v="461"/>
    <n v="1398"/>
    <n v="89"/>
    <n v="126"/>
    <n v="0.98499999999999999"/>
  </r>
  <r>
    <n v="2016"/>
    <x v="9"/>
    <s v="COL"/>
    <n v="3"/>
    <s v="N"/>
    <s v="N"/>
    <s v="N"/>
    <s v="N"/>
    <n v="75"/>
    <n v="87"/>
    <n v="845"/>
    <n v="5614"/>
    <n v="1544"/>
    <n v="318"/>
    <n v="47"/>
    <n v="204"/>
    <n v="494"/>
    <n v="1330"/>
    <n v="66"/>
    <n v="39"/>
    <n v="40"/>
    <n v="34"/>
    <n v="860"/>
    <n v="779"/>
    <n v="4.91"/>
    <n v="2"/>
    <n v="9"/>
    <n v="37"/>
    <n v="4288"/>
    <n v="1532"/>
    <n v="181"/>
    <n v="547"/>
    <n v="1223"/>
    <n v="110"/>
    <n v="148"/>
    <n v="0.98199999999999998"/>
  </r>
  <r>
    <n v="2016"/>
    <x v="10"/>
    <s v="DET"/>
    <n v="2"/>
    <s v="N"/>
    <s v="N"/>
    <s v="N"/>
    <s v="N"/>
    <n v="86"/>
    <n v="75"/>
    <n v="750"/>
    <n v="5526"/>
    <n v="1476"/>
    <n v="252"/>
    <n v="30"/>
    <n v="211"/>
    <n v="493"/>
    <n v="1303"/>
    <n v="58"/>
    <n v="29"/>
    <n v="53"/>
    <n v="38"/>
    <n v="721"/>
    <n v="672"/>
    <n v="4.24"/>
    <n v="3"/>
    <n v="8"/>
    <n v="47"/>
    <n v="4284"/>
    <n v="1417"/>
    <n v="182"/>
    <n v="462"/>
    <n v="1232"/>
    <n v="75"/>
    <n v="148"/>
    <n v="0.98699999999999999"/>
  </r>
  <r>
    <n v="2016"/>
    <x v="12"/>
    <s v="HOU"/>
    <n v="3"/>
    <s v="N"/>
    <s v="N"/>
    <s v="N"/>
    <s v="N"/>
    <n v="84"/>
    <n v="78"/>
    <n v="724"/>
    <n v="5545"/>
    <n v="1367"/>
    <n v="291"/>
    <n v="29"/>
    <n v="198"/>
    <n v="554"/>
    <n v="1452"/>
    <n v="102"/>
    <n v="44"/>
    <n v="47"/>
    <n v="31"/>
    <n v="701"/>
    <n v="663"/>
    <n v="4.0599999999999996"/>
    <n v="2"/>
    <n v="8"/>
    <n v="44"/>
    <n v="4404"/>
    <n v="1441"/>
    <n v="181"/>
    <n v="453"/>
    <n v="1396"/>
    <n v="77"/>
    <n v="135"/>
    <n v="0.98699999999999999"/>
  </r>
  <r>
    <n v="2016"/>
    <x v="13"/>
    <s v="KCA"/>
    <n v="3"/>
    <s v="N"/>
    <s v="N"/>
    <s v="N"/>
    <s v="N"/>
    <n v="81"/>
    <n v="81"/>
    <n v="675"/>
    <n v="5552"/>
    <n v="1450"/>
    <n v="264"/>
    <n v="33"/>
    <n v="147"/>
    <n v="382"/>
    <n v="1224"/>
    <n v="121"/>
    <n v="35"/>
    <n v="45"/>
    <n v="34"/>
    <n v="712"/>
    <n v="674"/>
    <n v="4.21"/>
    <n v="3"/>
    <n v="7"/>
    <n v="41"/>
    <n v="4320"/>
    <n v="1433"/>
    <n v="206"/>
    <n v="517"/>
    <n v="1287"/>
    <n v="94"/>
    <n v="134"/>
    <n v="0.98399999999999999"/>
  </r>
  <r>
    <n v="2016"/>
    <x v="30"/>
    <s v="LAA"/>
    <n v="4"/>
    <s v="N"/>
    <s v="N"/>
    <s v="N"/>
    <s v="N"/>
    <n v="74"/>
    <n v="88"/>
    <n v="717"/>
    <n v="5431"/>
    <n v="1410"/>
    <n v="279"/>
    <n v="20"/>
    <n v="156"/>
    <n v="471"/>
    <n v="991"/>
    <n v="73"/>
    <n v="34"/>
    <n v="51"/>
    <n v="49"/>
    <n v="727"/>
    <n v="676"/>
    <n v="4.28"/>
    <n v="4"/>
    <n v="12"/>
    <n v="29"/>
    <n v="4264"/>
    <n v="1480"/>
    <n v="208"/>
    <n v="498"/>
    <n v="1136"/>
    <n v="97"/>
    <n v="148"/>
    <n v="0.98299999999999998"/>
  </r>
  <r>
    <n v="2016"/>
    <x v="14"/>
    <s v="LAN"/>
    <n v="1"/>
    <s v="Y"/>
    <s v="N"/>
    <s v="N"/>
    <s v="N"/>
    <n v="91"/>
    <n v="71"/>
    <n v="725"/>
    <n v="5518"/>
    <n v="1376"/>
    <n v="272"/>
    <n v="21"/>
    <n v="189"/>
    <n v="525"/>
    <n v="1321"/>
    <n v="45"/>
    <n v="26"/>
    <n v="58"/>
    <n v="32"/>
    <n v="638"/>
    <n v="598"/>
    <n v="3.7"/>
    <n v="3"/>
    <n v="15"/>
    <n v="47"/>
    <n v="4359"/>
    <n v="1266"/>
    <n v="165"/>
    <n v="464"/>
    <n v="1510"/>
    <n v="80"/>
    <n v="101"/>
    <n v="0.98599999999999999"/>
  </r>
  <r>
    <n v="2016"/>
    <x v="33"/>
    <s v="MIA"/>
    <n v="3"/>
    <s v="N"/>
    <s v="N"/>
    <s v="N"/>
    <s v="N"/>
    <n v="79"/>
    <n v="82"/>
    <n v="655"/>
    <n v="5547"/>
    <n v="1460"/>
    <n v="259"/>
    <n v="42"/>
    <n v="128"/>
    <n v="447"/>
    <n v="1213"/>
    <n v="71"/>
    <n v="28"/>
    <n v="54"/>
    <n v="38"/>
    <n v="682"/>
    <n v="646"/>
    <n v="4.05"/>
    <n v="0"/>
    <n v="12"/>
    <n v="55"/>
    <n v="4305"/>
    <n v="1358"/>
    <n v="152"/>
    <n v="595"/>
    <n v="1379"/>
    <n v="86"/>
    <n v="137"/>
    <n v="0.98499999999999999"/>
  </r>
  <r>
    <n v="2016"/>
    <x v="15"/>
    <s v="MIL"/>
    <n v="4"/>
    <s v="N"/>
    <s v="N"/>
    <s v="N"/>
    <s v="N"/>
    <n v="73"/>
    <n v="89"/>
    <n v="671"/>
    <n v="5330"/>
    <n v="1299"/>
    <n v="249"/>
    <n v="19"/>
    <n v="194"/>
    <n v="599"/>
    <n v="1543"/>
    <n v="181"/>
    <n v="56"/>
    <n v="37"/>
    <n v="39"/>
    <n v="733"/>
    <n v="650"/>
    <n v="4.08"/>
    <n v="0"/>
    <n v="7"/>
    <n v="46"/>
    <n v="4303"/>
    <n v="1450"/>
    <n v="178"/>
    <n v="532"/>
    <n v="1175"/>
    <n v="136"/>
    <n v="145"/>
    <n v="0.97799999999999998"/>
  </r>
  <r>
    <n v="2016"/>
    <x v="16"/>
    <s v="MIN"/>
    <n v="5"/>
    <s v="N"/>
    <s v="N"/>
    <s v="N"/>
    <s v="N"/>
    <n v="59"/>
    <n v="103"/>
    <n v="722"/>
    <n v="5618"/>
    <n v="1409"/>
    <n v="288"/>
    <n v="35"/>
    <n v="200"/>
    <n v="513"/>
    <n v="1426"/>
    <n v="91"/>
    <n v="32"/>
    <n v="44"/>
    <n v="43"/>
    <n v="889"/>
    <n v="814"/>
    <n v="5.08"/>
    <n v="4"/>
    <n v="3"/>
    <n v="26"/>
    <n v="4329"/>
    <n v="1617"/>
    <n v="221"/>
    <n v="479"/>
    <n v="1191"/>
    <n v="126"/>
    <n v="172"/>
    <n v="0.97899999999999998"/>
  </r>
  <r>
    <n v="2016"/>
    <x v="18"/>
    <s v="NYA"/>
    <n v="4"/>
    <s v="N"/>
    <s v="N"/>
    <s v="N"/>
    <s v="N"/>
    <n v="84"/>
    <n v="78"/>
    <n v="680"/>
    <n v="5458"/>
    <n v="1378"/>
    <n v="245"/>
    <n v="20"/>
    <n v="183"/>
    <n v="475"/>
    <n v="1188"/>
    <n v="72"/>
    <n v="22"/>
    <n v="42"/>
    <n v="49"/>
    <n v="702"/>
    <n v="660"/>
    <n v="4.16"/>
    <n v="0"/>
    <n v="10"/>
    <n v="48"/>
    <n v="4285"/>
    <n v="1358"/>
    <n v="214"/>
    <n v="444"/>
    <n v="1393"/>
    <n v="86"/>
    <n v="116"/>
    <n v="0.98499999999999999"/>
  </r>
  <r>
    <n v="2016"/>
    <x v="19"/>
    <s v="NYN"/>
    <n v="2"/>
    <s v="N"/>
    <s v="Y"/>
    <s v="N"/>
    <s v="N"/>
    <n v="87"/>
    <n v="75"/>
    <n v="671"/>
    <n v="5459"/>
    <n v="1342"/>
    <n v="240"/>
    <n v="19"/>
    <n v="218"/>
    <n v="517"/>
    <n v="1302"/>
    <n v="42"/>
    <n v="18"/>
    <n v="62"/>
    <n v="41"/>
    <n v="617"/>
    <n v="574"/>
    <n v="3.57"/>
    <n v="1"/>
    <n v="13"/>
    <n v="55"/>
    <n v="4341"/>
    <n v="1397"/>
    <n v="152"/>
    <n v="439"/>
    <n v="1396"/>
    <n v="90"/>
    <n v="138"/>
    <n v="0.98499999999999999"/>
  </r>
  <r>
    <n v="2016"/>
    <x v="20"/>
    <s v="OAK"/>
    <n v="5"/>
    <s v="N"/>
    <s v="N"/>
    <s v="N"/>
    <s v="N"/>
    <n v="69"/>
    <n v="93"/>
    <n v="653"/>
    <n v="5500"/>
    <n v="1352"/>
    <n v="270"/>
    <n v="21"/>
    <n v="169"/>
    <n v="442"/>
    <n v="1145"/>
    <n v="50"/>
    <n v="23"/>
    <n v="33"/>
    <n v="34"/>
    <n v="761"/>
    <n v="718"/>
    <n v="4.51"/>
    <n v="2"/>
    <n v="7"/>
    <n v="42"/>
    <n v="4300"/>
    <n v="1459"/>
    <n v="185"/>
    <n v="464"/>
    <n v="1188"/>
    <n v="97"/>
    <n v="152"/>
    <n v="0.98399999999999999"/>
  </r>
  <r>
    <n v="2016"/>
    <x v="21"/>
    <s v="PHI"/>
    <n v="4"/>
    <s v="N"/>
    <s v="N"/>
    <s v="N"/>
    <s v="N"/>
    <n v="71"/>
    <n v="91"/>
    <n v="610"/>
    <n v="5434"/>
    <n v="1305"/>
    <n v="231"/>
    <n v="35"/>
    <n v="161"/>
    <n v="424"/>
    <n v="1376"/>
    <n v="96"/>
    <n v="45"/>
    <n v="58"/>
    <n v="30"/>
    <n v="796"/>
    <n v="739"/>
    <n v="4.63"/>
    <n v="4"/>
    <n v="12"/>
    <n v="43"/>
    <n v="4311"/>
    <n v="1468"/>
    <n v="213"/>
    <n v="466"/>
    <n v="1299"/>
    <n v="97"/>
    <n v="142"/>
    <n v="0.98399999999999999"/>
  </r>
  <r>
    <n v="2016"/>
    <x v="22"/>
    <s v="PIT"/>
    <n v="3"/>
    <s v="N"/>
    <s v="N"/>
    <s v="N"/>
    <s v="N"/>
    <n v="78"/>
    <n v="83"/>
    <n v="729"/>
    <n v="5542"/>
    <n v="1426"/>
    <n v="277"/>
    <n v="32"/>
    <n v="153"/>
    <n v="561"/>
    <n v="1334"/>
    <n v="110"/>
    <n v="45"/>
    <n v="81"/>
    <n v="36"/>
    <n v="758"/>
    <n v="679"/>
    <n v="4.21"/>
    <n v="5"/>
    <n v="5"/>
    <n v="51"/>
    <n v="4352"/>
    <n v="1490"/>
    <n v="180"/>
    <n v="533"/>
    <n v="1232"/>
    <n v="111"/>
    <n v="172"/>
    <n v="0.98199999999999998"/>
  </r>
  <r>
    <n v="2016"/>
    <x v="23"/>
    <s v="SDN"/>
    <n v="5"/>
    <s v="N"/>
    <s v="N"/>
    <s v="N"/>
    <s v="N"/>
    <n v="68"/>
    <n v="94"/>
    <n v="686"/>
    <n v="5419"/>
    <n v="1275"/>
    <n v="257"/>
    <n v="26"/>
    <n v="177"/>
    <n v="449"/>
    <n v="1500"/>
    <n v="125"/>
    <n v="45"/>
    <n v="58"/>
    <n v="36"/>
    <n v="770"/>
    <n v="708"/>
    <n v="4.43"/>
    <n v="1"/>
    <n v="9"/>
    <n v="35"/>
    <n v="4320"/>
    <n v="1425"/>
    <n v="183"/>
    <n v="569"/>
    <n v="1222"/>
    <n v="109"/>
    <n v="165"/>
    <n v="0.98199999999999998"/>
  </r>
  <r>
    <n v="2016"/>
    <x v="24"/>
    <s v="SEA"/>
    <n v="2"/>
    <s v="N"/>
    <s v="N"/>
    <s v="N"/>
    <s v="N"/>
    <n v="86"/>
    <n v="76"/>
    <n v="768"/>
    <n v="5583"/>
    <n v="1446"/>
    <n v="251"/>
    <n v="17"/>
    <n v="223"/>
    <n v="506"/>
    <n v="1288"/>
    <n v="56"/>
    <n v="28"/>
    <n v="72"/>
    <n v="41"/>
    <n v="707"/>
    <n v="647"/>
    <n v="4"/>
    <n v="2"/>
    <n v="8"/>
    <n v="49"/>
    <n v="4371"/>
    <n v="1410"/>
    <n v="213"/>
    <n v="460"/>
    <n v="1318"/>
    <n v="89"/>
    <n v="158"/>
    <n v="0.98499999999999999"/>
  </r>
  <r>
    <n v="2016"/>
    <x v="25"/>
    <s v="SFN"/>
    <n v="2"/>
    <s v="N"/>
    <s v="Y"/>
    <s v="N"/>
    <s v="N"/>
    <n v="87"/>
    <n v="75"/>
    <n v="715"/>
    <n v="5565"/>
    <n v="1437"/>
    <n v="280"/>
    <n v="54"/>
    <n v="130"/>
    <n v="572"/>
    <n v="1107"/>
    <n v="79"/>
    <n v="36"/>
    <n v="42"/>
    <n v="46"/>
    <n v="631"/>
    <n v="593"/>
    <n v="3.65"/>
    <n v="10"/>
    <n v="11"/>
    <n v="43"/>
    <n v="4381"/>
    <n v="1334"/>
    <n v="158"/>
    <n v="439"/>
    <n v="1309"/>
    <n v="72"/>
    <n v="136"/>
    <n v="0.98799999999999999"/>
  </r>
  <r>
    <n v="2016"/>
    <x v="26"/>
    <s v="SLN"/>
    <n v="2"/>
    <s v="N"/>
    <s v="N"/>
    <s v="N"/>
    <s v="N"/>
    <n v="86"/>
    <n v="76"/>
    <n v="779"/>
    <n v="5548"/>
    <n v="1415"/>
    <n v="299"/>
    <n v="32"/>
    <n v="225"/>
    <n v="526"/>
    <n v="1318"/>
    <n v="35"/>
    <n v="26"/>
    <n v="70"/>
    <n v="41"/>
    <n v="712"/>
    <n v="656"/>
    <n v="4.08"/>
    <n v="2"/>
    <n v="10"/>
    <n v="38"/>
    <n v="4345"/>
    <n v="1432"/>
    <n v="159"/>
    <n v="475"/>
    <n v="1290"/>
    <n v="107"/>
    <n v="169"/>
    <n v="0.98299999999999998"/>
  </r>
  <r>
    <n v="2016"/>
    <x v="32"/>
    <s v="TBA"/>
    <n v="5"/>
    <s v="N"/>
    <s v="N"/>
    <s v="N"/>
    <s v="N"/>
    <n v="68"/>
    <n v="94"/>
    <n v="672"/>
    <n v="5481"/>
    <n v="1333"/>
    <n v="288"/>
    <n v="32"/>
    <n v="216"/>
    <n v="449"/>
    <n v="1482"/>
    <n v="60"/>
    <n v="37"/>
    <n v="69"/>
    <n v="28"/>
    <n v="713"/>
    <n v="665"/>
    <n v="4.2"/>
    <n v="1"/>
    <n v="8"/>
    <n v="42"/>
    <n v="4279"/>
    <n v="1395"/>
    <n v="210"/>
    <n v="491"/>
    <n v="1357"/>
    <n v="94"/>
    <n v="129"/>
    <n v="0.98399999999999999"/>
  </r>
  <r>
    <n v="2016"/>
    <x v="28"/>
    <s v="TEX"/>
    <n v="1"/>
    <s v="Y"/>
    <s v="N"/>
    <s v="N"/>
    <s v="N"/>
    <n v="95"/>
    <n v="67"/>
    <n v="765"/>
    <n v="5525"/>
    <n v="1446"/>
    <n v="257"/>
    <n v="23"/>
    <n v="215"/>
    <n v="436"/>
    <n v="1220"/>
    <n v="99"/>
    <n v="36"/>
    <n v="70"/>
    <n v="40"/>
    <n v="757"/>
    <n v="700"/>
    <n v="4.37"/>
    <n v="1"/>
    <n v="6"/>
    <n v="56"/>
    <n v="4329"/>
    <n v="1441"/>
    <n v="201"/>
    <n v="534"/>
    <n v="1154"/>
    <n v="97"/>
    <n v="190"/>
    <n v="0.98399999999999999"/>
  </r>
  <r>
    <n v="2016"/>
    <x v="29"/>
    <s v="TOR"/>
    <n v="2"/>
    <s v="N"/>
    <s v="Y"/>
    <s v="N"/>
    <s v="N"/>
    <n v="89"/>
    <n v="73"/>
    <n v="759"/>
    <n v="5479"/>
    <n v="1358"/>
    <n v="276"/>
    <n v="18"/>
    <n v="221"/>
    <n v="632"/>
    <n v="1362"/>
    <n v="54"/>
    <n v="24"/>
    <n v="55"/>
    <n v="40"/>
    <n v="666"/>
    <n v="613"/>
    <n v="3.78"/>
    <n v="0"/>
    <n v="10"/>
    <n v="43"/>
    <n v="4378"/>
    <n v="1340"/>
    <n v="183"/>
    <n v="461"/>
    <n v="1314"/>
    <n v="88"/>
    <n v="144"/>
    <n v="0.98599999999999999"/>
  </r>
  <r>
    <n v="2016"/>
    <x v="31"/>
    <s v="WAS"/>
    <n v="1"/>
    <s v="Y"/>
    <s v="N"/>
    <s v="N"/>
    <s v="N"/>
    <n v="95"/>
    <n v="67"/>
    <n v="763"/>
    <n v="5490"/>
    <n v="1403"/>
    <n v="268"/>
    <n v="29"/>
    <n v="203"/>
    <n v="536"/>
    <n v="1252"/>
    <n v="121"/>
    <n v="39"/>
    <n v="64"/>
    <n v="63"/>
    <n v="612"/>
    <n v="570"/>
    <n v="3.51"/>
    <n v="1"/>
    <n v="12"/>
    <n v="46"/>
    <n v="4379"/>
    <n v="1272"/>
    <n v="155"/>
    <n v="468"/>
    <n v="1476"/>
    <n v="73"/>
    <n v="142"/>
    <n v="0.98799999999999999"/>
  </r>
  <r>
    <n v="2017"/>
    <x v="1"/>
    <s v="ARI"/>
    <n v="2"/>
    <s v="N"/>
    <s v="Y"/>
    <s v="N"/>
    <s v="N"/>
    <n v="93"/>
    <n v="69"/>
    <n v="812"/>
    <n v="5525"/>
    <n v="1405"/>
    <n v="314"/>
    <n v="39"/>
    <n v="220"/>
    <n v="578"/>
    <n v="1456"/>
    <n v="103"/>
    <n v="30"/>
    <n v="54"/>
    <n v="27"/>
    <n v="659"/>
    <n v="586"/>
    <n v="3.66"/>
    <n v="2"/>
    <n v="11"/>
    <n v="43"/>
    <n v="4323"/>
    <n v="1309"/>
    <n v="171"/>
    <n v="516"/>
    <n v="1482"/>
    <n v="108"/>
    <n v="140"/>
    <n v="0.98199999999999998"/>
  </r>
  <r>
    <n v="2017"/>
    <x v="2"/>
    <s v="ATL"/>
    <n v="3"/>
    <s v="N"/>
    <s v="N"/>
    <s v="N"/>
    <s v="N"/>
    <n v="72"/>
    <n v="90"/>
    <n v="732"/>
    <n v="5584"/>
    <n v="1467"/>
    <n v="289"/>
    <n v="26"/>
    <n v="165"/>
    <n v="474"/>
    <n v="1184"/>
    <n v="77"/>
    <n v="31"/>
    <n v="66"/>
    <n v="32"/>
    <n v="821"/>
    <n v="756"/>
    <n v="4.72"/>
    <n v="0"/>
    <n v="6"/>
    <n v="36"/>
    <n v="4324"/>
    <n v="1463"/>
    <n v="192"/>
    <n v="584"/>
    <n v="1258"/>
    <n v="97"/>
    <n v="137"/>
    <n v="0.98399999999999999"/>
  </r>
  <r>
    <n v="2017"/>
    <x v="3"/>
    <s v="BAL"/>
    <n v="5"/>
    <s v="N"/>
    <s v="N"/>
    <s v="N"/>
    <s v="N"/>
    <n v="75"/>
    <n v="87"/>
    <n v="743"/>
    <n v="5650"/>
    <n v="1469"/>
    <n v="269"/>
    <n v="12"/>
    <n v="232"/>
    <n v="392"/>
    <n v="1412"/>
    <n v="32"/>
    <n v="13"/>
    <n v="50"/>
    <n v="37"/>
    <n v="841"/>
    <n v="795"/>
    <n v="4.97"/>
    <n v="1"/>
    <n v="10"/>
    <n v="35"/>
    <n v="4323"/>
    <n v="1505"/>
    <n v="242"/>
    <n v="579"/>
    <n v="1233"/>
    <n v="94"/>
    <n v="175"/>
    <n v="0.98399999999999999"/>
  </r>
  <r>
    <n v="2017"/>
    <x v="4"/>
    <s v="BOS"/>
    <n v="1"/>
    <s v="Y"/>
    <s v="N"/>
    <s v="N"/>
    <s v="N"/>
    <n v="93"/>
    <n v="69"/>
    <n v="785"/>
    <n v="5669"/>
    <n v="1461"/>
    <n v="302"/>
    <n v="19"/>
    <n v="168"/>
    <n v="571"/>
    <n v="1224"/>
    <n v="106"/>
    <n v="31"/>
    <n v="53"/>
    <n v="36"/>
    <n v="668"/>
    <n v="610"/>
    <n v="3.7"/>
    <n v="5"/>
    <n v="11"/>
    <n v="39"/>
    <n v="4447"/>
    <n v="1384"/>
    <n v="195"/>
    <n v="465"/>
    <n v="1580"/>
    <n v="107"/>
    <n v="126"/>
    <n v="0.98199999999999998"/>
  </r>
  <r>
    <n v="2017"/>
    <x v="5"/>
    <s v="CHA"/>
    <n v="4"/>
    <s v="N"/>
    <s v="N"/>
    <s v="N"/>
    <s v="N"/>
    <n v="67"/>
    <n v="95"/>
    <n v="706"/>
    <n v="5513"/>
    <n v="1412"/>
    <n v="256"/>
    <n v="37"/>
    <n v="186"/>
    <n v="401"/>
    <n v="1397"/>
    <n v="71"/>
    <n v="31"/>
    <n v="76"/>
    <n v="33"/>
    <n v="820"/>
    <n v="755"/>
    <n v="4.78"/>
    <n v="0"/>
    <n v="3"/>
    <n v="25"/>
    <n v="4265"/>
    <n v="1384"/>
    <n v="242"/>
    <n v="632"/>
    <n v="1193"/>
    <n v="114"/>
    <n v="157"/>
    <n v="0.98099999999999998"/>
  </r>
  <r>
    <n v="2017"/>
    <x v="6"/>
    <s v="CHN"/>
    <n v="1"/>
    <s v="Y"/>
    <s v="N"/>
    <s v="N"/>
    <s v="N"/>
    <n v="92"/>
    <n v="70"/>
    <n v="822"/>
    <n v="5496"/>
    <n v="1402"/>
    <n v="274"/>
    <n v="29"/>
    <n v="223"/>
    <n v="622"/>
    <n v="1401"/>
    <n v="62"/>
    <n v="31"/>
    <n v="82"/>
    <n v="32"/>
    <n v="695"/>
    <n v="636"/>
    <n v="3.95"/>
    <n v="2"/>
    <n v="8"/>
    <n v="38"/>
    <n v="4342"/>
    <n v="1294"/>
    <n v="194"/>
    <n v="554"/>
    <n v="1439"/>
    <n v="95"/>
    <n v="139"/>
    <n v="0.98399999999999999"/>
  </r>
  <r>
    <n v="2017"/>
    <x v="7"/>
    <s v="CIN"/>
    <n v="5"/>
    <s v="N"/>
    <s v="N"/>
    <s v="N"/>
    <s v="N"/>
    <n v="68"/>
    <n v="94"/>
    <n v="753"/>
    <n v="5484"/>
    <n v="1390"/>
    <n v="249"/>
    <n v="38"/>
    <n v="219"/>
    <n v="565"/>
    <n v="1329"/>
    <n v="120"/>
    <n v="39"/>
    <n v="72"/>
    <n v="42"/>
    <n v="869"/>
    <n v="821"/>
    <n v="5.17"/>
    <n v="2"/>
    <n v="8"/>
    <n v="33"/>
    <n v="4290"/>
    <n v="1442"/>
    <n v="248"/>
    <n v="631"/>
    <n v="1300"/>
    <n v="81"/>
    <n v="132"/>
    <n v="0.98599999999999999"/>
  </r>
  <r>
    <n v="2017"/>
    <x v="8"/>
    <s v="CLE"/>
    <n v="1"/>
    <s v="Y"/>
    <s v="N"/>
    <s v="N"/>
    <s v="N"/>
    <n v="102"/>
    <n v="60"/>
    <n v="818"/>
    <n v="5511"/>
    <n v="1449"/>
    <n v="333"/>
    <n v="29"/>
    <n v="212"/>
    <n v="604"/>
    <n v="1153"/>
    <n v="88"/>
    <n v="23"/>
    <n v="50"/>
    <n v="45"/>
    <n v="564"/>
    <n v="529"/>
    <n v="3.3"/>
    <n v="7"/>
    <n v="19"/>
    <n v="37"/>
    <n v="4322"/>
    <n v="1267"/>
    <n v="163"/>
    <n v="406"/>
    <n v="1614"/>
    <n v="76"/>
    <n v="167"/>
    <n v="0.98699999999999999"/>
  </r>
  <r>
    <n v="2017"/>
    <x v="9"/>
    <s v="COL"/>
    <n v="3"/>
    <s v="N"/>
    <s v="Y"/>
    <s v="N"/>
    <s v="N"/>
    <n v="87"/>
    <n v="75"/>
    <n v="824"/>
    <n v="5534"/>
    <n v="1510"/>
    <n v="293"/>
    <n v="38"/>
    <n v="192"/>
    <n v="519"/>
    <n v="1408"/>
    <n v="59"/>
    <n v="34"/>
    <n v="44"/>
    <n v="41"/>
    <n v="757"/>
    <n v="721"/>
    <n v="4.51"/>
    <n v="1"/>
    <n v="9"/>
    <n v="47"/>
    <n v="4313"/>
    <n v="1453"/>
    <n v="190"/>
    <n v="532"/>
    <n v="1270"/>
    <n v="77"/>
    <n v="168"/>
    <n v="0.98699999999999999"/>
  </r>
  <r>
    <n v="2017"/>
    <x v="10"/>
    <s v="DET"/>
    <n v="5"/>
    <s v="N"/>
    <s v="N"/>
    <s v="N"/>
    <s v="N"/>
    <n v="64"/>
    <n v="98"/>
    <n v="735"/>
    <n v="5556"/>
    <n v="1435"/>
    <n v="289"/>
    <n v="35"/>
    <n v="187"/>
    <n v="503"/>
    <n v="1313"/>
    <n v="65"/>
    <n v="34"/>
    <n v="52"/>
    <n v="27"/>
    <n v="894"/>
    <n v="846"/>
    <n v="5.36"/>
    <n v="2"/>
    <n v="4"/>
    <n v="32"/>
    <n v="4261"/>
    <n v="1587"/>
    <n v="218"/>
    <n v="538"/>
    <n v="1202"/>
    <n v="84"/>
    <n v="146"/>
    <n v="0.98499999999999999"/>
  </r>
  <r>
    <n v="2017"/>
    <x v="12"/>
    <s v="HOU"/>
    <n v="1"/>
    <s v="Y"/>
    <s v="N"/>
    <s v="Y"/>
    <s v="Y"/>
    <n v="101"/>
    <n v="61"/>
    <n v="896"/>
    <n v="5611"/>
    <n v="1581"/>
    <n v="346"/>
    <n v="20"/>
    <n v="238"/>
    <n v="509"/>
    <n v="1087"/>
    <n v="98"/>
    <n v="42"/>
    <n v="70"/>
    <n v="61"/>
    <n v="700"/>
    <n v="662"/>
    <n v="4.12"/>
    <n v="1"/>
    <n v="9"/>
    <n v="45"/>
    <n v="4338"/>
    <n v="1314"/>
    <n v="192"/>
    <n v="522"/>
    <n v="1593"/>
    <n v="99"/>
    <n v="153"/>
    <n v="0.98299999999999998"/>
  </r>
  <r>
    <n v="2017"/>
    <x v="13"/>
    <s v="KCA"/>
    <n v="3"/>
    <s v="N"/>
    <s v="N"/>
    <s v="N"/>
    <s v="N"/>
    <n v="80"/>
    <n v="82"/>
    <n v="702"/>
    <n v="5536"/>
    <n v="1436"/>
    <n v="260"/>
    <n v="24"/>
    <n v="193"/>
    <n v="390"/>
    <n v="1166"/>
    <n v="91"/>
    <n v="31"/>
    <n v="45"/>
    <n v="37"/>
    <n v="791"/>
    <n v="737"/>
    <n v="4.6100000000000003"/>
    <n v="1"/>
    <n v="6"/>
    <n v="39"/>
    <n v="4313"/>
    <n v="1480"/>
    <n v="196"/>
    <n v="519"/>
    <n v="1216"/>
    <n v="79"/>
    <n v="145"/>
    <n v="0.98699999999999999"/>
  </r>
  <r>
    <n v="2017"/>
    <x v="30"/>
    <s v="LAA"/>
    <n v="2"/>
    <s v="N"/>
    <s v="N"/>
    <s v="N"/>
    <s v="N"/>
    <n v="80"/>
    <n v="82"/>
    <n v="710"/>
    <n v="5415"/>
    <n v="1314"/>
    <n v="251"/>
    <n v="14"/>
    <n v="186"/>
    <n v="523"/>
    <n v="1198"/>
    <n v="136"/>
    <n v="44"/>
    <n v="70"/>
    <n v="46"/>
    <n v="709"/>
    <n v="672"/>
    <n v="4.2"/>
    <n v="1"/>
    <n v="10"/>
    <n v="43"/>
    <n v="4322"/>
    <n v="1373"/>
    <n v="224"/>
    <n v="470"/>
    <n v="1312"/>
    <n v="80"/>
    <n v="135"/>
    <n v="0.98599999999999999"/>
  </r>
  <r>
    <n v="2017"/>
    <x v="14"/>
    <s v="LAN"/>
    <n v="1"/>
    <s v="Y"/>
    <s v="N"/>
    <s v="Y"/>
    <s v="N"/>
    <n v="104"/>
    <n v="58"/>
    <n v="770"/>
    <n v="5408"/>
    <n v="1347"/>
    <n v="312"/>
    <n v="20"/>
    <n v="221"/>
    <n v="649"/>
    <n v="1380"/>
    <n v="77"/>
    <n v="28"/>
    <n v="64"/>
    <n v="38"/>
    <n v="580"/>
    <n v="543"/>
    <n v="3.38"/>
    <n v="2"/>
    <n v="16"/>
    <n v="51"/>
    <n v="4334"/>
    <n v="1226"/>
    <n v="184"/>
    <n v="442"/>
    <n v="1549"/>
    <n v="88"/>
    <n v="131"/>
    <n v="0.98499999999999999"/>
  </r>
  <r>
    <n v="2017"/>
    <x v="33"/>
    <s v="MIA"/>
    <n v="2"/>
    <s v="N"/>
    <s v="N"/>
    <s v="N"/>
    <s v="N"/>
    <n v="77"/>
    <n v="85"/>
    <n v="778"/>
    <n v="5602"/>
    <n v="1497"/>
    <n v="271"/>
    <n v="31"/>
    <n v="194"/>
    <n v="486"/>
    <n v="1282"/>
    <n v="91"/>
    <n v="30"/>
    <n v="67"/>
    <n v="41"/>
    <n v="822"/>
    <n v="772"/>
    <n v="4.82"/>
    <n v="1"/>
    <n v="7"/>
    <n v="34"/>
    <n v="4328"/>
    <n v="1450"/>
    <n v="193"/>
    <n v="627"/>
    <n v="1202"/>
    <n v="73"/>
    <n v="156"/>
    <n v="0.98799999999999999"/>
  </r>
  <r>
    <n v="2017"/>
    <x v="15"/>
    <s v="MIL"/>
    <n v="2"/>
    <s v="N"/>
    <s v="N"/>
    <s v="N"/>
    <s v="N"/>
    <n v="86"/>
    <n v="76"/>
    <n v="732"/>
    <n v="5467"/>
    <n v="1363"/>
    <n v="267"/>
    <n v="22"/>
    <n v="224"/>
    <n v="547"/>
    <n v="1571"/>
    <n v="128"/>
    <n v="41"/>
    <n v="53"/>
    <n v="26"/>
    <n v="697"/>
    <n v="642"/>
    <n v="4"/>
    <n v="1"/>
    <n v="12"/>
    <n v="54"/>
    <n v="4337"/>
    <n v="1381"/>
    <n v="185"/>
    <n v="553"/>
    <n v="1346"/>
    <n v="115"/>
    <n v="164"/>
    <n v="0.98099999999999998"/>
  </r>
  <r>
    <n v="2017"/>
    <x v="16"/>
    <s v="MIN"/>
    <n v="2"/>
    <s v="N"/>
    <s v="Y"/>
    <s v="N"/>
    <s v="N"/>
    <n v="85"/>
    <n v="77"/>
    <n v="815"/>
    <n v="5557"/>
    <n v="1444"/>
    <n v="286"/>
    <n v="31"/>
    <n v="206"/>
    <n v="593"/>
    <n v="1342"/>
    <n v="95"/>
    <n v="28"/>
    <n v="46"/>
    <n v="39"/>
    <n v="788"/>
    <n v="732"/>
    <n v="4.59"/>
    <n v="6"/>
    <n v="11"/>
    <n v="42"/>
    <n v="4308"/>
    <n v="1487"/>
    <n v="224"/>
    <n v="483"/>
    <n v="1166"/>
    <n v="78"/>
    <n v="143"/>
    <n v="0.98699999999999999"/>
  </r>
  <r>
    <n v="2017"/>
    <x v="18"/>
    <s v="NYA"/>
    <n v="2"/>
    <s v="N"/>
    <s v="Y"/>
    <s v="N"/>
    <s v="N"/>
    <n v="91"/>
    <n v="71"/>
    <n v="858"/>
    <n v="5594"/>
    <n v="1463"/>
    <n v="266"/>
    <n v="23"/>
    <n v="241"/>
    <n v="616"/>
    <n v="1386"/>
    <n v="90"/>
    <n v="22"/>
    <n v="64"/>
    <n v="56"/>
    <n v="660"/>
    <n v="599"/>
    <n v="3.72"/>
    <n v="2"/>
    <n v="7"/>
    <n v="36"/>
    <n v="4346"/>
    <n v="1248"/>
    <n v="192"/>
    <n v="504"/>
    <n v="1560"/>
    <n v="95"/>
    <n v="102"/>
    <n v="0.98399999999999999"/>
  </r>
  <r>
    <n v="2017"/>
    <x v="19"/>
    <s v="NYN"/>
    <n v="4"/>
    <s v="N"/>
    <s v="N"/>
    <s v="N"/>
    <s v="N"/>
    <n v="70"/>
    <n v="92"/>
    <n v="735"/>
    <n v="5510"/>
    <n v="1379"/>
    <n v="286"/>
    <n v="28"/>
    <n v="224"/>
    <n v="529"/>
    <n v="1291"/>
    <n v="58"/>
    <n v="23"/>
    <n v="57"/>
    <n v="37"/>
    <n v="863"/>
    <n v="799"/>
    <n v="5.01"/>
    <n v="2"/>
    <n v="5"/>
    <n v="34"/>
    <n v="4304"/>
    <n v="1538"/>
    <n v="220"/>
    <n v="593"/>
    <n v="1374"/>
    <n v="92"/>
    <n v="125"/>
    <n v="0.98399999999999999"/>
  </r>
  <r>
    <n v="2017"/>
    <x v="20"/>
    <s v="OAK"/>
    <n v="5"/>
    <s v="N"/>
    <s v="N"/>
    <s v="N"/>
    <s v="N"/>
    <n v="75"/>
    <n v="87"/>
    <n v="739"/>
    <n v="5464"/>
    <n v="1344"/>
    <n v="305"/>
    <n v="15"/>
    <n v="234"/>
    <n v="565"/>
    <n v="1491"/>
    <n v="57"/>
    <n v="22"/>
    <n v="43"/>
    <n v="40"/>
    <n v="826"/>
    <n v="743"/>
    <n v="4.67"/>
    <n v="1"/>
    <n v="6"/>
    <n v="35"/>
    <n v="4293"/>
    <n v="1444"/>
    <n v="210"/>
    <n v="502"/>
    <n v="1202"/>
    <n v="121"/>
    <n v="162"/>
    <n v="0.98"/>
  </r>
  <r>
    <n v="2017"/>
    <x v="21"/>
    <s v="PHI"/>
    <n v="5"/>
    <s v="N"/>
    <s v="N"/>
    <s v="N"/>
    <s v="N"/>
    <n v="66"/>
    <n v="96"/>
    <n v="690"/>
    <n v="5535"/>
    <n v="1382"/>
    <n v="287"/>
    <n v="36"/>
    <n v="174"/>
    <n v="494"/>
    <n v="1417"/>
    <n v="59"/>
    <n v="25"/>
    <n v="47"/>
    <n v="36"/>
    <n v="782"/>
    <n v="729"/>
    <n v="4.55"/>
    <n v="1"/>
    <n v="7"/>
    <n v="33"/>
    <n v="4323"/>
    <n v="1471"/>
    <n v="221"/>
    <n v="527"/>
    <n v="1309"/>
    <n v="82"/>
    <n v="145"/>
    <n v="0.98599999999999999"/>
  </r>
  <r>
    <n v="2017"/>
    <x v="22"/>
    <s v="PIT"/>
    <n v="4"/>
    <s v="N"/>
    <s v="N"/>
    <s v="N"/>
    <s v="N"/>
    <n v="75"/>
    <n v="87"/>
    <n v="668"/>
    <n v="5458"/>
    <n v="1331"/>
    <n v="249"/>
    <n v="36"/>
    <n v="151"/>
    <n v="519"/>
    <n v="1213"/>
    <n v="67"/>
    <n v="36"/>
    <n v="88"/>
    <n v="28"/>
    <n v="731"/>
    <n v="676"/>
    <n v="4.22"/>
    <n v="2"/>
    <n v="12"/>
    <n v="36"/>
    <n v="4322"/>
    <n v="1464"/>
    <n v="182"/>
    <n v="511"/>
    <n v="1262"/>
    <n v="99"/>
    <n v="156"/>
    <n v="0.98399999999999999"/>
  </r>
  <r>
    <n v="2017"/>
    <x v="23"/>
    <s v="SDN"/>
    <n v="4"/>
    <s v="N"/>
    <s v="N"/>
    <s v="N"/>
    <s v="N"/>
    <n v="71"/>
    <n v="91"/>
    <n v="604"/>
    <n v="5356"/>
    <n v="1251"/>
    <n v="227"/>
    <n v="31"/>
    <n v="189"/>
    <n v="460"/>
    <n v="1499"/>
    <n v="89"/>
    <n v="33"/>
    <n v="53"/>
    <n v="33"/>
    <n v="816"/>
    <n v="742"/>
    <n v="4.67"/>
    <n v="2"/>
    <n v="12"/>
    <n v="45"/>
    <n v="4292"/>
    <n v="1417"/>
    <n v="226"/>
    <n v="554"/>
    <n v="1325"/>
    <n v="113"/>
    <n v="177"/>
    <n v="0.98099999999999998"/>
  </r>
  <r>
    <n v="2017"/>
    <x v="24"/>
    <s v="SEA"/>
    <n v="3"/>
    <s v="N"/>
    <s v="N"/>
    <s v="N"/>
    <s v="N"/>
    <n v="78"/>
    <n v="84"/>
    <n v="750"/>
    <n v="5551"/>
    <n v="1436"/>
    <n v="281"/>
    <n v="17"/>
    <n v="200"/>
    <n v="487"/>
    <n v="1267"/>
    <n v="89"/>
    <n v="35"/>
    <n v="78"/>
    <n v="35"/>
    <n v="772"/>
    <n v="713"/>
    <n v="4.46"/>
    <n v="1"/>
    <n v="9"/>
    <n v="39"/>
    <n v="4321"/>
    <n v="1399"/>
    <n v="237"/>
    <n v="490"/>
    <n v="1244"/>
    <n v="103"/>
    <n v="147"/>
    <n v="0.98199999999999998"/>
  </r>
  <r>
    <n v="2017"/>
    <x v="25"/>
    <s v="SFN"/>
    <n v="5"/>
    <s v="N"/>
    <s v="N"/>
    <s v="N"/>
    <s v="N"/>
    <n v="64"/>
    <n v="98"/>
    <n v="639"/>
    <n v="5551"/>
    <n v="1382"/>
    <n v="290"/>
    <n v="28"/>
    <n v="128"/>
    <n v="467"/>
    <n v="1204"/>
    <n v="76"/>
    <n v="34"/>
    <n v="36"/>
    <n v="52"/>
    <n v="776"/>
    <n v="726"/>
    <n v="4.5"/>
    <n v="3"/>
    <n v="5"/>
    <n v="32"/>
    <n v="4356"/>
    <n v="1515"/>
    <n v="182"/>
    <n v="496"/>
    <n v="1234"/>
    <n v="87"/>
    <n v="127"/>
    <n v="0.98499999999999999"/>
  </r>
  <r>
    <n v="2017"/>
    <x v="26"/>
    <s v="SLN"/>
    <n v="3"/>
    <s v="N"/>
    <s v="N"/>
    <s v="N"/>
    <s v="N"/>
    <n v="83"/>
    <n v="79"/>
    <n v="761"/>
    <n v="5470"/>
    <n v="1402"/>
    <n v="284"/>
    <n v="28"/>
    <n v="196"/>
    <n v="593"/>
    <n v="1348"/>
    <n v="81"/>
    <n v="31"/>
    <n v="65"/>
    <n v="44"/>
    <n v="705"/>
    <n v="646"/>
    <n v="4.01"/>
    <n v="3"/>
    <n v="12"/>
    <n v="43"/>
    <n v="4351"/>
    <n v="1393"/>
    <n v="183"/>
    <n v="493"/>
    <n v="1351"/>
    <n v="94"/>
    <n v="164"/>
    <n v="0.98399999999999999"/>
  </r>
  <r>
    <n v="2017"/>
    <x v="32"/>
    <s v="TBA"/>
    <n v="3"/>
    <s v="N"/>
    <s v="N"/>
    <s v="N"/>
    <s v="N"/>
    <n v="80"/>
    <n v="82"/>
    <n v="694"/>
    <n v="5478"/>
    <n v="1340"/>
    <n v="226"/>
    <n v="32"/>
    <n v="228"/>
    <n v="545"/>
    <n v="1538"/>
    <n v="88"/>
    <n v="34"/>
    <n v="55"/>
    <n v="48"/>
    <n v="704"/>
    <n v="638"/>
    <n v="3.97"/>
    <n v="0"/>
    <n v="9"/>
    <n v="53"/>
    <n v="4335"/>
    <n v="1324"/>
    <n v="193"/>
    <n v="503"/>
    <n v="1352"/>
    <n v="100"/>
    <n v="129"/>
    <n v="0.98299999999999998"/>
  </r>
  <r>
    <n v="2017"/>
    <x v="28"/>
    <s v="TEX"/>
    <n v="4"/>
    <s v="N"/>
    <s v="N"/>
    <s v="N"/>
    <s v="N"/>
    <n v="78"/>
    <n v="84"/>
    <n v="799"/>
    <n v="5430"/>
    <n v="1326"/>
    <n v="255"/>
    <n v="21"/>
    <n v="237"/>
    <n v="544"/>
    <n v="1493"/>
    <n v="113"/>
    <n v="44"/>
    <n v="81"/>
    <n v="39"/>
    <n v="816"/>
    <n v="742"/>
    <n v="4.66"/>
    <n v="2"/>
    <n v="6"/>
    <n v="29"/>
    <n v="4303"/>
    <n v="1443"/>
    <n v="214"/>
    <n v="559"/>
    <n v="1107"/>
    <n v="108"/>
    <n v="173"/>
    <n v="0.98199999999999998"/>
  </r>
  <r>
    <n v="2017"/>
    <x v="29"/>
    <s v="TOR"/>
    <n v="4"/>
    <s v="N"/>
    <s v="N"/>
    <s v="N"/>
    <s v="N"/>
    <n v="76"/>
    <n v="86"/>
    <n v="693"/>
    <n v="5499"/>
    <n v="1320"/>
    <n v="269"/>
    <n v="5"/>
    <n v="222"/>
    <n v="542"/>
    <n v="1327"/>
    <n v="53"/>
    <n v="24"/>
    <n v="51"/>
    <n v="35"/>
    <n v="784"/>
    <n v="720"/>
    <n v="4.42"/>
    <n v="2"/>
    <n v="6"/>
    <n v="45"/>
    <n v="4395"/>
    <n v="1460"/>
    <n v="203"/>
    <n v="549"/>
    <n v="1372"/>
    <n v="92"/>
    <n v="145"/>
    <n v="0.98499999999999999"/>
  </r>
  <r>
    <n v="2017"/>
    <x v="31"/>
    <s v="WAS"/>
    <n v="1"/>
    <s v="Y"/>
    <s v="N"/>
    <s v="N"/>
    <s v="N"/>
    <n v="97"/>
    <n v="65"/>
    <n v="819"/>
    <n v="5553"/>
    <n v="1477"/>
    <n v="311"/>
    <n v="31"/>
    <n v="215"/>
    <n v="542"/>
    <n v="1327"/>
    <n v="108"/>
    <n v="30"/>
    <n v="31"/>
    <n v="45"/>
    <n v="672"/>
    <n v="623"/>
    <n v="3.88"/>
    <n v="3"/>
    <n v="5"/>
    <n v="46"/>
    <n v="4340"/>
    <n v="1300"/>
    <n v="189"/>
    <n v="495"/>
    <n v="1457"/>
    <n v="86"/>
    <n v="139"/>
    <n v="0.98499999999999999"/>
  </r>
  <r>
    <n v="2018"/>
    <x v="1"/>
    <s v="ARI"/>
    <n v="3"/>
    <s v="N"/>
    <s v="N"/>
    <s v="N"/>
    <s v="N"/>
    <n v="82"/>
    <n v="80"/>
    <n v="693"/>
    <n v="5460"/>
    <n v="1283"/>
    <n v="259"/>
    <n v="50"/>
    <n v="176"/>
    <n v="560"/>
    <n v="1460"/>
    <n v="79"/>
    <n v="25"/>
    <n v="52"/>
    <n v="45"/>
    <n v="644"/>
    <n v="605"/>
    <n v="3.72"/>
    <n v="2"/>
    <n v="9"/>
    <n v="39"/>
    <n v="4389"/>
    <n v="1313"/>
    <n v="174"/>
    <n v="522"/>
    <n v="1448"/>
    <n v="75"/>
    <n v="152"/>
    <n v="0.98799999999999999"/>
  </r>
  <r>
    <n v="2018"/>
    <x v="2"/>
    <s v="ATL"/>
    <n v="1"/>
    <s v="Y"/>
    <s v="N"/>
    <s v="N"/>
    <s v="N"/>
    <n v="90"/>
    <n v="72"/>
    <n v="759"/>
    <n v="5582"/>
    <n v="1433"/>
    <n v="314"/>
    <n v="29"/>
    <n v="175"/>
    <n v="511"/>
    <n v="1290"/>
    <n v="90"/>
    <n v="36"/>
    <n v="66"/>
    <n v="43"/>
    <n v="657"/>
    <n v="607"/>
    <n v="3.75"/>
    <n v="2"/>
    <n v="11"/>
    <n v="40"/>
    <n v="4370"/>
    <n v="1236"/>
    <n v="153"/>
    <n v="635"/>
    <n v="1423"/>
    <n v="80"/>
    <n v="134"/>
    <n v="0.98599999999999999"/>
  </r>
  <r>
    <n v="2018"/>
    <x v="3"/>
    <s v="BAL"/>
    <n v="5"/>
    <s v="N"/>
    <s v="N"/>
    <s v="N"/>
    <s v="N"/>
    <n v="47"/>
    <n v="115"/>
    <n v="622"/>
    <n v="5507"/>
    <n v="1317"/>
    <n v="242"/>
    <n v="15"/>
    <n v="188"/>
    <n v="422"/>
    <n v="1412"/>
    <n v="81"/>
    <n v="22"/>
    <n v="57"/>
    <n v="35"/>
    <n v="892"/>
    <n v="824"/>
    <n v="5.18"/>
    <n v="2"/>
    <n v="7"/>
    <n v="28"/>
    <n v="4293"/>
    <n v="1552"/>
    <n v="234"/>
    <n v="589"/>
    <n v="1203"/>
    <n v="104"/>
    <n v="159"/>
    <n v="0.98199999999999998"/>
  </r>
  <r>
    <n v="2018"/>
    <x v="4"/>
    <s v="BOS"/>
    <n v="1"/>
    <s v="Y"/>
    <s v="N"/>
    <s v="Y"/>
    <s v="Y"/>
    <n v="108"/>
    <n v="54"/>
    <n v="876"/>
    <n v="5623"/>
    <n v="1509"/>
    <n v="355"/>
    <n v="31"/>
    <n v="208"/>
    <n v="569"/>
    <n v="1253"/>
    <n v="125"/>
    <n v="31"/>
    <n v="55"/>
    <n v="48"/>
    <n v="647"/>
    <n v="608"/>
    <n v="3.75"/>
    <n v="2"/>
    <n v="14"/>
    <n v="46"/>
    <n v="4376"/>
    <n v="1305"/>
    <n v="176"/>
    <n v="512"/>
    <n v="1558"/>
    <n v="77"/>
    <n v="106"/>
    <n v="0.98699999999999999"/>
  </r>
  <r>
    <n v="2018"/>
    <x v="5"/>
    <s v="CHA"/>
    <n v="4"/>
    <s v="N"/>
    <s v="N"/>
    <s v="N"/>
    <s v="N"/>
    <n v="62"/>
    <n v="100"/>
    <n v="656"/>
    <n v="5523"/>
    <n v="1332"/>
    <n v="259"/>
    <n v="40"/>
    <n v="182"/>
    <n v="425"/>
    <n v="1594"/>
    <n v="98"/>
    <n v="41"/>
    <n v="66"/>
    <n v="32"/>
    <n v="848"/>
    <n v="772"/>
    <n v="4.84"/>
    <n v="0"/>
    <n v="8"/>
    <n v="34"/>
    <n v="4311"/>
    <n v="1405"/>
    <n v="196"/>
    <n v="653"/>
    <n v="1259"/>
    <n v="114"/>
    <n v="135"/>
    <n v="0.98099999999999998"/>
  </r>
  <r>
    <n v="2018"/>
    <x v="6"/>
    <s v="CHN"/>
    <n v="2"/>
    <s v="N"/>
    <s v="Y"/>
    <s v="N"/>
    <s v="N"/>
    <n v="95"/>
    <n v="68"/>
    <n v="761"/>
    <n v="5624"/>
    <n v="1453"/>
    <n v="286"/>
    <n v="34"/>
    <n v="167"/>
    <n v="576"/>
    <n v="1388"/>
    <n v="66"/>
    <n v="38"/>
    <n v="78"/>
    <n v="46"/>
    <n v="645"/>
    <n v="598"/>
    <n v="3.65"/>
    <n v="1"/>
    <n v="18"/>
    <n v="46"/>
    <n v="4429"/>
    <n v="1319"/>
    <n v="157"/>
    <n v="622"/>
    <n v="1333"/>
    <n v="104"/>
    <n v="155"/>
    <n v="0.98299999999999998"/>
  </r>
  <r>
    <n v="2018"/>
    <x v="7"/>
    <s v="CIN"/>
    <n v="5"/>
    <s v="N"/>
    <s v="N"/>
    <s v="N"/>
    <s v="N"/>
    <n v="67"/>
    <n v="95"/>
    <n v="696"/>
    <n v="5532"/>
    <n v="1404"/>
    <n v="251"/>
    <n v="25"/>
    <n v="172"/>
    <n v="559"/>
    <n v="1376"/>
    <n v="77"/>
    <n v="33"/>
    <n v="65"/>
    <n v="35"/>
    <n v="819"/>
    <n v="741"/>
    <n v="4.63"/>
    <n v="1"/>
    <n v="6"/>
    <n v="38"/>
    <n v="4323"/>
    <n v="1491"/>
    <n v="228"/>
    <n v="532"/>
    <n v="1258"/>
    <n v="95"/>
    <n v="144"/>
    <n v="0.98399999999999999"/>
  </r>
  <r>
    <n v="2018"/>
    <x v="8"/>
    <s v="CLE"/>
    <n v="1"/>
    <s v="Y"/>
    <s v="N"/>
    <s v="N"/>
    <s v="N"/>
    <n v="91"/>
    <n v="71"/>
    <n v="818"/>
    <n v="5595"/>
    <n v="1447"/>
    <n v="297"/>
    <n v="19"/>
    <n v="216"/>
    <n v="554"/>
    <n v="1189"/>
    <n v="135"/>
    <n v="36"/>
    <n v="80"/>
    <n v="44"/>
    <n v="648"/>
    <n v="611"/>
    <n v="3.77"/>
    <n v="5"/>
    <n v="17"/>
    <n v="41"/>
    <n v="4372"/>
    <n v="1349"/>
    <n v="200"/>
    <n v="407"/>
    <n v="1544"/>
    <n v="83"/>
    <n v="123"/>
    <n v="0.98599999999999999"/>
  </r>
  <r>
    <n v="2018"/>
    <x v="9"/>
    <s v="COL"/>
    <n v="2"/>
    <s v="N"/>
    <s v="Y"/>
    <s v="N"/>
    <s v="N"/>
    <n v="91"/>
    <n v="72"/>
    <n v="780"/>
    <n v="5541"/>
    <n v="1418"/>
    <n v="280"/>
    <n v="42"/>
    <n v="210"/>
    <n v="507"/>
    <n v="1397"/>
    <n v="95"/>
    <n v="33"/>
    <n v="51"/>
    <n v="37"/>
    <n v="745"/>
    <n v="699"/>
    <n v="4.33"/>
    <n v="0"/>
    <n v="10"/>
    <n v="51"/>
    <n v="4357"/>
    <n v="1378"/>
    <n v="184"/>
    <n v="525"/>
    <n v="1409"/>
    <n v="74"/>
    <n v="162"/>
    <n v="0.98799999999999999"/>
  </r>
  <r>
    <n v="2018"/>
    <x v="10"/>
    <s v="DET"/>
    <n v="3"/>
    <s v="N"/>
    <s v="N"/>
    <s v="N"/>
    <s v="N"/>
    <n v="64"/>
    <n v="98"/>
    <n v="630"/>
    <n v="5494"/>
    <n v="1326"/>
    <n v="284"/>
    <n v="35"/>
    <n v="135"/>
    <n v="428"/>
    <n v="1341"/>
    <n v="70"/>
    <n v="30"/>
    <n v="52"/>
    <n v="40"/>
    <n v="796"/>
    <n v="726"/>
    <n v="4.58"/>
    <n v="0"/>
    <n v="2"/>
    <n v="37"/>
    <n v="4276"/>
    <n v="1423"/>
    <n v="216"/>
    <n v="491"/>
    <n v="1215"/>
    <n v="95"/>
    <n v="126"/>
    <n v="0.98399999999999999"/>
  </r>
  <r>
    <n v="2018"/>
    <x v="12"/>
    <s v="HOU"/>
    <n v="1"/>
    <s v="Y"/>
    <s v="N"/>
    <s v="N"/>
    <s v="N"/>
    <n v="103"/>
    <n v="59"/>
    <n v="797"/>
    <n v="5453"/>
    <n v="1390"/>
    <n v="278"/>
    <n v="18"/>
    <n v="205"/>
    <n v="565"/>
    <n v="1197"/>
    <n v="71"/>
    <n v="26"/>
    <n v="61"/>
    <n v="45"/>
    <n v="534"/>
    <n v="503"/>
    <n v="3.11"/>
    <n v="3"/>
    <n v="12"/>
    <n v="46"/>
    <n v="4365"/>
    <n v="1164"/>
    <n v="152"/>
    <n v="435"/>
    <n v="1687"/>
    <n v="63"/>
    <n v="116"/>
    <n v="0.98899999999999999"/>
  </r>
  <r>
    <n v="2018"/>
    <x v="13"/>
    <s v="KCA"/>
    <n v="5"/>
    <s v="N"/>
    <s v="N"/>
    <s v="N"/>
    <s v="N"/>
    <n v="58"/>
    <n v="104"/>
    <n v="638"/>
    <n v="5505"/>
    <n v="1350"/>
    <n v="283"/>
    <n v="29"/>
    <n v="155"/>
    <n v="427"/>
    <n v="1310"/>
    <n v="117"/>
    <n v="38"/>
    <n v="67"/>
    <n v="40"/>
    <n v="833"/>
    <n v="786"/>
    <n v="4.9400000000000004"/>
    <n v="2"/>
    <n v="8"/>
    <n v="33"/>
    <n v="4296"/>
    <n v="1542"/>
    <n v="205"/>
    <n v="549"/>
    <n v="1157"/>
    <n v="77"/>
    <n v="142"/>
    <n v="0.98699999999999999"/>
  </r>
  <r>
    <n v="2018"/>
    <x v="30"/>
    <s v="LAA"/>
    <n v="4"/>
    <s v="N"/>
    <s v="N"/>
    <s v="N"/>
    <s v="N"/>
    <n v="80"/>
    <n v="82"/>
    <n v="721"/>
    <n v="5472"/>
    <n v="1323"/>
    <n v="249"/>
    <n v="23"/>
    <n v="214"/>
    <n v="514"/>
    <n v="1300"/>
    <n v="89"/>
    <n v="22"/>
    <n v="73"/>
    <n v="39"/>
    <n v="722"/>
    <n v="662"/>
    <n v="4.1500000000000004"/>
    <n v="1"/>
    <n v="9"/>
    <n v="35"/>
    <n v="4312"/>
    <n v="1353"/>
    <n v="205"/>
    <n v="546"/>
    <n v="1386"/>
    <n v="76"/>
    <n v="173"/>
    <n v="0.98699999999999999"/>
  </r>
  <r>
    <n v="2018"/>
    <x v="14"/>
    <s v="LAN"/>
    <n v="1"/>
    <s v="Y"/>
    <s v="N"/>
    <s v="Y"/>
    <s v="N"/>
    <n v="92"/>
    <n v="71"/>
    <n v="804"/>
    <n v="5572"/>
    <n v="1394"/>
    <n v="296"/>
    <n v="33"/>
    <n v="235"/>
    <n v="647"/>
    <n v="1436"/>
    <n v="75"/>
    <n v="24"/>
    <n v="61"/>
    <n v="39"/>
    <n v="610"/>
    <n v="554"/>
    <n v="3.38"/>
    <n v="0"/>
    <n v="11"/>
    <n v="48"/>
    <n v="4428"/>
    <n v="1279"/>
    <n v="179"/>
    <n v="422"/>
    <n v="1565"/>
    <n v="100"/>
    <n v="111"/>
    <n v="0.98299999999999998"/>
  </r>
  <r>
    <n v="2018"/>
    <x v="33"/>
    <s v="MIA"/>
    <n v="5"/>
    <s v="N"/>
    <s v="N"/>
    <s v="N"/>
    <s v="N"/>
    <n v="63"/>
    <n v="98"/>
    <n v="589"/>
    <n v="5488"/>
    <n v="1303"/>
    <n v="222"/>
    <n v="24"/>
    <n v="128"/>
    <n v="455"/>
    <n v="1384"/>
    <n v="45"/>
    <n v="31"/>
    <n v="73"/>
    <n v="31"/>
    <n v="809"/>
    <n v="762"/>
    <n v="4.76"/>
    <n v="1"/>
    <n v="12"/>
    <n v="30"/>
    <n v="4326"/>
    <n v="1388"/>
    <n v="192"/>
    <n v="605"/>
    <n v="1249"/>
    <n v="83"/>
    <n v="133"/>
    <n v="0.98599999999999999"/>
  </r>
  <r>
    <n v="2018"/>
    <x v="15"/>
    <s v="MIL"/>
    <n v="1"/>
    <s v="Y"/>
    <s v="N"/>
    <s v="N"/>
    <s v="N"/>
    <n v="96"/>
    <n v="67"/>
    <n v="754"/>
    <n v="5542"/>
    <n v="1398"/>
    <n v="252"/>
    <n v="24"/>
    <n v="218"/>
    <n v="537"/>
    <n v="1458"/>
    <n v="124"/>
    <n v="32"/>
    <n v="58"/>
    <n v="41"/>
    <n v="659"/>
    <n v="606"/>
    <n v="3.73"/>
    <n v="0"/>
    <n v="14"/>
    <n v="49"/>
    <n v="4383"/>
    <n v="1259"/>
    <n v="173"/>
    <n v="553"/>
    <n v="1428"/>
    <n v="108"/>
    <n v="141"/>
    <n v="0.98199999999999998"/>
  </r>
  <r>
    <n v="2018"/>
    <x v="16"/>
    <s v="MIN"/>
    <n v="2"/>
    <s v="N"/>
    <s v="N"/>
    <s v="N"/>
    <s v="N"/>
    <n v="78"/>
    <n v="84"/>
    <n v="738"/>
    <n v="5526"/>
    <n v="1380"/>
    <n v="318"/>
    <n v="22"/>
    <n v="166"/>
    <n v="534"/>
    <n v="1328"/>
    <n v="47"/>
    <n v="27"/>
    <n v="37"/>
    <n v="38"/>
    <n v="775"/>
    <n v="721"/>
    <n v="4.5"/>
    <n v="2"/>
    <n v="7"/>
    <n v="37"/>
    <n v="4330"/>
    <n v="1425"/>
    <n v="198"/>
    <n v="573"/>
    <n v="1377"/>
    <n v="97"/>
    <n v="127"/>
    <n v="0.98399999999999999"/>
  </r>
  <r>
    <n v="2018"/>
    <x v="18"/>
    <s v="NYA"/>
    <n v="2"/>
    <s v="N"/>
    <s v="Y"/>
    <s v="N"/>
    <s v="N"/>
    <n v="100"/>
    <n v="62"/>
    <n v="851"/>
    <n v="5515"/>
    <n v="1374"/>
    <n v="269"/>
    <n v="23"/>
    <n v="267"/>
    <n v="625"/>
    <n v="1421"/>
    <n v="63"/>
    <n v="21"/>
    <n v="62"/>
    <n v="59"/>
    <n v="669"/>
    <n v="611"/>
    <n v="3.78"/>
    <n v="2"/>
    <n v="11"/>
    <n v="49"/>
    <n v="4369"/>
    <n v="1311"/>
    <n v="177"/>
    <n v="494"/>
    <n v="1634"/>
    <n v="94"/>
    <n v="95"/>
    <n v="0.98399999999999999"/>
  </r>
  <r>
    <n v="2018"/>
    <x v="19"/>
    <s v="NYN"/>
    <n v="4"/>
    <s v="N"/>
    <s v="N"/>
    <s v="N"/>
    <s v="N"/>
    <n v="77"/>
    <n v="85"/>
    <n v="676"/>
    <n v="5468"/>
    <n v="1282"/>
    <n v="265"/>
    <n v="34"/>
    <n v="170"/>
    <n v="566"/>
    <n v="1404"/>
    <n v="71"/>
    <n v="39"/>
    <n v="73"/>
    <n v="42"/>
    <n v="707"/>
    <n v="661"/>
    <n v="4.07"/>
    <n v="3"/>
    <n v="15"/>
    <n v="41"/>
    <n v="4382"/>
    <n v="1364"/>
    <n v="185"/>
    <n v="484"/>
    <n v="1446"/>
    <n v="88"/>
    <n v="121"/>
    <n v="0.98499999999999999"/>
  </r>
  <r>
    <n v="2018"/>
    <x v="20"/>
    <s v="OAK"/>
    <n v="2"/>
    <s v="N"/>
    <s v="Y"/>
    <s v="N"/>
    <s v="N"/>
    <n v="97"/>
    <n v="65"/>
    <n v="813"/>
    <n v="5579"/>
    <n v="1407"/>
    <n v="322"/>
    <n v="20"/>
    <n v="227"/>
    <n v="550"/>
    <n v="1381"/>
    <n v="35"/>
    <n v="21"/>
    <n v="76"/>
    <n v="44"/>
    <n v="674"/>
    <n v="621"/>
    <n v="3.81"/>
    <n v="2"/>
    <n v="14"/>
    <n v="44"/>
    <n v="4397"/>
    <n v="1303"/>
    <n v="184"/>
    <n v="474"/>
    <n v="1237"/>
    <n v="89"/>
    <n v="125"/>
    <n v="0.98499999999999999"/>
  </r>
  <r>
    <n v="2018"/>
    <x v="21"/>
    <s v="PHI"/>
    <n v="3"/>
    <s v="N"/>
    <s v="N"/>
    <s v="N"/>
    <s v="N"/>
    <n v="80"/>
    <n v="82"/>
    <n v="677"/>
    <n v="5424"/>
    <n v="1271"/>
    <n v="241"/>
    <n v="30"/>
    <n v="186"/>
    <n v="582"/>
    <n v="1520"/>
    <n v="69"/>
    <n v="26"/>
    <n v="64"/>
    <n v="32"/>
    <n v="728"/>
    <n v="665"/>
    <n v="4.1399999999999997"/>
    <n v="0"/>
    <n v="12"/>
    <n v="44"/>
    <n v="4337"/>
    <n v="1366"/>
    <n v="171"/>
    <n v="500"/>
    <n v="1465"/>
    <n v="123"/>
    <n v="138"/>
    <n v="0.97899999999999998"/>
  </r>
  <r>
    <n v="2018"/>
    <x v="22"/>
    <s v="PIT"/>
    <n v="4"/>
    <s v="N"/>
    <s v="N"/>
    <s v="N"/>
    <s v="N"/>
    <n v="82"/>
    <n v="79"/>
    <n v="692"/>
    <n v="5447"/>
    <n v="1381"/>
    <n v="290"/>
    <n v="38"/>
    <n v="157"/>
    <n v="474"/>
    <n v="1229"/>
    <n v="70"/>
    <n v="38"/>
    <n v="59"/>
    <n v="52"/>
    <n v="693"/>
    <n v="637"/>
    <n v="4"/>
    <n v="3"/>
    <n v="16"/>
    <n v="40"/>
    <n v="4302"/>
    <n v="1380"/>
    <n v="174"/>
    <n v="497"/>
    <n v="1336"/>
    <n v="105"/>
    <n v="129"/>
    <n v="0.98199999999999998"/>
  </r>
  <r>
    <n v="2018"/>
    <x v="23"/>
    <s v="SDN"/>
    <n v="5"/>
    <s v="N"/>
    <s v="N"/>
    <s v="N"/>
    <s v="N"/>
    <n v="66"/>
    <n v="96"/>
    <n v="617"/>
    <n v="5486"/>
    <n v="1289"/>
    <n v="250"/>
    <n v="30"/>
    <n v="162"/>
    <n v="471"/>
    <n v="1523"/>
    <n v="95"/>
    <n v="36"/>
    <n v="31"/>
    <n v="36"/>
    <n v="767"/>
    <n v="713"/>
    <n v="4.4000000000000004"/>
    <n v="0"/>
    <n v="5"/>
    <n v="36"/>
    <n v="4371"/>
    <n v="1430"/>
    <n v="185"/>
    <n v="519"/>
    <n v="1399"/>
    <n v="100"/>
    <n v="127"/>
    <n v="0.98299999999999998"/>
  </r>
  <r>
    <n v="2018"/>
    <x v="24"/>
    <s v="SEA"/>
    <n v="3"/>
    <s v="N"/>
    <s v="N"/>
    <s v="N"/>
    <s v="N"/>
    <n v="89"/>
    <n v="73"/>
    <n v="677"/>
    <n v="5513"/>
    <n v="1402"/>
    <n v="256"/>
    <n v="32"/>
    <n v="176"/>
    <n v="430"/>
    <n v="1221"/>
    <n v="79"/>
    <n v="37"/>
    <n v="70"/>
    <n v="41"/>
    <n v="711"/>
    <n v="664"/>
    <n v="4.13"/>
    <n v="3"/>
    <n v="12"/>
    <n v="60"/>
    <n v="4346"/>
    <n v="1396"/>
    <n v="195"/>
    <n v="400"/>
    <n v="1328"/>
    <n v="88"/>
    <n v="152"/>
    <n v="0.98499999999999999"/>
  </r>
  <r>
    <n v="2018"/>
    <x v="25"/>
    <s v="SFN"/>
    <n v="4"/>
    <s v="N"/>
    <s v="N"/>
    <s v="N"/>
    <s v="N"/>
    <n v="73"/>
    <n v="89"/>
    <n v="603"/>
    <n v="5541"/>
    <n v="1324"/>
    <n v="255"/>
    <n v="30"/>
    <n v="133"/>
    <n v="448"/>
    <n v="1467"/>
    <n v="77"/>
    <n v="34"/>
    <n v="49"/>
    <n v="42"/>
    <n v="699"/>
    <n v="641"/>
    <n v="3.95"/>
    <n v="1"/>
    <n v="15"/>
    <n v="36"/>
    <n v="4384"/>
    <n v="1387"/>
    <n v="156"/>
    <n v="524"/>
    <n v="1269"/>
    <n v="97"/>
    <n v="160"/>
    <n v="0.98399999999999999"/>
  </r>
  <r>
    <n v="2018"/>
    <x v="26"/>
    <s v="SLN"/>
    <n v="3"/>
    <s v="N"/>
    <s v="N"/>
    <s v="N"/>
    <s v="N"/>
    <n v="88"/>
    <n v="74"/>
    <n v="759"/>
    <n v="5498"/>
    <n v="1369"/>
    <n v="248"/>
    <n v="9"/>
    <n v="205"/>
    <n v="525"/>
    <n v="1380"/>
    <n v="63"/>
    <n v="32"/>
    <n v="80"/>
    <n v="48"/>
    <n v="691"/>
    <n v="622"/>
    <n v="3.85"/>
    <n v="1"/>
    <n v="8"/>
    <n v="43"/>
    <n v="4366"/>
    <n v="1354"/>
    <n v="144"/>
    <n v="593"/>
    <n v="1337"/>
    <n v="133"/>
    <n v="151"/>
    <n v="0.97799999999999998"/>
  </r>
  <r>
    <n v="2018"/>
    <x v="32"/>
    <s v="TBA"/>
    <n v="3"/>
    <s v="N"/>
    <s v="N"/>
    <s v="N"/>
    <s v="N"/>
    <n v="90"/>
    <n v="72"/>
    <n v="716"/>
    <n v="5475"/>
    <n v="1415"/>
    <n v="274"/>
    <n v="43"/>
    <n v="150"/>
    <n v="540"/>
    <n v="1388"/>
    <n v="128"/>
    <n v="51"/>
    <n v="101"/>
    <n v="50"/>
    <n v="646"/>
    <n v="602"/>
    <n v="3.74"/>
    <n v="0"/>
    <n v="14"/>
    <n v="52"/>
    <n v="4345"/>
    <n v="1236"/>
    <n v="164"/>
    <n v="501"/>
    <n v="1421"/>
    <n v="85"/>
    <n v="136"/>
    <n v="0.98599999999999999"/>
  </r>
  <r>
    <n v="2018"/>
    <x v="28"/>
    <s v="TEX"/>
    <n v="5"/>
    <s v="N"/>
    <s v="N"/>
    <s v="N"/>
    <s v="N"/>
    <n v="67"/>
    <n v="95"/>
    <n v="737"/>
    <n v="5453"/>
    <n v="1308"/>
    <n v="266"/>
    <n v="24"/>
    <n v="194"/>
    <n v="555"/>
    <n v="1484"/>
    <n v="74"/>
    <n v="35"/>
    <n v="88"/>
    <n v="34"/>
    <n v="848"/>
    <n v="783"/>
    <n v="4.92"/>
    <n v="1"/>
    <n v="5"/>
    <n v="42"/>
    <n v="4293"/>
    <n v="1516"/>
    <n v="222"/>
    <n v="491"/>
    <n v="1121"/>
    <n v="120"/>
    <n v="168"/>
    <n v="0.98"/>
  </r>
  <r>
    <n v="2018"/>
    <x v="29"/>
    <s v="TOR"/>
    <n v="4"/>
    <s v="N"/>
    <s v="N"/>
    <s v="N"/>
    <s v="N"/>
    <n v="73"/>
    <n v="89"/>
    <n v="709"/>
    <n v="5477"/>
    <n v="1336"/>
    <n v="320"/>
    <n v="16"/>
    <n v="217"/>
    <n v="499"/>
    <n v="1387"/>
    <n v="47"/>
    <n v="30"/>
    <n v="58"/>
    <n v="37"/>
    <n v="832"/>
    <n v="772"/>
    <n v="4.8499999999999996"/>
    <n v="0"/>
    <n v="3"/>
    <n v="39"/>
    <n v="4301"/>
    <n v="1476"/>
    <n v="208"/>
    <n v="551"/>
    <n v="1298"/>
    <n v="101"/>
    <n v="138"/>
    <n v="0.98299999999999998"/>
  </r>
  <r>
    <n v="2018"/>
    <x v="31"/>
    <s v="WAS"/>
    <n v="2"/>
    <s v="N"/>
    <s v="N"/>
    <s v="N"/>
    <s v="N"/>
    <n v="82"/>
    <n v="80"/>
    <n v="771"/>
    <n v="5517"/>
    <n v="1402"/>
    <n v="284"/>
    <n v="25"/>
    <n v="191"/>
    <n v="631"/>
    <n v="1289"/>
    <n v="119"/>
    <n v="33"/>
    <n v="59"/>
    <n v="40"/>
    <n v="682"/>
    <n v="649"/>
    <n v="4.04"/>
    <n v="2"/>
    <n v="7"/>
    <n v="40"/>
    <n v="4338"/>
    <n v="1320"/>
    <n v="198"/>
    <n v="487"/>
    <n v="1417"/>
    <n v="64"/>
    <n v="115"/>
    <n v="0.988999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E95E36-A704-8C47-A8FC-EB07D8A4CB52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Team Name">
  <location ref="A3:F38" firstHeaderRow="0" firstDataRow="1" firstDataCol="1"/>
  <pivotFields count="36">
    <pivotField showAll="0"/>
    <pivotField axis="axisRow" showAll="0" sortType="descending">
      <items count="35"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x="12"/>
        <item x="13"/>
        <item x="30"/>
        <item x="14"/>
        <item x="33"/>
        <item x="15"/>
        <item x="16"/>
        <item x="17"/>
        <item x="19"/>
        <item x="18"/>
        <item x="20"/>
        <item x="21"/>
        <item x="22"/>
        <item x="23"/>
        <item x="25"/>
        <item x="24"/>
        <item x="26"/>
        <item x="27"/>
        <item x="32"/>
        <item x="28"/>
        <item x="29"/>
        <item x="3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5">
    <i>
      <x v="4"/>
    </i>
    <i>
      <x v="31"/>
    </i>
    <i>
      <x v="10"/>
    </i>
    <i>
      <x v="3"/>
    </i>
    <i>
      <x v="13"/>
    </i>
    <i>
      <x v="18"/>
    </i>
    <i>
      <x v="9"/>
    </i>
    <i>
      <x v="21"/>
    </i>
    <i>
      <x v="32"/>
    </i>
    <i>
      <x v="27"/>
    </i>
    <i>
      <x v="8"/>
    </i>
    <i>
      <x v="23"/>
    </i>
    <i>
      <x v="22"/>
    </i>
    <i>
      <x v="1"/>
    </i>
    <i>
      <x v="5"/>
    </i>
    <i>
      <x v="2"/>
    </i>
    <i>
      <x v="28"/>
    </i>
    <i>
      <x v="6"/>
    </i>
    <i>
      <x v="26"/>
    </i>
    <i>
      <x v="7"/>
    </i>
    <i>
      <x v="12"/>
    </i>
    <i>
      <x v="20"/>
    </i>
    <i>
      <x v="15"/>
    </i>
    <i>
      <x v="24"/>
    </i>
    <i>
      <x v="17"/>
    </i>
    <i>
      <x v="25"/>
    </i>
    <i>
      <x v="14"/>
    </i>
    <i>
      <x v="33"/>
    </i>
    <i>
      <x v="11"/>
    </i>
    <i>
      <x v="30"/>
    </i>
    <i>
      <x v="29"/>
    </i>
    <i>
      <x v="16"/>
    </i>
    <i>
      <x/>
    </i>
    <i>
      <x v="1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AB" fld="11" baseField="0" baseItem="0"/>
    <dataField name="Sum of H" fld="12" baseField="0" baseItem="0"/>
    <dataField name="Sum of 2B" fld="13" baseField="0" baseItem="0"/>
    <dataField name="Sum of 3B" fld="14" baseField="0" baseItem="0"/>
    <dataField name="Sum of HR" fld="15" baseField="0" baseItem="0"/>
  </dataFields>
  <formats count="3">
    <format dxfId="2">
      <pivotArea collapsedLevelsAreSubtotals="1" fieldPosition="0">
        <references count="2">
          <reference field="4294967294" count="1" selected="0">
            <x v="0"/>
          </reference>
          <reference field="1" count="0"/>
        </references>
      </pivotArea>
    </format>
    <format dxfId="1">
      <pivotArea collapsedLevelsAreSubtotals="1" fieldPosition="0">
        <references count="2">
          <reference field="4294967294" count="2" selected="0">
            <x v="1"/>
            <x v="2"/>
          </reference>
          <reference field="1" count="0"/>
        </references>
      </pivotArea>
    </format>
    <format dxfId="0">
      <pivotArea collapsedLevelsAreSubtotals="1" fieldPosition="0">
        <references count="2">
          <reference field="4294967294" count="1" selected="0">
            <x v="4"/>
          </reference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FinalProject" connectionId="1" xr16:uid="{B3732316-50EB-DE4F-B3E2-92981A28B0C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1D5EF-4CE0-ED4A-8CB6-0A4B06A73B2F}">
  <sheetPr codeName="Sheet1"/>
  <dimension ref="A1:BE571"/>
  <sheetViews>
    <sheetView zoomScale="59" workbookViewId="0">
      <pane xSplit="3" ySplit="1" topLeftCell="AI2" activePane="bottomRight" state="frozen"/>
      <selection pane="topRight" activeCell="D1" sqref="D1"/>
      <selection pane="bottomLeft" activeCell="A2" sqref="A2"/>
      <selection pane="bottomRight" activeCell="B2" sqref="B2"/>
    </sheetView>
  </sheetViews>
  <sheetFormatPr baseColWidth="10" defaultColWidth="11" defaultRowHeight="16" x14ac:dyDescent="0.2"/>
  <cols>
    <col min="1" max="1" width="2.1640625" customWidth="1"/>
    <col min="2" max="2" width="15" customWidth="1"/>
    <col min="3" max="3" width="27.33203125" bestFit="1" customWidth="1"/>
    <col min="4" max="5" width="8.33203125" bestFit="1" customWidth="1"/>
    <col min="6" max="9" width="8.5" bestFit="1" customWidth="1"/>
    <col min="10" max="11" width="4.1640625" bestFit="1" customWidth="1"/>
    <col min="12" max="12" width="5.1640625" bestFit="1" customWidth="1"/>
    <col min="13" max="14" width="5.1640625" style="38" bestFit="1" customWidth="1"/>
    <col min="15" max="15" width="5.1640625" style="38" customWidth="1"/>
    <col min="16" max="17" width="4.1640625" style="38" bestFit="1" customWidth="1"/>
    <col min="18" max="18" width="4.1640625" style="38" customWidth="1"/>
    <col min="19" max="20" width="5.1640625" style="38" customWidth="1"/>
    <col min="21" max="21" width="5.33203125" style="38" bestFit="1" customWidth="1"/>
    <col min="22" max="22" width="5.1640625" customWidth="1"/>
    <col min="23" max="23" width="4.1640625" customWidth="1"/>
    <col min="24" max="24" width="4.5" customWidth="1"/>
    <col min="25" max="26" width="4.1640625" bestFit="1" customWidth="1"/>
    <col min="27" max="28" width="5.1640625" bestFit="1" customWidth="1"/>
    <col min="29" max="29" width="4.6640625" bestFit="1" customWidth="1"/>
    <col min="30" max="30" width="5.33203125" bestFit="1" customWidth="1"/>
    <col min="31" max="31" width="6.1640625" bestFit="1" customWidth="1"/>
    <col min="32" max="39" width="6.1640625" customWidth="1"/>
    <col min="40" max="40" width="6.6640625" bestFit="1" customWidth="1"/>
    <col min="41" max="41" width="7.5" bestFit="1" customWidth="1"/>
    <col min="42" max="42" width="5.1640625" bestFit="1" customWidth="1"/>
    <col min="43" max="43" width="5.33203125" bestFit="1" customWidth="1"/>
    <col min="44" max="45" width="5.1640625" bestFit="1" customWidth="1"/>
    <col min="46" max="46" width="4.1640625" bestFit="1" customWidth="1"/>
    <col min="47" max="47" width="6.1640625" bestFit="1" customWidth="1"/>
    <col min="50" max="50" width="5.6640625" customWidth="1"/>
    <col min="51" max="51" width="6.6640625" bestFit="1" customWidth="1"/>
    <col min="52" max="52" width="6.6640625" customWidth="1"/>
    <col min="53" max="53" width="15.1640625" bestFit="1" customWidth="1"/>
    <col min="54" max="54" width="15.1640625" customWidth="1"/>
    <col min="56" max="56" width="27.33203125" bestFit="1" customWidth="1"/>
  </cols>
  <sheetData>
    <row r="1" spans="1:57" s="44" customFormat="1" ht="20" thickBot="1" x14ac:dyDescent="0.3">
      <c r="A1" s="39"/>
      <c r="B1" s="40" t="s">
        <v>0</v>
      </c>
      <c r="C1" s="41" t="s">
        <v>1</v>
      </c>
      <c r="D1" s="41" t="s">
        <v>2</v>
      </c>
      <c r="E1" s="41" t="s">
        <v>3</v>
      </c>
      <c r="F1" s="41" t="s">
        <v>4</v>
      </c>
      <c r="G1" s="41" t="s">
        <v>5</v>
      </c>
      <c r="H1" s="41" t="s">
        <v>6</v>
      </c>
      <c r="I1" s="41" t="s">
        <v>7</v>
      </c>
      <c r="J1" s="41" t="s">
        <v>8</v>
      </c>
      <c r="K1" s="41" t="s">
        <v>9</v>
      </c>
      <c r="L1" s="41" t="s">
        <v>10</v>
      </c>
      <c r="M1" s="42" t="s">
        <v>11</v>
      </c>
      <c r="N1" s="42" t="s">
        <v>12</v>
      </c>
      <c r="O1" s="42" t="s">
        <v>136</v>
      </c>
      <c r="P1" s="42" t="s">
        <v>13</v>
      </c>
      <c r="Q1" s="42" t="s">
        <v>14</v>
      </c>
      <c r="R1" s="42" t="s">
        <v>15</v>
      </c>
      <c r="S1" s="42" t="s">
        <v>16</v>
      </c>
      <c r="T1" s="42" t="s">
        <v>20</v>
      </c>
      <c r="U1" s="42" t="s">
        <v>145</v>
      </c>
      <c r="V1" s="41" t="s">
        <v>17</v>
      </c>
      <c r="W1" s="41" t="s">
        <v>18</v>
      </c>
      <c r="X1" s="41" t="s">
        <v>19</v>
      </c>
      <c r="Y1" s="41" t="s">
        <v>21</v>
      </c>
      <c r="Z1" s="41" t="s">
        <v>22</v>
      </c>
      <c r="AA1" s="41" t="s">
        <v>23</v>
      </c>
      <c r="AB1" s="41" t="s">
        <v>24</v>
      </c>
      <c r="AC1" s="41" t="s">
        <v>25</v>
      </c>
      <c r="AD1" s="41" t="s">
        <v>26</v>
      </c>
      <c r="AE1" s="41" t="s">
        <v>27</v>
      </c>
      <c r="AF1" s="43" t="s">
        <v>137</v>
      </c>
      <c r="AG1" s="43" t="s">
        <v>142</v>
      </c>
      <c r="AH1" s="43" t="s">
        <v>141</v>
      </c>
      <c r="AI1" s="43" t="s">
        <v>138</v>
      </c>
      <c r="AJ1" s="43" t="s">
        <v>139</v>
      </c>
      <c r="AK1" s="43" t="s">
        <v>140</v>
      </c>
      <c r="AL1" s="43" t="s">
        <v>143</v>
      </c>
      <c r="AM1" s="43" t="s">
        <v>144</v>
      </c>
      <c r="AN1" s="43" t="s">
        <v>146</v>
      </c>
      <c r="AO1" s="41" t="s">
        <v>28</v>
      </c>
      <c r="AP1" s="41" t="s">
        <v>29</v>
      </c>
      <c r="AQ1" s="41" t="s">
        <v>30</v>
      </c>
      <c r="AR1" s="41" t="s">
        <v>31</v>
      </c>
      <c r="AS1" s="41" t="s">
        <v>32</v>
      </c>
      <c r="AT1" s="41" t="s">
        <v>33</v>
      </c>
      <c r="AU1" s="41" t="s">
        <v>34</v>
      </c>
      <c r="AV1" s="41" t="s">
        <v>35</v>
      </c>
      <c r="AW1" s="62" t="s">
        <v>147</v>
      </c>
      <c r="AX1" s="62"/>
      <c r="AY1" s="62"/>
      <c r="AZ1" s="62"/>
      <c r="BA1" s="62"/>
      <c r="BB1" s="46"/>
      <c r="BD1" s="41" t="s">
        <v>108</v>
      </c>
      <c r="BE1" s="41" t="s">
        <v>106</v>
      </c>
    </row>
    <row r="2" spans="1:57" x14ac:dyDescent="0.2">
      <c r="A2">
        <f>COUNT(B2:B31)</f>
        <v>30</v>
      </c>
      <c r="B2" s="3">
        <v>2000</v>
      </c>
      <c r="C2" t="s">
        <v>36</v>
      </c>
      <c r="D2" t="s">
        <v>37</v>
      </c>
      <c r="E2">
        <v>3</v>
      </c>
      <c r="F2" t="s">
        <v>38</v>
      </c>
      <c r="G2" t="s">
        <v>38</v>
      </c>
      <c r="H2" t="s">
        <v>38</v>
      </c>
      <c r="I2" t="s">
        <v>38</v>
      </c>
      <c r="J2">
        <v>82</v>
      </c>
      <c r="K2">
        <v>80</v>
      </c>
      <c r="L2">
        <v>864</v>
      </c>
      <c r="M2" s="38">
        <v>5628</v>
      </c>
      <c r="N2" s="38">
        <v>1574</v>
      </c>
      <c r="O2" s="38">
        <f>N2-(P2+Q2+R2)</f>
        <v>995</v>
      </c>
      <c r="P2" s="38">
        <v>309</v>
      </c>
      <c r="Q2" s="38">
        <v>34</v>
      </c>
      <c r="R2" s="38">
        <v>236</v>
      </c>
      <c r="S2" s="38">
        <v>608</v>
      </c>
      <c r="T2" s="38">
        <v>47</v>
      </c>
      <c r="U2" s="38">
        <f>M2-(N2+S2+T2)</f>
        <v>3399</v>
      </c>
      <c r="V2">
        <v>1024</v>
      </c>
      <c r="W2">
        <v>93</v>
      </c>
      <c r="X2">
        <v>52</v>
      </c>
      <c r="Y2">
        <v>43</v>
      </c>
      <c r="Z2">
        <v>869</v>
      </c>
      <c r="AA2">
        <v>805</v>
      </c>
      <c r="AB2">
        <v>5</v>
      </c>
      <c r="AC2">
        <v>5</v>
      </c>
      <c r="AD2">
        <v>3</v>
      </c>
      <c r="AE2">
        <v>46</v>
      </c>
      <c r="AF2" s="45">
        <v>6401</v>
      </c>
      <c r="AG2" s="45">
        <f ca="1">RANDBETWEEN(1300,1700)</f>
        <v>1494</v>
      </c>
      <c r="AH2" s="45">
        <f ca="1">AG2-(AI2+AJ2+AK2)</f>
        <v>946</v>
      </c>
      <c r="AI2" s="45">
        <f ca="1">RANDBETWEEN(219,400)</f>
        <v>311</v>
      </c>
      <c r="AJ2" s="45">
        <f ca="1">RANDBETWEEN(20,50)</f>
        <v>50</v>
      </c>
      <c r="AK2" s="45">
        <f ca="1">RANDBETWEEN(130,240)</f>
        <v>187</v>
      </c>
      <c r="AL2" s="45">
        <f ca="1">RANDBETWEEN(400,700)</f>
        <v>678</v>
      </c>
      <c r="AM2" s="45">
        <f ca="1">RANDBETWEEN(30,90)</f>
        <v>51</v>
      </c>
      <c r="AN2" s="45">
        <f ca="1">AF2-(AG2+AL2+AM2)</f>
        <v>4178</v>
      </c>
      <c r="AO2">
        <v>4344</v>
      </c>
      <c r="AP2">
        <v>1534</v>
      </c>
      <c r="AQ2">
        <v>228</v>
      </c>
      <c r="AR2">
        <v>662</v>
      </c>
      <c r="AS2">
        <v>846</v>
      </c>
      <c r="AT2">
        <v>134</v>
      </c>
      <c r="AU2">
        <v>182</v>
      </c>
      <c r="AV2">
        <v>0.97799999999999998</v>
      </c>
      <c r="AW2" s="47">
        <v>2000</v>
      </c>
      <c r="AX2" s="47" t="s">
        <v>148</v>
      </c>
      <c r="AY2" s="47">
        <f>SUM(O$2:O$31)</f>
        <v>29700</v>
      </c>
      <c r="AZ2" s="49">
        <f>SUMIF($B$2:$B$571,$B2,$M$2:$M$571)</f>
        <v>167290</v>
      </c>
      <c r="BA2" s="49">
        <f>SUMIF($B$2:$B$571,$B2,$O$2:$O$571)</f>
        <v>29700</v>
      </c>
      <c r="BB2" s="48">
        <f>BA2/AZ2</f>
        <v>0.17753601530276764</v>
      </c>
      <c r="BC2">
        <v>1</v>
      </c>
      <c r="BD2" t="s">
        <v>36</v>
      </c>
      <c r="BE2">
        <v>2000</v>
      </c>
    </row>
    <row r="3" spans="1:57" x14ac:dyDescent="0.2">
      <c r="B3" s="3">
        <v>2000</v>
      </c>
      <c r="C3" t="s">
        <v>39</v>
      </c>
      <c r="D3" t="s">
        <v>40</v>
      </c>
      <c r="E3">
        <v>3</v>
      </c>
      <c r="F3" t="s">
        <v>38</v>
      </c>
      <c r="G3" t="s">
        <v>38</v>
      </c>
      <c r="H3" t="s">
        <v>38</v>
      </c>
      <c r="I3" t="s">
        <v>38</v>
      </c>
      <c r="J3">
        <v>85</v>
      </c>
      <c r="K3">
        <v>77</v>
      </c>
      <c r="L3">
        <v>792</v>
      </c>
      <c r="M3" s="38">
        <v>5527</v>
      </c>
      <c r="N3" s="38">
        <v>1466</v>
      </c>
      <c r="O3" s="38">
        <f t="shared" ref="O3:O66" si="0">N3-(P3+Q3+R3)</f>
        <v>961</v>
      </c>
      <c r="P3" s="38">
        <v>282</v>
      </c>
      <c r="Q3" s="38">
        <v>44</v>
      </c>
      <c r="R3" s="38">
        <v>179</v>
      </c>
      <c r="S3" s="38">
        <v>535</v>
      </c>
      <c r="T3" s="38">
        <v>59</v>
      </c>
      <c r="U3" s="38">
        <f t="shared" ref="U3:U66" si="1">M3-(N3+S3+T3)</f>
        <v>3467</v>
      </c>
      <c r="V3">
        <v>975</v>
      </c>
      <c r="W3">
        <v>97</v>
      </c>
      <c r="X3">
        <v>44</v>
      </c>
      <c r="Y3">
        <v>58</v>
      </c>
      <c r="Z3">
        <v>754</v>
      </c>
      <c r="AA3">
        <v>698</v>
      </c>
      <c r="AB3">
        <v>4.3499999999999996</v>
      </c>
      <c r="AC3">
        <v>16</v>
      </c>
      <c r="AD3">
        <v>8</v>
      </c>
      <c r="AE3">
        <v>38</v>
      </c>
      <c r="AF3" s="45">
        <v>6158</v>
      </c>
      <c r="AG3" s="45">
        <f t="shared" ref="AG3:AG66" ca="1" si="2">RANDBETWEEN(1300,1700)</f>
        <v>1595</v>
      </c>
      <c r="AH3" s="45">
        <f t="shared" ref="AH3:AH66" ca="1" si="3">AG3-(AI3+AJ3+AK3)</f>
        <v>1117</v>
      </c>
      <c r="AI3" s="45">
        <f t="shared" ref="AI3:AI66" ca="1" si="4">RANDBETWEEN(219,400)</f>
        <v>286</v>
      </c>
      <c r="AJ3" s="45">
        <f t="shared" ref="AJ3:AJ66" ca="1" si="5">RANDBETWEEN(20,50)</f>
        <v>44</v>
      </c>
      <c r="AK3" s="45">
        <f t="shared" ref="AK3:AK66" ca="1" si="6">RANDBETWEEN(130,240)</f>
        <v>148</v>
      </c>
      <c r="AL3" s="45">
        <f t="shared" ref="AL3:AL66" ca="1" si="7">RANDBETWEEN(400,700)</f>
        <v>682</v>
      </c>
      <c r="AM3" s="45">
        <f t="shared" ref="AM3:AM66" ca="1" si="8">RANDBETWEEN(30,90)</f>
        <v>88</v>
      </c>
      <c r="AN3" s="45">
        <f t="shared" ref="AN3:AN66" ca="1" si="9">AF3-(AG3+AL3+AM3)</f>
        <v>3793</v>
      </c>
      <c r="AO3">
        <v>4331</v>
      </c>
      <c r="AP3">
        <v>1441</v>
      </c>
      <c r="AQ3">
        <v>190</v>
      </c>
      <c r="AR3">
        <v>500</v>
      </c>
      <c r="AS3">
        <v>1220</v>
      </c>
      <c r="AT3">
        <v>107</v>
      </c>
      <c r="AU3">
        <v>138</v>
      </c>
      <c r="AV3">
        <v>0.98199999999999998</v>
      </c>
      <c r="AW3" s="47"/>
      <c r="AX3" s="47" t="s">
        <v>149</v>
      </c>
      <c r="AY3" s="47">
        <f t="shared" ref="AY3:AY66" si="10">SUM(O$2:O$31)</f>
        <v>29700</v>
      </c>
      <c r="AZ3" s="49">
        <f t="shared" ref="AZ3:AZ66" si="11">SUMIF($B$2:$B$571,$B3,$M$2:$M$571)</f>
        <v>167290</v>
      </c>
      <c r="BA3" s="49">
        <f>SUMIF($B$2:$B$571,$B3,$P$2:$P$571)</f>
        <v>8901</v>
      </c>
      <c r="BB3" s="48">
        <f t="shared" ref="BB3:BB66" si="12">BA3/AZ3</f>
        <v>5.3207005798314305E-2</v>
      </c>
      <c r="BC3">
        <v>2</v>
      </c>
      <c r="BD3" t="s">
        <v>39</v>
      </c>
      <c r="BE3">
        <v>2001</v>
      </c>
    </row>
    <row r="4" spans="1:57" x14ac:dyDescent="0.2">
      <c r="B4" s="3">
        <v>2000</v>
      </c>
      <c r="C4" t="s">
        <v>41</v>
      </c>
      <c r="D4" t="s">
        <v>42</v>
      </c>
      <c r="E4">
        <v>1</v>
      </c>
      <c r="F4" t="s">
        <v>43</v>
      </c>
      <c r="G4" t="s">
        <v>38</v>
      </c>
      <c r="H4" t="s">
        <v>38</v>
      </c>
      <c r="I4" t="s">
        <v>38</v>
      </c>
      <c r="J4">
        <v>95</v>
      </c>
      <c r="K4">
        <v>67</v>
      </c>
      <c r="L4">
        <v>810</v>
      </c>
      <c r="M4" s="38">
        <v>5489</v>
      </c>
      <c r="N4" s="38">
        <v>1490</v>
      </c>
      <c r="O4" s="38">
        <f t="shared" si="0"/>
        <v>1011</v>
      </c>
      <c r="P4" s="38">
        <v>274</v>
      </c>
      <c r="Q4" s="38">
        <v>26</v>
      </c>
      <c r="R4" s="38">
        <v>179</v>
      </c>
      <c r="S4" s="38">
        <v>595</v>
      </c>
      <c r="T4" s="38">
        <v>59</v>
      </c>
      <c r="U4" s="38">
        <f t="shared" si="1"/>
        <v>3345</v>
      </c>
      <c r="V4">
        <v>1010</v>
      </c>
      <c r="W4">
        <v>148</v>
      </c>
      <c r="X4">
        <v>56</v>
      </c>
      <c r="Y4">
        <v>45</v>
      </c>
      <c r="Z4">
        <v>714</v>
      </c>
      <c r="AA4">
        <v>648</v>
      </c>
      <c r="AB4">
        <v>4.05</v>
      </c>
      <c r="AC4">
        <v>13</v>
      </c>
      <c r="AD4">
        <v>9</v>
      </c>
      <c r="AE4">
        <v>53</v>
      </c>
      <c r="AF4" s="45">
        <v>6165</v>
      </c>
      <c r="AG4" s="45">
        <f t="shared" ca="1" si="2"/>
        <v>1455</v>
      </c>
      <c r="AH4" s="45">
        <f t="shared" ca="1" si="3"/>
        <v>878</v>
      </c>
      <c r="AI4" s="45">
        <f t="shared" ca="1" si="4"/>
        <v>323</v>
      </c>
      <c r="AJ4" s="45">
        <f t="shared" ca="1" si="5"/>
        <v>36</v>
      </c>
      <c r="AK4" s="45">
        <f t="shared" ca="1" si="6"/>
        <v>218</v>
      </c>
      <c r="AL4" s="45">
        <f t="shared" ca="1" si="7"/>
        <v>604</v>
      </c>
      <c r="AM4" s="45">
        <f t="shared" ca="1" si="8"/>
        <v>65</v>
      </c>
      <c r="AN4" s="45">
        <f t="shared" ca="1" si="9"/>
        <v>4041</v>
      </c>
      <c r="AO4">
        <v>4321</v>
      </c>
      <c r="AP4">
        <v>1428</v>
      </c>
      <c r="AQ4">
        <v>165</v>
      </c>
      <c r="AR4">
        <v>484</v>
      </c>
      <c r="AS4">
        <v>1093</v>
      </c>
      <c r="AT4">
        <v>129</v>
      </c>
      <c r="AU4">
        <v>138</v>
      </c>
      <c r="AV4">
        <v>0.97899999999999998</v>
      </c>
      <c r="AW4" s="47"/>
      <c r="AX4" s="47" t="s">
        <v>150</v>
      </c>
      <c r="AY4" s="47">
        <f t="shared" si="10"/>
        <v>29700</v>
      </c>
      <c r="AZ4" s="49">
        <f t="shared" si="11"/>
        <v>167290</v>
      </c>
      <c r="BA4" s="49">
        <f>SUMIF($B$2:$B$571,$B4,$Q$2:$Q$571)</f>
        <v>952</v>
      </c>
      <c r="BB4" s="48">
        <f t="shared" si="12"/>
        <v>5.6907167194691849E-3</v>
      </c>
      <c r="BC4">
        <v>3</v>
      </c>
      <c r="BD4" t="s">
        <v>41</v>
      </c>
      <c r="BE4">
        <v>2002</v>
      </c>
    </row>
    <row r="5" spans="1:57" x14ac:dyDescent="0.2">
      <c r="B5" s="3">
        <v>2000</v>
      </c>
      <c r="C5" t="s">
        <v>44</v>
      </c>
      <c r="D5" t="s">
        <v>45</v>
      </c>
      <c r="E5">
        <v>4</v>
      </c>
      <c r="F5" t="s">
        <v>38</v>
      </c>
      <c r="G5" t="s">
        <v>38</v>
      </c>
      <c r="H5" t="s">
        <v>38</v>
      </c>
      <c r="I5" t="s">
        <v>38</v>
      </c>
      <c r="J5">
        <v>74</v>
      </c>
      <c r="K5">
        <v>88</v>
      </c>
      <c r="L5">
        <v>794</v>
      </c>
      <c r="M5" s="38">
        <v>5549</v>
      </c>
      <c r="N5" s="38">
        <v>1508</v>
      </c>
      <c r="O5" s="38">
        <f t="shared" si="0"/>
        <v>992</v>
      </c>
      <c r="P5" s="38">
        <v>310</v>
      </c>
      <c r="Q5" s="38">
        <v>22</v>
      </c>
      <c r="R5" s="38">
        <v>184</v>
      </c>
      <c r="S5" s="38">
        <v>558</v>
      </c>
      <c r="T5" s="38">
        <v>49</v>
      </c>
      <c r="U5" s="38">
        <f t="shared" si="1"/>
        <v>3434</v>
      </c>
      <c r="V5">
        <v>900</v>
      </c>
      <c r="W5">
        <v>126</v>
      </c>
      <c r="X5">
        <v>65</v>
      </c>
      <c r="Y5">
        <v>54</v>
      </c>
      <c r="Z5">
        <v>913</v>
      </c>
      <c r="AA5">
        <v>855</v>
      </c>
      <c r="AB5">
        <v>5.37</v>
      </c>
      <c r="AC5">
        <v>14</v>
      </c>
      <c r="AD5">
        <v>6</v>
      </c>
      <c r="AE5">
        <v>33</v>
      </c>
      <c r="AF5" s="45">
        <v>6433</v>
      </c>
      <c r="AG5" s="45">
        <f t="shared" ca="1" si="2"/>
        <v>1429</v>
      </c>
      <c r="AH5" s="45">
        <f t="shared" ca="1" si="3"/>
        <v>929</v>
      </c>
      <c r="AI5" s="45">
        <f t="shared" ca="1" si="4"/>
        <v>223</v>
      </c>
      <c r="AJ5" s="45">
        <f t="shared" ca="1" si="5"/>
        <v>37</v>
      </c>
      <c r="AK5" s="45">
        <f t="shared" ca="1" si="6"/>
        <v>240</v>
      </c>
      <c r="AL5" s="45">
        <f t="shared" ca="1" si="7"/>
        <v>632</v>
      </c>
      <c r="AM5" s="45">
        <f t="shared" ca="1" si="8"/>
        <v>55</v>
      </c>
      <c r="AN5" s="45">
        <f t="shared" ca="1" si="9"/>
        <v>4317</v>
      </c>
      <c r="AO5">
        <v>4300</v>
      </c>
      <c r="AP5">
        <v>1547</v>
      </c>
      <c r="AQ5">
        <v>202</v>
      </c>
      <c r="AR5">
        <v>665</v>
      </c>
      <c r="AS5">
        <v>1017</v>
      </c>
      <c r="AT5">
        <v>116</v>
      </c>
      <c r="AU5">
        <v>151</v>
      </c>
      <c r="AV5">
        <v>0.98099999999999998</v>
      </c>
      <c r="AW5" s="47"/>
      <c r="AX5" s="47" t="s">
        <v>151</v>
      </c>
      <c r="AY5" s="47">
        <f t="shared" si="10"/>
        <v>29700</v>
      </c>
      <c r="AZ5" s="49">
        <f t="shared" si="11"/>
        <v>167290</v>
      </c>
      <c r="BA5" s="49">
        <f>SUMIF($B$2:$B$571,$B5,$R$2:$R$571)</f>
        <v>5693</v>
      </c>
      <c r="BB5" s="48">
        <f t="shared" si="12"/>
        <v>3.4030725088170247E-2</v>
      </c>
      <c r="BC5">
        <v>4</v>
      </c>
      <c r="BD5" t="s">
        <v>44</v>
      </c>
      <c r="BE5">
        <v>2003</v>
      </c>
    </row>
    <row r="6" spans="1:57" x14ac:dyDescent="0.2">
      <c r="B6" s="3">
        <v>2000</v>
      </c>
      <c r="C6" t="s">
        <v>46</v>
      </c>
      <c r="D6" t="s">
        <v>47</v>
      </c>
      <c r="E6">
        <v>2</v>
      </c>
      <c r="F6" t="s">
        <v>38</v>
      </c>
      <c r="G6" t="s">
        <v>38</v>
      </c>
      <c r="H6" t="s">
        <v>38</v>
      </c>
      <c r="I6" t="s">
        <v>38</v>
      </c>
      <c r="J6">
        <v>85</v>
      </c>
      <c r="K6">
        <v>77</v>
      </c>
      <c r="L6">
        <v>792</v>
      </c>
      <c r="M6" s="38">
        <v>5630</v>
      </c>
      <c r="N6" s="38">
        <v>1503</v>
      </c>
      <c r="O6" s="38">
        <f t="shared" si="0"/>
        <v>988</v>
      </c>
      <c r="P6" s="38">
        <v>316</v>
      </c>
      <c r="Q6" s="38">
        <v>32</v>
      </c>
      <c r="R6" s="38">
        <v>167</v>
      </c>
      <c r="S6" s="38">
        <v>611</v>
      </c>
      <c r="T6" s="38">
        <v>42</v>
      </c>
      <c r="U6" s="38">
        <f t="shared" si="1"/>
        <v>3474</v>
      </c>
      <c r="V6">
        <v>1019</v>
      </c>
      <c r="W6">
        <v>43</v>
      </c>
      <c r="X6">
        <v>30</v>
      </c>
      <c r="Y6">
        <v>48</v>
      </c>
      <c r="Z6">
        <v>745</v>
      </c>
      <c r="AA6">
        <v>683</v>
      </c>
      <c r="AB6">
        <v>4.2300000000000004</v>
      </c>
      <c r="AC6">
        <v>7</v>
      </c>
      <c r="AD6">
        <v>12</v>
      </c>
      <c r="AE6">
        <v>46</v>
      </c>
      <c r="AF6" s="45">
        <v>6225</v>
      </c>
      <c r="AG6" s="45">
        <f t="shared" ca="1" si="2"/>
        <v>1478</v>
      </c>
      <c r="AH6" s="45">
        <f t="shared" ca="1" si="3"/>
        <v>996</v>
      </c>
      <c r="AI6" s="45">
        <f t="shared" ca="1" si="4"/>
        <v>263</v>
      </c>
      <c r="AJ6" s="45">
        <f t="shared" ca="1" si="5"/>
        <v>48</v>
      </c>
      <c r="AK6" s="45">
        <f t="shared" ca="1" si="6"/>
        <v>171</v>
      </c>
      <c r="AL6" s="45">
        <f t="shared" ca="1" si="7"/>
        <v>522</v>
      </c>
      <c r="AM6" s="45">
        <f t="shared" ca="1" si="8"/>
        <v>90</v>
      </c>
      <c r="AN6" s="45">
        <f t="shared" ca="1" si="9"/>
        <v>4135</v>
      </c>
      <c r="AO6">
        <v>4358</v>
      </c>
      <c r="AP6">
        <v>1433</v>
      </c>
      <c r="AQ6">
        <v>173</v>
      </c>
      <c r="AR6">
        <v>498</v>
      </c>
      <c r="AS6">
        <v>1121</v>
      </c>
      <c r="AT6">
        <v>109</v>
      </c>
      <c r="AU6">
        <v>120</v>
      </c>
      <c r="AV6">
        <v>0.98199999999999998</v>
      </c>
      <c r="AW6" s="47"/>
      <c r="AX6" s="47" t="s">
        <v>152</v>
      </c>
      <c r="AY6" s="47">
        <f t="shared" si="10"/>
        <v>29700</v>
      </c>
      <c r="AZ6" s="49">
        <f t="shared" si="11"/>
        <v>167290</v>
      </c>
      <c r="BA6" s="49">
        <f>SUMIF($B$2:$B$571,$B6,$S$2:$S$571)</f>
        <v>18237</v>
      </c>
      <c r="BB6" s="48">
        <f t="shared" si="12"/>
        <v>0.10901428656823481</v>
      </c>
      <c r="BC6">
        <v>5</v>
      </c>
      <c r="BD6" t="s">
        <v>46</v>
      </c>
      <c r="BE6">
        <v>2004</v>
      </c>
    </row>
    <row r="7" spans="1:57" x14ac:dyDescent="0.2">
      <c r="B7" s="3">
        <v>2000</v>
      </c>
      <c r="C7" t="s">
        <v>48</v>
      </c>
      <c r="D7" t="s">
        <v>49</v>
      </c>
      <c r="E7">
        <v>1</v>
      </c>
      <c r="F7" t="s">
        <v>43</v>
      </c>
      <c r="G7" t="s">
        <v>38</v>
      </c>
      <c r="H7" t="s">
        <v>38</v>
      </c>
      <c r="I7" t="s">
        <v>38</v>
      </c>
      <c r="J7">
        <v>95</v>
      </c>
      <c r="K7">
        <v>67</v>
      </c>
      <c r="L7">
        <v>978</v>
      </c>
      <c r="M7" s="38">
        <v>5646</v>
      </c>
      <c r="N7" s="38">
        <v>1615</v>
      </c>
      <c r="O7" s="38">
        <f t="shared" si="0"/>
        <v>1041</v>
      </c>
      <c r="P7" s="38">
        <v>325</v>
      </c>
      <c r="Q7" s="38">
        <v>33</v>
      </c>
      <c r="R7" s="38">
        <v>216</v>
      </c>
      <c r="S7" s="38">
        <v>591</v>
      </c>
      <c r="T7" s="38">
        <v>53</v>
      </c>
      <c r="U7" s="38">
        <f t="shared" si="1"/>
        <v>3387</v>
      </c>
      <c r="V7">
        <v>960</v>
      </c>
      <c r="W7">
        <v>119</v>
      </c>
      <c r="X7">
        <v>42</v>
      </c>
      <c r="Y7">
        <v>61</v>
      </c>
      <c r="Z7">
        <v>839</v>
      </c>
      <c r="AA7">
        <v>751</v>
      </c>
      <c r="AB7">
        <v>4.66</v>
      </c>
      <c r="AC7">
        <v>5</v>
      </c>
      <c r="AD7">
        <v>7</v>
      </c>
      <c r="AE7">
        <v>43</v>
      </c>
      <c r="AF7" s="45">
        <v>6337</v>
      </c>
      <c r="AG7" s="45">
        <f t="shared" ca="1" si="2"/>
        <v>1521</v>
      </c>
      <c r="AH7" s="45">
        <f t="shared" ca="1" si="3"/>
        <v>874</v>
      </c>
      <c r="AI7" s="45">
        <f t="shared" ca="1" si="4"/>
        <v>384</v>
      </c>
      <c r="AJ7" s="45">
        <f t="shared" ca="1" si="5"/>
        <v>27</v>
      </c>
      <c r="AK7" s="45">
        <f t="shared" ca="1" si="6"/>
        <v>236</v>
      </c>
      <c r="AL7" s="45">
        <f t="shared" ca="1" si="7"/>
        <v>679</v>
      </c>
      <c r="AM7" s="45">
        <f t="shared" ca="1" si="8"/>
        <v>50</v>
      </c>
      <c r="AN7" s="45">
        <f t="shared" ca="1" si="9"/>
        <v>4087</v>
      </c>
      <c r="AO7">
        <v>4351</v>
      </c>
      <c r="AP7">
        <v>1509</v>
      </c>
      <c r="AQ7">
        <v>195</v>
      </c>
      <c r="AR7">
        <v>614</v>
      </c>
      <c r="AS7">
        <v>1037</v>
      </c>
      <c r="AT7">
        <v>133</v>
      </c>
      <c r="AU7">
        <v>190</v>
      </c>
      <c r="AV7">
        <v>0.97799999999999998</v>
      </c>
      <c r="AW7" s="47"/>
      <c r="AX7" s="47" t="s">
        <v>153</v>
      </c>
      <c r="AY7" s="47">
        <f t="shared" si="10"/>
        <v>29700</v>
      </c>
      <c r="AZ7" s="49">
        <f t="shared" si="11"/>
        <v>167290</v>
      </c>
      <c r="BA7" s="49">
        <f>SUMIF($B$2:$B$571,$B7,$T$2:$T$571)</f>
        <v>1573</v>
      </c>
      <c r="BB7" s="48">
        <f t="shared" si="12"/>
        <v>9.4028334030725087E-3</v>
      </c>
      <c r="BC7">
        <v>6</v>
      </c>
      <c r="BD7" t="s">
        <v>48</v>
      </c>
      <c r="BE7">
        <v>2005</v>
      </c>
    </row>
    <row r="8" spans="1:57" x14ac:dyDescent="0.2">
      <c r="B8" s="3">
        <v>2000</v>
      </c>
      <c r="C8" t="s">
        <v>50</v>
      </c>
      <c r="D8" t="s">
        <v>51</v>
      </c>
      <c r="E8">
        <v>6</v>
      </c>
      <c r="F8" t="s">
        <v>38</v>
      </c>
      <c r="G8" t="s">
        <v>38</v>
      </c>
      <c r="H8" t="s">
        <v>38</v>
      </c>
      <c r="I8" t="s">
        <v>38</v>
      </c>
      <c r="J8">
        <v>65</v>
      </c>
      <c r="K8">
        <v>97</v>
      </c>
      <c r="L8">
        <v>764</v>
      </c>
      <c r="M8" s="38">
        <v>5577</v>
      </c>
      <c r="N8" s="38">
        <v>1426</v>
      </c>
      <c r="O8" s="38">
        <f t="shared" si="0"/>
        <v>948</v>
      </c>
      <c r="P8" s="38">
        <v>272</v>
      </c>
      <c r="Q8" s="38">
        <v>23</v>
      </c>
      <c r="R8" s="38">
        <v>183</v>
      </c>
      <c r="S8" s="38">
        <v>632</v>
      </c>
      <c r="T8" s="38">
        <v>54</v>
      </c>
      <c r="U8" s="38">
        <f t="shared" si="1"/>
        <v>3465</v>
      </c>
      <c r="V8">
        <v>1120</v>
      </c>
      <c r="W8">
        <v>93</v>
      </c>
      <c r="X8">
        <v>37</v>
      </c>
      <c r="Y8">
        <v>45</v>
      </c>
      <c r="Z8">
        <v>904</v>
      </c>
      <c r="AA8">
        <v>849</v>
      </c>
      <c r="AB8">
        <v>5.25</v>
      </c>
      <c r="AC8">
        <v>10</v>
      </c>
      <c r="AD8">
        <v>5</v>
      </c>
      <c r="AE8">
        <v>39</v>
      </c>
      <c r="AF8" s="45">
        <v>6451</v>
      </c>
      <c r="AG8" s="45">
        <f t="shared" ca="1" si="2"/>
        <v>1434</v>
      </c>
      <c r="AH8" s="45">
        <f t="shared" ca="1" si="3"/>
        <v>854</v>
      </c>
      <c r="AI8" s="45">
        <f t="shared" ca="1" si="4"/>
        <v>374</v>
      </c>
      <c r="AJ8" s="45">
        <f t="shared" ca="1" si="5"/>
        <v>30</v>
      </c>
      <c r="AK8" s="45">
        <f t="shared" ca="1" si="6"/>
        <v>176</v>
      </c>
      <c r="AL8" s="45">
        <f t="shared" ca="1" si="7"/>
        <v>678</v>
      </c>
      <c r="AM8" s="45">
        <f t="shared" ca="1" si="8"/>
        <v>43</v>
      </c>
      <c r="AN8" s="45">
        <f t="shared" ca="1" si="9"/>
        <v>4296</v>
      </c>
      <c r="AO8">
        <v>4364</v>
      </c>
      <c r="AP8">
        <v>1505</v>
      </c>
      <c r="AQ8">
        <v>231</v>
      </c>
      <c r="AR8">
        <v>658</v>
      </c>
      <c r="AS8">
        <v>1143</v>
      </c>
      <c r="AT8">
        <v>100</v>
      </c>
      <c r="AU8">
        <v>139</v>
      </c>
      <c r="AV8">
        <v>0.98299999999999998</v>
      </c>
      <c r="AW8" s="47"/>
      <c r="AX8" s="47" t="s">
        <v>154</v>
      </c>
      <c r="AY8" s="47">
        <f t="shared" si="10"/>
        <v>29700</v>
      </c>
      <c r="AZ8" s="49">
        <f t="shared" si="11"/>
        <v>167290</v>
      </c>
      <c r="BA8" s="49">
        <f>SUMIF($B$2:$B$571,$B8,$U$2:$U$571)</f>
        <v>102234</v>
      </c>
      <c r="BB8" s="48">
        <f t="shared" si="12"/>
        <v>0.61111841711997128</v>
      </c>
      <c r="BC8">
        <v>7</v>
      </c>
      <c r="BD8" t="s">
        <v>50</v>
      </c>
      <c r="BE8">
        <v>2006</v>
      </c>
    </row>
    <row r="9" spans="1:57" x14ac:dyDescent="0.2">
      <c r="B9" s="3">
        <v>2000</v>
      </c>
      <c r="C9" t="s">
        <v>52</v>
      </c>
      <c r="D9" t="s">
        <v>53</v>
      </c>
      <c r="E9">
        <v>2</v>
      </c>
      <c r="F9" t="s">
        <v>38</v>
      </c>
      <c r="G9" t="s">
        <v>38</v>
      </c>
      <c r="H9" t="s">
        <v>38</v>
      </c>
      <c r="I9" t="s">
        <v>38</v>
      </c>
      <c r="J9">
        <v>85</v>
      </c>
      <c r="K9">
        <v>77</v>
      </c>
      <c r="L9">
        <v>825</v>
      </c>
      <c r="M9" s="38">
        <v>5635</v>
      </c>
      <c r="N9" s="38">
        <v>1545</v>
      </c>
      <c r="O9" s="38">
        <f t="shared" si="0"/>
        <v>1007</v>
      </c>
      <c r="P9" s="38">
        <v>302</v>
      </c>
      <c r="Q9" s="38">
        <v>36</v>
      </c>
      <c r="R9" s="38">
        <v>200</v>
      </c>
      <c r="S9" s="38">
        <v>559</v>
      </c>
      <c r="T9" s="38">
        <v>64</v>
      </c>
      <c r="U9" s="38">
        <f t="shared" si="1"/>
        <v>3467</v>
      </c>
      <c r="V9">
        <v>995</v>
      </c>
      <c r="W9">
        <v>100</v>
      </c>
      <c r="X9">
        <v>38</v>
      </c>
      <c r="Y9">
        <v>58</v>
      </c>
      <c r="Z9">
        <v>765</v>
      </c>
      <c r="AA9">
        <v>700</v>
      </c>
      <c r="AB9">
        <v>4.33</v>
      </c>
      <c r="AC9">
        <v>8</v>
      </c>
      <c r="AD9">
        <v>7</v>
      </c>
      <c r="AE9">
        <v>42</v>
      </c>
      <c r="AF9" s="45">
        <v>6362</v>
      </c>
      <c r="AG9" s="45">
        <f t="shared" ca="1" si="2"/>
        <v>1597</v>
      </c>
      <c r="AH9" s="45">
        <f t="shared" ca="1" si="3"/>
        <v>1030</v>
      </c>
      <c r="AI9" s="45">
        <f t="shared" ca="1" si="4"/>
        <v>337</v>
      </c>
      <c r="AJ9" s="45">
        <f t="shared" ca="1" si="5"/>
        <v>45</v>
      </c>
      <c r="AK9" s="45">
        <f t="shared" ca="1" si="6"/>
        <v>185</v>
      </c>
      <c r="AL9" s="45">
        <f t="shared" ca="1" si="7"/>
        <v>679</v>
      </c>
      <c r="AM9" s="45">
        <f t="shared" ca="1" si="8"/>
        <v>51</v>
      </c>
      <c r="AN9" s="45">
        <f t="shared" ca="1" si="9"/>
        <v>4035</v>
      </c>
      <c r="AO9">
        <v>4369</v>
      </c>
      <c r="AP9">
        <v>1446</v>
      </c>
      <c r="AQ9">
        <v>190</v>
      </c>
      <c r="AR9">
        <v>659</v>
      </c>
      <c r="AS9">
        <v>1015</v>
      </c>
      <c r="AT9">
        <v>111</v>
      </c>
      <c r="AU9">
        <v>156</v>
      </c>
      <c r="AV9">
        <v>0.98199999999999998</v>
      </c>
      <c r="AW9" s="47"/>
      <c r="AX9" s="47"/>
      <c r="AY9" s="47"/>
      <c r="AZ9" s="49"/>
      <c r="BA9" s="49"/>
      <c r="BB9" s="48"/>
      <c r="BC9">
        <v>8</v>
      </c>
      <c r="BD9" t="s">
        <v>52</v>
      </c>
      <c r="BE9">
        <v>2007</v>
      </c>
    </row>
    <row r="10" spans="1:57" x14ac:dyDescent="0.2">
      <c r="B10" s="3">
        <v>2000</v>
      </c>
      <c r="C10" t="s">
        <v>54</v>
      </c>
      <c r="D10" t="s">
        <v>55</v>
      </c>
      <c r="E10">
        <v>2</v>
      </c>
      <c r="F10" t="s">
        <v>38</v>
      </c>
      <c r="G10" t="s">
        <v>38</v>
      </c>
      <c r="H10" t="s">
        <v>38</v>
      </c>
      <c r="I10" t="s">
        <v>38</v>
      </c>
      <c r="J10">
        <v>90</v>
      </c>
      <c r="K10">
        <v>72</v>
      </c>
      <c r="L10">
        <v>950</v>
      </c>
      <c r="M10" s="38">
        <v>5683</v>
      </c>
      <c r="N10" s="38">
        <v>1639</v>
      </c>
      <c r="O10" s="38">
        <f t="shared" si="0"/>
        <v>1078</v>
      </c>
      <c r="P10" s="38">
        <v>310</v>
      </c>
      <c r="Q10" s="38">
        <v>30</v>
      </c>
      <c r="R10" s="38">
        <v>221</v>
      </c>
      <c r="S10" s="38">
        <v>685</v>
      </c>
      <c r="T10" s="38">
        <v>51</v>
      </c>
      <c r="U10" s="38">
        <f t="shared" si="1"/>
        <v>3308</v>
      </c>
      <c r="V10">
        <v>1057</v>
      </c>
      <c r="W10">
        <v>113</v>
      </c>
      <c r="X10">
        <v>34</v>
      </c>
      <c r="Y10">
        <v>52</v>
      </c>
      <c r="Z10">
        <v>816</v>
      </c>
      <c r="AA10">
        <v>775</v>
      </c>
      <c r="AB10">
        <v>4.84</v>
      </c>
      <c r="AC10">
        <v>6</v>
      </c>
      <c r="AD10">
        <v>5</v>
      </c>
      <c r="AE10">
        <v>34</v>
      </c>
      <c r="AF10" s="45">
        <v>6380</v>
      </c>
      <c r="AG10" s="45">
        <f t="shared" ca="1" si="2"/>
        <v>1343</v>
      </c>
      <c r="AH10" s="45">
        <f t="shared" ca="1" si="3"/>
        <v>804</v>
      </c>
      <c r="AI10" s="45">
        <f t="shared" ca="1" si="4"/>
        <v>344</v>
      </c>
      <c r="AJ10" s="45">
        <f t="shared" ca="1" si="5"/>
        <v>20</v>
      </c>
      <c r="AK10" s="45">
        <f t="shared" ca="1" si="6"/>
        <v>175</v>
      </c>
      <c r="AL10" s="45">
        <f t="shared" ca="1" si="7"/>
        <v>628</v>
      </c>
      <c r="AM10" s="45">
        <f t="shared" ca="1" si="8"/>
        <v>38</v>
      </c>
      <c r="AN10" s="45">
        <f t="shared" ca="1" si="9"/>
        <v>4371</v>
      </c>
      <c r="AO10">
        <v>4327</v>
      </c>
      <c r="AP10">
        <v>1511</v>
      </c>
      <c r="AQ10">
        <v>173</v>
      </c>
      <c r="AR10">
        <v>666</v>
      </c>
      <c r="AS10">
        <v>1213</v>
      </c>
      <c r="AT10">
        <v>72</v>
      </c>
      <c r="AU10">
        <v>147</v>
      </c>
      <c r="AV10">
        <v>0.98799999999999999</v>
      </c>
      <c r="AW10" s="47">
        <v>2001</v>
      </c>
      <c r="AX10" s="47" t="s">
        <v>148</v>
      </c>
      <c r="AY10" s="47">
        <f t="shared" si="10"/>
        <v>29700</v>
      </c>
      <c r="AZ10" s="49">
        <f t="shared" si="11"/>
        <v>167290</v>
      </c>
      <c r="BA10" s="49">
        <f t="shared" ref="BA10" si="13">SUMIF($B$2:$B$571,$B10,$O$2:$O$571)</f>
        <v>29700</v>
      </c>
      <c r="BB10" s="48">
        <f t="shared" si="12"/>
        <v>0.17753601530276764</v>
      </c>
      <c r="BC10">
        <v>9</v>
      </c>
      <c r="BD10" t="s">
        <v>54</v>
      </c>
      <c r="BE10">
        <v>2008</v>
      </c>
    </row>
    <row r="11" spans="1:57" x14ac:dyDescent="0.2">
      <c r="B11" s="3">
        <v>2000</v>
      </c>
      <c r="C11" t="s">
        <v>56</v>
      </c>
      <c r="D11" t="s">
        <v>57</v>
      </c>
      <c r="E11">
        <v>4</v>
      </c>
      <c r="F11" t="s">
        <v>38</v>
      </c>
      <c r="G11" t="s">
        <v>38</v>
      </c>
      <c r="H11" t="s">
        <v>38</v>
      </c>
      <c r="I11" t="s">
        <v>38</v>
      </c>
      <c r="J11">
        <v>82</v>
      </c>
      <c r="K11">
        <v>80</v>
      </c>
      <c r="L11">
        <v>968</v>
      </c>
      <c r="M11" s="38">
        <v>5660</v>
      </c>
      <c r="N11" s="38">
        <v>1664</v>
      </c>
      <c r="O11" s="38">
        <f t="shared" si="0"/>
        <v>1130</v>
      </c>
      <c r="P11" s="38">
        <v>320</v>
      </c>
      <c r="Q11" s="38">
        <v>53</v>
      </c>
      <c r="R11" s="38">
        <v>161</v>
      </c>
      <c r="S11" s="38">
        <v>601</v>
      </c>
      <c r="T11" s="38">
        <v>42</v>
      </c>
      <c r="U11" s="38">
        <f t="shared" si="1"/>
        <v>3353</v>
      </c>
      <c r="V11">
        <v>907</v>
      </c>
      <c r="W11">
        <v>131</v>
      </c>
      <c r="X11">
        <v>61</v>
      </c>
      <c r="Y11">
        <v>75</v>
      </c>
      <c r="Z11">
        <v>897</v>
      </c>
      <c r="AA11">
        <v>835</v>
      </c>
      <c r="AB11">
        <v>5.26</v>
      </c>
      <c r="AC11">
        <v>7</v>
      </c>
      <c r="AD11">
        <v>2</v>
      </c>
      <c r="AE11">
        <v>33</v>
      </c>
      <c r="AF11" s="45">
        <v>6340</v>
      </c>
      <c r="AG11" s="45">
        <f t="shared" ca="1" si="2"/>
        <v>1435</v>
      </c>
      <c r="AH11" s="45">
        <f t="shared" ca="1" si="3"/>
        <v>870</v>
      </c>
      <c r="AI11" s="45">
        <f t="shared" ca="1" si="4"/>
        <v>357</v>
      </c>
      <c r="AJ11" s="45">
        <f t="shared" ca="1" si="5"/>
        <v>31</v>
      </c>
      <c r="AK11" s="45">
        <f t="shared" ca="1" si="6"/>
        <v>177</v>
      </c>
      <c r="AL11" s="45">
        <f t="shared" ca="1" si="7"/>
        <v>653</v>
      </c>
      <c r="AM11" s="45">
        <f t="shared" ca="1" si="8"/>
        <v>55</v>
      </c>
      <c r="AN11" s="45">
        <f t="shared" ca="1" si="9"/>
        <v>4197</v>
      </c>
      <c r="AO11">
        <v>4290</v>
      </c>
      <c r="AP11">
        <v>1568</v>
      </c>
      <c r="AQ11">
        <v>221</v>
      </c>
      <c r="AR11">
        <v>588</v>
      </c>
      <c r="AS11">
        <v>1001</v>
      </c>
      <c r="AT11">
        <v>94</v>
      </c>
      <c r="AU11">
        <v>176</v>
      </c>
      <c r="AV11">
        <v>0.98499999999999999</v>
      </c>
      <c r="AW11" s="47"/>
      <c r="AX11" s="47" t="s">
        <v>149</v>
      </c>
      <c r="AY11" s="47">
        <f t="shared" si="10"/>
        <v>29700</v>
      </c>
      <c r="AZ11" s="49">
        <f t="shared" si="11"/>
        <v>167290</v>
      </c>
      <c r="BA11" s="49">
        <f t="shared" ref="BA11" si="14">SUMIF($B$2:$B$571,$B11,$P$2:$P$571)</f>
        <v>8901</v>
      </c>
      <c r="BB11" s="48">
        <f t="shared" si="12"/>
        <v>5.3207005798314305E-2</v>
      </c>
      <c r="BC11">
        <v>10</v>
      </c>
      <c r="BD11" t="s">
        <v>56</v>
      </c>
      <c r="BE11">
        <v>2009</v>
      </c>
    </row>
    <row r="12" spans="1:57" x14ac:dyDescent="0.2">
      <c r="B12" s="3">
        <v>2000</v>
      </c>
      <c r="C12" t="s">
        <v>58</v>
      </c>
      <c r="D12" t="s">
        <v>59</v>
      </c>
      <c r="E12">
        <v>3</v>
      </c>
      <c r="F12" t="s">
        <v>38</v>
      </c>
      <c r="G12" t="s">
        <v>38</v>
      </c>
      <c r="H12" t="s">
        <v>38</v>
      </c>
      <c r="I12" t="s">
        <v>38</v>
      </c>
      <c r="J12">
        <v>79</v>
      </c>
      <c r="K12">
        <v>83</v>
      </c>
      <c r="L12">
        <v>823</v>
      </c>
      <c r="M12" s="38">
        <v>5644</v>
      </c>
      <c r="N12" s="38">
        <v>1553</v>
      </c>
      <c r="O12" s="38">
        <f t="shared" si="0"/>
        <v>1028</v>
      </c>
      <c r="P12" s="38">
        <v>307</v>
      </c>
      <c r="Q12" s="38">
        <v>41</v>
      </c>
      <c r="R12" s="38">
        <v>177</v>
      </c>
      <c r="S12" s="38">
        <v>562</v>
      </c>
      <c r="T12" s="38">
        <v>43</v>
      </c>
      <c r="U12" s="38">
        <f t="shared" si="1"/>
        <v>3486</v>
      </c>
      <c r="V12">
        <v>982</v>
      </c>
      <c r="W12">
        <v>83</v>
      </c>
      <c r="X12">
        <v>38</v>
      </c>
      <c r="Y12">
        <v>49</v>
      </c>
      <c r="Z12">
        <v>827</v>
      </c>
      <c r="AA12">
        <v>755</v>
      </c>
      <c r="AB12">
        <v>4.71</v>
      </c>
      <c r="AC12">
        <v>6</v>
      </c>
      <c r="AD12">
        <v>6</v>
      </c>
      <c r="AE12">
        <v>44</v>
      </c>
      <c r="AF12" s="45">
        <v>6295</v>
      </c>
      <c r="AG12" s="45">
        <f t="shared" ca="1" si="2"/>
        <v>1606</v>
      </c>
      <c r="AH12" s="45">
        <f t="shared" ca="1" si="3"/>
        <v>1019</v>
      </c>
      <c r="AI12" s="45">
        <f t="shared" ca="1" si="4"/>
        <v>387</v>
      </c>
      <c r="AJ12" s="45">
        <f t="shared" ca="1" si="5"/>
        <v>24</v>
      </c>
      <c r="AK12" s="45">
        <f t="shared" ca="1" si="6"/>
        <v>176</v>
      </c>
      <c r="AL12" s="45">
        <f t="shared" ca="1" si="7"/>
        <v>699</v>
      </c>
      <c r="AM12" s="45">
        <f t="shared" ca="1" si="8"/>
        <v>68</v>
      </c>
      <c r="AN12" s="45">
        <f t="shared" ca="1" si="9"/>
        <v>3922</v>
      </c>
      <c r="AO12">
        <v>4330</v>
      </c>
      <c r="AP12">
        <v>1583</v>
      </c>
      <c r="AQ12">
        <v>177</v>
      </c>
      <c r="AR12">
        <v>496</v>
      </c>
      <c r="AS12">
        <v>978</v>
      </c>
      <c r="AT12">
        <v>105</v>
      </c>
      <c r="AU12">
        <v>171</v>
      </c>
      <c r="AV12">
        <v>0.98299999999999998</v>
      </c>
      <c r="AW12" s="47"/>
      <c r="AX12" s="47" t="s">
        <v>150</v>
      </c>
      <c r="AY12" s="47">
        <f t="shared" si="10"/>
        <v>29700</v>
      </c>
      <c r="AZ12" s="49">
        <f t="shared" si="11"/>
        <v>167290</v>
      </c>
      <c r="BA12" s="49">
        <f t="shared" ref="BA12" si="15">SUMIF($B$2:$B$571,$B12,$Q$2:$Q$571)</f>
        <v>952</v>
      </c>
      <c r="BB12" s="48">
        <f t="shared" si="12"/>
        <v>5.6907167194691849E-3</v>
      </c>
      <c r="BC12">
        <v>11</v>
      </c>
      <c r="BD12" t="s">
        <v>58</v>
      </c>
      <c r="BE12">
        <v>2010</v>
      </c>
    </row>
    <row r="13" spans="1:57" x14ac:dyDescent="0.2">
      <c r="B13" s="3">
        <v>2000</v>
      </c>
      <c r="C13" t="s">
        <v>60</v>
      </c>
      <c r="D13" t="s">
        <v>61</v>
      </c>
      <c r="E13">
        <v>3</v>
      </c>
      <c r="F13" t="s">
        <v>38</v>
      </c>
      <c r="G13" t="s">
        <v>38</v>
      </c>
      <c r="H13" t="s">
        <v>38</v>
      </c>
      <c r="I13" t="s">
        <v>38</v>
      </c>
      <c r="J13">
        <v>79</v>
      </c>
      <c r="K13">
        <v>82</v>
      </c>
      <c r="L13">
        <v>731</v>
      </c>
      <c r="M13" s="38">
        <v>5509</v>
      </c>
      <c r="N13" s="38">
        <v>1441</v>
      </c>
      <c r="O13" s="38">
        <f t="shared" si="0"/>
        <v>978</v>
      </c>
      <c r="P13" s="38">
        <v>274</v>
      </c>
      <c r="Q13" s="38">
        <v>29</v>
      </c>
      <c r="R13" s="38">
        <v>160</v>
      </c>
      <c r="S13" s="38">
        <v>540</v>
      </c>
      <c r="T13" s="38">
        <v>60</v>
      </c>
      <c r="U13" s="38">
        <f t="shared" si="1"/>
        <v>3468</v>
      </c>
      <c r="V13">
        <v>1184</v>
      </c>
      <c r="W13">
        <v>168</v>
      </c>
      <c r="X13">
        <v>55</v>
      </c>
      <c r="Y13">
        <v>51</v>
      </c>
      <c r="Z13">
        <v>797</v>
      </c>
      <c r="AA13">
        <v>729</v>
      </c>
      <c r="AB13">
        <v>4.59</v>
      </c>
      <c r="AC13">
        <v>5</v>
      </c>
      <c r="AD13">
        <v>4</v>
      </c>
      <c r="AE13">
        <v>48</v>
      </c>
      <c r="AF13" s="45">
        <v>6307</v>
      </c>
      <c r="AG13" s="45">
        <f t="shared" ca="1" si="2"/>
        <v>1597</v>
      </c>
      <c r="AH13" s="45">
        <f t="shared" ca="1" si="3"/>
        <v>961</v>
      </c>
      <c r="AI13" s="45">
        <f t="shared" ca="1" si="4"/>
        <v>360</v>
      </c>
      <c r="AJ13" s="45">
        <f t="shared" ca="1" si="5"/>
        <v>42</v>
      </c>
      <c r="AK13" s="45">
        <f t="shared" ca="1" si="6"/>
        <v>234</v>
      </c>
      <c r="AL13" s="45">
        <f t="shared" ca="1" si="7"/>
        <v>489</v>
      </c>
      <c r="AM13" s="45">
        <f t="shared" ca="1" si="8"/>
        <v>64</v>
      </c>
      <c r="AN13" s="45">
        <f t="shared" ca="1" si="9"/>
        <v>4157</v>
      </c>
      <c r="AO13">
        <v>4289</v>
      </c>
      <c r="AP13">
        <v>1477</v>
      </c>
      <c r="AQ13">
        <v>169</v>
      </c>
      <c r="AR13">
        <v>650</v>
      </c>
      <c r="AS13">
        <v>1051</v>
      </c>
      <c r="AT13">
        <v>125</v>
      </c>
      <c r="AU13">
        <v>144</v>
      </c>
      <c r="AV13">
        <v>0.98</v>
      </c>
      <c r="AW13" s="47"/>
      <c r="AX13" s="47" t="s">
        <v>151</v>
      </c>
      <c r="AY13" s="47">
        <f t="shared" si="10"/>
        <v>29700</v>
      </c>
      <c r="AZ13" s="49">
        <f t="shared" si="11"/>
        <v>167290</v>
      </c>
      <c r="BA13" s="49">
        <f t="shared" ref="BA13" si="16">SUMIF($B$2:$B$571,$B13,$R$2:$R$571)</f>
        <v>5693</v>
      </c>
      <c r="BB13" s="48">
        <f t="shared" si="12"/>
        <v>3.4030725088170247E-2</v>
      </c>
      <c r="BC13">
        <v>12</v>
      </c>
      <c r="BD13" t="s">
        <v>60</v>
      </c>
      <c r="BE13">
        <v>2011</v>
      </c>
    </row>
    <row r="14" spans="1:57" x14ac:dyDescent="0.2">
      <c r="B14" s="3">
        <v>2000</v>
      </c>
      <c r="C14" t="s">
        <v>62</v>
      </c>
      <c r="D14" t="s">
        <v>63</v>
      </c>
      <c r="E14">
        <v>4</v>
      </c>
      <c r="F14" t="s">
        <v>38</v>
      </c>
      <c r="G14" t="s">
        <v>38</v>
      </c>
      <c r="H14" t="s">
        <v>38</v>
      </c>
      <c r="I14" t="s">
        <v>38</v>
      </c>
      <c r="J14">
        <v>72</v>
      </c>
      <c r="K14">
        <v>90</v>
      </c>
      <c r="L14">
        <v>938</v>
      </c>
      <c r="M14" s="38">
        <v>5570</v>
      </c>
      <c r="N14" s="38">
        <v>1547</v>
      </c>
      <c r="O14" s="38">
        <f t="shared" si="0"/>
        <v>973</v>
      </c>
      <c r="P14" s="38">
        <v>289</v>
      </c>
      <c r="Q14" s="38">
        <v>36</v>
      </c>
      <c r="R14" s="38">
        <v>249</v>
      </c>
      <c r="S14" s="38">
        <v>673</v>
      </c>
      <c r="T14" s="38">
        <v>83</v>
      </c>
      <c r="U14" s="38">
        <f t="shared" si="1"/>
        <v>3267</v>
      </c>
      <c r="V14">
        <v>1129</v>
      </c>
      <c r="W14">
        <v>114</v>
      </c>
      <c r="X14">
        <v>52</v>
      </c>
      <c r="Y14">
        <v>61</v>
      </c>
      <c r="Z14">
        <v>944</v>
      </c>
      <c r="AA14">
        <v>865</v>
      </c>
      <c r="AB14">
        <v>5.42</v>
      </c>
      <c r="AC14">
        <v>8</v>
      </c>
      <c r="AD14">
        <v>2</v>
      </c>
      <c r="AE14">
        <v>30</v>
      </c>
      <c r="AF14" s="45">
        <v>6455</v>
      </c>
      <c r="AG14" s="45">
        <f t="shared" ca="1" si="2"/>
        <v>1499</v>
      </c>
      <c r="AH14" s="45">
        <f t="shared" ca="1" si="3"/>
        <v>1104</v>
      </c>
      <c r="AI14" s="45">
        <f t="shared" ca="1" si="4"/>
        <v>223</v>
      </c>
      <c r="AJ14" s="45">
        <f t="shared" ca="1" si="5"/>
        <v>34</v>
      </c>
      <c r="AK14" s="45">
        <f t="shared" ca="1" si="6"/>
        <v>138</v>
      </c>
      <c r="AL14" s="45">
        <f t="shared" ca="1" si="7"/>
        <v>438</v>
      </c>
      <c r="AM14" s="45">
        <f t="shared" ca="1" si="8"/>
        <v>74</v>
      </c>
      <c r="AN14" s="45">
        <f t="shared" ca="1" si="9"/>
        <v>4444</v>
      </c>
      <c r="AO14">
        <v>4313</v>
      </c>
      <c r="AP14">
        <v>1596</v>
      </c>
      <c r="AQ14">
        <v>234</v>
      </c>
      <c r="AR14">
        <v>598</v>
      </c>
      <c r="AS14">
        <v>1064</v>
      </c>
      <c r="AT14">
        <v>133</v>
      </c>
      <c r="AU14">
        <v>149</v>
      </c>
      <c r="AV14">
        <v>0.97799999999999998</v>
      </c>
      <c r="AW14" s="47"/>
      <c r="AX14" s="47" t="s">
        <v>152</v>
      </c>
      <c r="AY14" s="47">
        <f t="shared" si="10"/>
        <v>29700</v>
      </c>
      <c r="AZ14" s="49">
        <f t="shared" si="11"/>
        <v>167290</v>
      </c>
      <c r="BA14" s="49">
        <f t="shared" ref="BA14" si="17">SUMIF($B$2:$B$571,$B14,$S$2:$S$571)</f>
        <v>18237</v>
      </c>
      <c r="BB14" s="48">
        <f t="shared" si="12"/>
        <v>0.10901428656823481</v>
      </c>
      <c r="BC14">
        <v>13</v>
      </c>
      <c r="BD14" t="s">
        <v>62</v>
      </c>
      <c r="BE14">
        <v>2012</v>
      </c>
    </row>
    <row r="15" spans="1:57" x14ac:dyDescent="0.2">
      <c r="B15" s="3">
        <v>2000</v>
      </c>
      <c r="C15" t="s">
        <v>64</v>
      </c>
      <c r="D15" t="s">
        <v>65</v>
      </c>
      <c r="E15">
        <v>4</v>
      </c>
      <c r="F15" t="s">
        <v>38</v>
      </c>
      <c r="G15" t="s">
        <v>38</v>
      </c>
      <c r="H15" t="s">
        <v>38</v>
      </c>
      <c r="I15" t="s">
        <v>38</v>
      </c>
      <c r="J15">
        <v>77</v>
      </c>
      <c r="K15">
        <v>85</v>
      </c>
      <c r="L15">
        <v>879</v>
      </c>
      <c r="M15" s="38">
        <v>5709</v>
      </c>
      <c r="N15" s="38">
        <v>1644</v>
      </c>
      <c r="O15" s="38">
        <f t="shared" si="0"/>
        <v>1186</v>
      </c>
      <c r="P15" s="38">
        <v>281</v>
      </c>
      <c r="Q15" s="38">
        <v>27</v>
      </c>
      <c r="R15" s="38">
        <v>150</v>
      </c>
      <c r="S15" s="38">
        <v>511</v>
      </c>
      <c r="T15" s="38">
        <v>48</v>
      </c>
      <c r="U15" s="38">
        <f t="shared" si="1"/>
        <v>3506</v>
      </c>
      <c r="V15">
        <v>840</v>
      </c>
      <c r="W15">
        <v>121</v>
      </c>
      <c r="X15">
        <v>35</v>
      </c>
      <c r="Y15">
        <v>70</v>
      </c>
      <c r="Z15">
        <v>930</v>
      </c>
      <c r="AA15">
        <v>876</v>
      </c>
      <c r="AB15">
        <v>5.48</v>
      </c>
      <c r="AC15">
        <v>10</v>
      </c>
      <c r="AD15">
        <v>6</v>
      </c>
      <c r="AE15">
        <v>29</v>
      </c>
      <c r="AF15" s="45">
        <v>6443</v>
      </c>
      <c r="AG15" s="45">
        <f t="shared" ca="1" si="2"/>
        <v>1474</v>
      </c>
      <c r="AH15" s="45">
        <f t="shared" ca="1" si="3"/>
        <v>923</v>
      </c>
      <c r="AI15" s="45">
        <f t="shared" ca="1" si="4"/>
        <v>285</v>
      </c>
      <c r="AJ15" s="45">
        <f t="shared" ca="1" si="5"/>
        <v>43</v>
      </c>
      <c r="AK15" s="45">
        <f t="shared" ca="1" si="6"/>
        <v>223</v>
      </c>
      <c r="AL15" s="45">
        <f t="shared" ca="1" si="7"/>
        <v>561</v>
      </c>
      <c r="AM15" s="45">
        <f t="shared" ca="1" si="8"/>
        <v>75</v>
      </c>
      <c r="AN15" s="45">
        <f t="shared" ca="1" si="9"/>
        <v>4333</v>
      </c>
      <c r="AO15">
        <v>4318</v>
      </c>
      <c r="AP15">
        <v>1585</v>
      </c>
      <c r="AQ15">
        <v>239</v>
      </c>
      <c r="AR15">
        <v>693</v>
      </c>
      <c r="AS15">
        <v>927</v>
      </c>
      <c r="AT15">
        <v>102</v>
      </c>
      <c r="AU15">
        <v>185</v>
      </c>
      <c r="AV15">
        <v>0.98299999999999998</v>
      </c>
      <c r="AW15" s="47"/>
      <c r="AX15" s="47" t="s">
        <v>153</v>
      </c>
      <c r="AY15" s="47">
        <f t="shared" si="10"/>
        <v>29700</v>
      </c>
      <c r="AZ15" s="49">
        <f t="shared" si="11"/>
        <v>167290</v>
      </c>
      <c r="BA15" s="49">
        <f t="shared" ref="BA15" si="18">SUMIF($B$2:$B$571,$B15,$T$2:$T$571)</f>
        <v>1573</v>
      </c>
      <c r="BB15" s="48">
        <f t="shared" si="12"/>
        <v>9.4028334030725087E-3</v>
      </c>
      <c r="BC15">
        <v>14</v>
      </c>
      <c r="BD15" t="s">
        <v>64</v>
      </c>
      <c r="BE15">
        <v>2013</v>
      </c>
    </row>
    <row r="16" spans="1:57" x14ac:dyDescent="0.2">
      <c r="B16" s="3">
        <v>2000</v>
      </c>
      <c r="C16" t="s">
        <v>66</v>
      </c>
      <c r="D16" t="s">
        <v>67</v>
      </c>
      <c r="E16">
        <v>2</v>
      </c>
      <c r="F16" t="s">
        <v>38</v>
      </c>
      <c r="G16" t="s">
        <v>38</v>
      </c>
      <c r="H16" t="s">
        <v>38</v>
      </c>
      <c r="I16" t="s">
        <v>38</v>
      </c>
      <c r="J16">
        <v>86</v>
      </c>
      <c r="K16">
        <v>76</v>
      </c>
      <c r="L16">
        <v>798</v>
      </c>
      <c r="M16" s="38">
        <v>5481</v>
      </c>
      <c r="N16" s="38">
        <v>1408</v>
      </c>
      <c r="O16" s="38">
        <f t="shared" si="0"/>
        <v>904</v>
      </c>
      <c r="P16" s="38">
        <v>265</v>
      </c>
      <c r="Q16" s="38">
        <v>28</v>
      </c>
      <c r="R16" s="38">
        <v>211</v>
      </c>
      <c r="S16" s="38">
        <v>668</v>
      </c>
      <c r="T16" s="38">
        <v>51</v>
      </c>
      <c r="U16" s="38">
        <f t="shared" si="1"/>
        <v>3354</v>
      </c>
      <c r="V16">
        <v>1083</v>
      </c>
      <c r="W16">
        <v>95</v>
      </c>
      <c r="X16">
        <v>42</v>
      </c>
      <c r="Y16">
        <v>46</v>
      </c>
      <c r="Z16">
        <v>729</v>
      </c>
      <c r="AA16">
        <v>659</v>
      </c>
      <c r="AB16">
        <v>4.0999999999999996</v>
      </c>
      <c r="AC16">
        <v>9</v>
      </c>
      <c r="AD16">
        <v>11</v>
      </c>
      <c r="AE16">
        <v>36</v>
      </c>
      <c r="AF16" s="45">
        <v>6249</v>
      </c>
      <c r="AG16" s="45">
        <f t="shared" ca="1" si="2"/>
        <v>1628</v>
      </c>
      <c r="AH16" s="45">
        <f t="shared" ca="1" si="3"/>
        <v>1120</v>
      </c>
      <c r="AI16" s="45">
        <f t="shared" ca="1" si="4"/>
        <v>257</v>
      </c>
      <c r="AJ16" s="45">
        <f t="shared" ca="1" si="5"/>
        <v>37</v>
      </c>
      <c r="AK16" s="45">
        <f t="shared" ca="1" si="6"/>
        <v>214</v>
      </c>
      <c r="AL16" s="45">
        <f t="shared" ca="1" si="7"/>
        <v>572</v>
      </c>
      <c r="AM16" s="45">
        <f t="shared" ca="1" si="8"/>
        <v>73</v>
      </c>
      <c r="AN16" s="45">
        <f t="shared" ca="1" si="9"/>
        <v>3976</v>
      </c>
      <c r="AO16">
        <v>4335</v>
      </c>
      <c r="AP16">
        <v>1379</v>
      </c>
      <c r="AQ16">
        <v>176</v>
      </c>
      <c r="AR16">
        <v>600</v>
      </c>
      <c r="AS16">
        <v>1154</v>
      </c>
      <c r="AT16">
        <v>135</v>
      </c>
      <c r="AU16">
        <v>151</v>
      </c>
      <c r="AV16">
        <v>0.97799999999999998</v>
      </c>
      <c r="AW16" s="47"/>
      <c r="AX16" s="47" t="s">
        <v>154</v>
      </c>
      <c r="AY16" s="47">
        <f t="shared" si="10"/>
        <v>29700</v>
      </c>
      <c r="AZ16" s="49">
        <f t="shared" si="11"/>
        <v>167290</v>
      </c>
      <c r="BA16" s="49">
        <f t="shared" ref="BA16" si="19">SUMIF($B$2:$B$571,$B16,$U$2:$U$571)</f>
        <v>102234</v>
      </c>
      <c r="BB16" s="48">
        <f t="shared" si="12"/>
        <v>0.61111841711997128</v>
      </c>
      <c r="BC16">
        <v>15</v>
      </c>
      <c r="BD16" t="s">
        <v>98</v>
      </c>
      <c r="BE16">
        <v>2014</v>
      </c>
    </row>
    <row r="17" spans="2:57" x14ac:dyDescent="0.2">
      <c r="B17" s="3">
        <v>2000</v>
      </c>
      <c r="C17" t="s">
        <v>68</v>
      </c>
      <c r="D17" t="s">
        <v>69</v>
      </c>
      <c r="E17">
        <v>3</v>
      </c>
      <c r="F17" t="s">
        <v>38</v>
      </c>
      <c r="G17" t="s">
        <v>38</v>
      </c>
      <c r="H17" t="s">
        <v>38</v>
      </c>
      <c r="I17" t="s">
        <v>38</v>
      </c>
      <c r="J17">
        <v>73</v>
      </c>
      <c r="K17">
        <v>89</v>
      </c>
      <c r="L17">
        <v>740</v>
      </c>
      <c r="M17" s="38">
        <v>5563</v>
      </c>
      <c r="N17" s="38">
        <v>1366</v>
      </c>
      <c r="O17" s="38">
        <f t="shared" si="0"/>
        <v>867</v>
      </c>
      <c r="P17" s="38">
        <v>297</v>
      </c>
      <c r="Q17" s="38">
        <v>25</v>
      </c>
      <c r="R17" s="38">
        <v>177</v>
      </c>
      <c r="S17" s="38">
        <v>620</v>
      </c>
      <c r="T17" s="38">
        <v>61</v>
      </c>
      <c r="U17" s="38">
        <f t="shared" si="1"/>
        <v>3516</v>
      </c>
      <c r="V17">
        <v>1245</v>
      </c>
      <c r="W17">
        <v>72</v>
      </c>
      <c r="X17">
        <v>44</v>
      </c>
      <c r="Y17">
        <v>49</v>
      </c>
      <c r="Z17">
        <v>826</v>
      </c>
      <c r="AA17">
        <v>755</v>
      </c>
      <c r="AB17">
        <v>4.63</v>
      </c>
      <c r="AC17">
        <v>2</v>
      </c>
      <c r="AD17">
        <v>7</v>
      </c>
      <c r="AE17">
        <v>29</v>
      </c>
      <c r="AF17" s="45">
        <v>6497</v>
      </c>
      <c r="AG17" s="45">
        <f t="shared" ca="1" si="2"/>
        <v>1449</v>
      </c>
      <c r="AH17" s="45">
        <f t="shared" ca="1" si="3"/>
        <v>826</v>
      </c>
      <c r="AI17" s="45">
        <f t="shared" ca="1" si="4"/>
        <v>351</v>
      </c>
      <c r="AJ17" s="45">
        <f t="shared" ca="1" si="5"/>
        <v>36</v>
      </c>
      <c r="AK17" s="45">
        <f t="shared" ca="1" si="6"/>
        <v>236</v>
      </c>
      <c r="AL17" s="45">
        <f t="shared" ca="1" si="7"/>
        <v>552</v>
      </c>
      <c r="AM17" s="45">
        <f t="shared" ca="1" si="8"/>
        <v>31</v>
      </c>
      <c r="AN17" s="45">
        <f t="shared" ca="1" si="9"/>
        <v>4465</v>
      </c>
      <c r="AO17">
        <v>4399</v>
      </c>
      <c r="AP17">
        <v>1501</v>
      </c>
      <c r="AQ17">
        <v>174</v>
      </c>
      <c r="AR17">
        <v>728</v>
      </c>
      <c r="AS17">
        <v>967</v>
      </c>
      <c r="AT17">
        <v>118</v>
      </c>
      <c r="AU17">
        <v>187</v>
      </c>
      <c r="AV17">
        <v>0.98099999999999998</v>
      </c>
      <c r="AW17" s="47"/>
      <c r="AX17" s="47"/>
      <c r="AY17" s="47"/>
      <c r="AZ17" s="49"/>
      <c r="BA17" s="49"/>
      <c r="BB17" s="48"/>
      <c r="BC17">
        <v>16</v>
      </c>
      <c r="BD17" t="s">
        <v>66</v>
      </c>
      <c r="BE17">
        <v>2015</v>
      </c>
    </row>
    <row r="18" spans="2:57" x14ac:dyDescent="0.2">
      <c r="B18" s="3">
        <v>2000</v>
      </c>
      <c r="C18" t="s">
        <v>70</v>
      </c>
      <c r="D18" t="s">
        <v>71</v>
      </c>
      <c r="E18">
        <v>5</v>
      </c>
      <c r="F18" t="s">
        <v>38</v>
      </c>
      <c r="G18" t="s">
        <v>38</v>
      </c>
      <c r="H18" t="s">
        <v>38</v>
      </c>
      <c r="I18" t="s">
        <v>38</v>
      </c>
      <c r="J18">
        <v>69</v>
      </c>
      <c r="K18">
        <v>93</v>
      </c>
      <c r="L18">
        <v>748</v>
      </c>
      <c r="M18" s="38">
        <v>5615</v>
      </c>
      <c r="N18" s="38">
        <v>1516</v>
      </c>
      <c r="O18" s="38">
        <f t="shared" si="0"/>
        <v>1026</v>
      </c>
      <c r="P18" s="38">
        <v>325</v>
      </c>
      <c r="Q18" s="38">
        <v>49</v>
      </c>
      <c r="R18" s="38">
        <v>116</v>
      </c>
      <c r="S18" s="38">
        <v>556</v>
      </c>
      <c r="T18" s="38">
        <v>35</v>
      </c>
      <c r="U18" s="38">
        <f t="shared" si="1"/>
        <v>3508</v>
      </c>
      <c r="V18">
        <v>1021</v>
      </c>
      <c r="W18">
        <v>90</v>
      </c>
      <c r="X18">
        <v>45</v>
      </c>
      <c r="Y18">
        <v>51</v>
      </c>
      <c r="Z18">
        <v>880</v>
      </c>
      <c r="AA18">
        <v>819</v>
      </c>
      <c r="AB18">
        <v>5.14</v>
      </c>
      <c r="AC18">
        <v>6</v>
      </c>
      <c r="AD18">
        <v>4</v>
      </c>
      <c r="AE18">
        <v>35</v>
      </c>
      <c r="AF18" s="45">
        <v>6336</v>
      </c>
      <c r="AG18" s="45">
        <f t="shared" ca="1" si="2"/>
        <v>1359</v>
      </c>
      <c r="AH18" s="45">
        <f t="shared" ca="1" si="3"/>
        <v>839</v>
      </c>
      <c r="AI18" s="45">
        <f t="shared" ca="1" si="4"/>
        <v>284</v>
      </c>
      <c r="AJ18" s="45">
        <f t="shared" ca="1" si="5"/>
        <v>35</v>
      </c>
      <c r="AK18" s="45">
        <f t="shared" ca="1" si="6"/>
        <v>201</v>
      </c>
      <c r="AL18" s="45">
        <f t="shared" ca="1" si="7"/>
        <v>664</v>
      </c>
      <c r="AM18" s="45">
        <f t="shared" ca="1" si="8"/>
        <v>49</v>
      </c>
      <c r="AN18" s="45">
        <f t="shared" ca="1" si="9"/>
        <v>4264</v>
      </c>
      <c r="AO18">
        <v>4298</v>
      </c>
      <c r="AP18">
        <v>1634</v>
      </c>
      <c r="AQ18">
        <v>212</v>
      </c>
      <c r="AR18">
        <v>516</v>
      </c>
      <c r="AS18">
        <v>1042</v>
      </c>
      <c r="AT18">
        <v>102</v>
      </c>
      <c r="AU18">
        <v>155</v>
      </c>
      <c r="AV18">
        <v>0.98299999999999998</v>
      </c>
      <c r="AW18" s="47">
        <v>2002</v>
      </c>
      <c r="AX18" s="47" t="s">
        <v>148</v>
      </c>
      <c r="AY18" s="47">
        <f t="shared" si="10"/>
        <v>29700</v>
      </c>
      <c r="AZ18" s="49">
        <f t="shared" si="11"/>
        <v>167290</v>
      </c>
      <c r="BA18" s="49">
        <f t="shared" ref="BA18" si="20">SUMIF($B$2:$B$571,$B18,$O$2:$O$571)</f>
        <v>29700</v>
      </c>
      <c r="BB18" s="48">
        <f t="shared" si="12"/>
        <v>0.17753601530276764</v>
      </c>
      <c r="BC18">
        <v>17</v>
      </c>
      <c r="BD18" t="s">
        <v>103</v>
      </c>
      <c r="BE18">
        <v>2016</v>
      </c>
    </row>
    <row r="19" spans="2:57" x14ac:dyDescent="0.2">
      <c r="B19" s="3">
        <v>2000</v>
      </c>
      <c r="C19" t="s">
        <v>72</v>
      </c>
      <c r="D19" t="s">
        <v>73</v>
      </c>
      <c r="E19">
        <v>4</v>
      </c>
      <c r="F19" t="s">
        <v>38</v>
      </c>
      <c r="G19" t="s">
        <v>38</v>
      </c>
      <c r="H19" t="s">
        <v>38</v>
      </c>
      <c r="I19" t="s">
        <v>38</v>
      </c>
      <c r="J19">
        <v>67</v>
      </c>
      <c r="K19">
        <v>95</v>
      </c>
      <c r="L19">
        <v>738</v>
      </c>
      <c r="M19" s="38">
        <v>5535</v>
      </c>
      <c r="N19" s="38">
        <v>1475</v>
      </c>
      <c r="O19" s="38">
        <f t="shared" si="0"/>
        <v>952</v>
      </c>
      <c r="P19" s="38">
        <v>310</v>
      </c>
      <c r="Q19" s="38">
        <v>35</v>
      </c>
      <c r="R19" s="38">
        <v>178</v>
      </c>
      <c r="S19" s="38">
        <v>476</v>
      </c>
      <c r="T19" s="38">
        <v>29</v>
      </c>
      <c r="U19" s="38">
        <f t="shared" si="1"/>
        <v>3555</v>
      </c>
      <c r="V19">
        <v>1048</v>
      </c>
      <c r="W19">
        <v>58</v>
      </c>
      <c r="X19">
        <v>48</v>
      </c>
      <c r="Y19">
        <v>34</v>
      </c>
      <c r="Z19">
        <v>902</v>
      </c>
      <c r="AA19">
        <v>812</v>
      </c>
      <c r="AB19">
        <v>5.13</v>
      </c>
      <c r="AC19">
        <v>4</v>
      </c>
      <c r="AD19">
        <v>7</v>
      </c>
      <c r="AE19">
        <v>39</v>
      </c>
      <c r="AF19" s="45">
        <v>6340</v>
      </c>
      <c r="AG19" s="45">
        <f t="shared" ca="1" si="2"/>
        <v>1674</v>
      </c>
      <c r="AH19" s="45">
        <f t="shared" ca="1" si="3"/>
        <v>1073</v>
      </c>
      <c r="AI19" s="45">
        <f t="shared" ca="1" si="4"/>
        <v>353</v>
      </c>
      <c r="AJ19" s="45">
        <f t="shared" ca="1" si="5"/>
        <v>40</v>
      </c>
      <c r="AK19" s="45">
        <f t="shared" ca="1" si="6"/>
        <v>208</v>
      </c>
      <c r="AL19" s="45">
        <f t="shared" ca="1" si="7"/>
        <v>548</v>
      </c>
      <c r="AM19" s="45">
        <f t="shared" ca="1" si="8"/>
        <v>78</v>
      </c>
      <c r="AN19" s="45">
        <f t="shared" ca="1" si="9"/>
        <v>4040</v>
      </c>
      <c r="AO19">
        <v>4274</v>
      </c>
      <c r="AP19">
        <v>1575</v>
      </c>
      <c r="AQ19">
        <v>181</v>
      </c>
      <c r="AR19">
        <v>579</v>
      </c>
      <c r="AS19">
        <v>1011</v>
      </c>
      <c r="AT19">
        <v>132</v>
      </c>
      <c r="AU19">
        <v>151</v>
      </c>
      <c r="AV19">
        <v>0.97799999999999998</v>
      </c>
      <c r="AW19" s="47"/>
      <c r="AX19" s="47" t="s">
        <v>149</v>
      </c>
      <c r="AY19" s="47">
        <f t="shared" si="10"/>
        <v>29700</v>
      </c>
      <c r="AZ19" s="49">
        <f t="shared" si="11"/>
        <v>167290</v>
      </c>
      <c r="BA19" s="49">
        <f t="shared" ref="BA19" si="21">SUMIF($B$2:$B$571,$B19,$P$2:$P$571)</f>
        <v>8901</v>
      </c>
      <c r="BB19" s="48">
        <f t="shared" si="12"/>
        <v>5.3207005798314305E-2</v>
      </c>
      <c r="BC19">
        <v>18</v>
      </c>
      <c r="BD19" t="s">
        <v>68</v>
      </c>
      <c r="BE19">
        <v>2017</v>
      </c>
    </row>
    <row r="20" spans="2:57" x14ac:dyDescent="0.2">
      <c r="B20" s="3">
        <v>2000</v>
      </c>
      <c r="C20" t="s">
        <v>74</v>
      </c>
      <c r="D20" t="s">
        <v>75</v>
      </c>
      <c r="E20">
        <v>1</v>
      </c>
      <c r="F20" t="s">
        <v>43</v>
      </c>
      <c r="G20" t="s">
        <v>38</v>
      </c>
      <c r="H20" t="s">
        <v>43</v>
      </c>
      <c r="I20" t="s">
        <v>43</v>
      </c>
      <c r="J20">
        <v>87</v>
      </c>
      <c r="K20">
        <v>74</v>
      </c>
      <c r="L20">
        <v>871</v>
      </c>
      <c r="M20" s="38">
        <v>5556</v>
      </c>
      <c r="N20" s="38">
        <v>1541</v>
      </c>
      <c r="O20" s="38">
        <f t="shared" si="0"/>
        <v>1017</v>
      </c>
      <c r="P20" s="38">
        <v>294</v>
      </c>
      <c r="Q20" s="38">
        <v>25</v>
      </c>
      <c r="R20" s="38">
        <v>205</v>
      </c>
      <c r="S20" s="38">
        <v>631</v>
      </c>
      <c r="T20" s="38">
        <v>57</v>
      </c>
      <c r="U20" s="38">
        <f t="shared" si="1"/>
        <v>3327</v>
      </c>
      <c r="V20">
        <v>1007</v>
      </c>
      <c r="W20">
        <v>99</v>
      </c>
      <c r="X20">
        <v>48</v>
      </c>
      <c r="Y20">
        <v>50</v>
      </c>
      <c r="Z20">
        <v>814</v>
      </c>
      <c r="AA20">
        <v>753</v>
      </c>
      <c r="AB20">
        <v>4.76</v>
      </c>
      <c r="AC20">
        <v>9</v>
      </c>
      <c r="AD20">
        <v>6</v>
      </c>
      <c r="AE20">
        <v>40</v>
      </c>
      <c r="AF20" s="45">
        <v>6256</v>
      </c>
      <c r="AG20" s="45">
        <f t="shared" ca="1" si="2"/>
        <v>1592</v>
      </c>
      <c r="AH20" s="45">
        <f t="shared" ca="1" si="3"/>
        <v>1156</v>
      </c>
      <c r="AI20" s="45">
        <f t="shared" ca="1" si="4"/>
        <v>221</v>
      </c>
      <c r="AJ20" s="45">
        <f t="shared" ca="1" si="5"/>
        <v>23</v>
      </c>
      <c r="AK20" s="45">
        <f t="shared" ca="1" si="6"/>
        <v>192</v>
      </c>
      <c r="AL20" s="45">
        <f t="shared" ca="1" si="7"/>
        <v>668</v>
      </c>
      <c r="AM20" s="45">
        <f t="shared" ca="1" si="8"/>
        <v>86</v>
      </c>
      <c r="AN20" s="45">
        <f t="shared" ca="1" si="9"/>
        <v>3910</v>
      </c>
      <c r="AO20">
        <v>4273</v>
      </c>
      <c r="AP20">
        <v>1458</v>
      </c>
      <c r="AQ20">
        <v>177</v>
      </c>
      <c r="AR20">
        <v>577</v>
      </c>
      <c r="AS20">
        <v>1040</v>
      </c>
      <c r="AT20">
        <v>109</v>
      </c>
      <c r="AU20">
        <v>132</v>
      </c>
      <c r="AV20">
        <v>0.98099999999999998</v>
      </c>
      <c r="AW20" s="47"/>
      <c r="AX20" s="47" t="s">
        <v>150</v>
      </c>
      <c r="AY20" s="47">
        <f t="shared" si="10"/>
        <v>29700</v>
      </c>
      <c r="AZ20" s="49">
        <f t="shared" si="11"/>
        <v>167290</v>
      </c>
      <c r="BA20" s="49">
        <f t="shared" ref="BA20" si="22">SUMIF($B$2:$B$571,$B20,$Q$2:$Q$571)</f>
        <v>952</v>
      </c>
      <c r="BB20" s="48">
        <f t="shared" si="12"/>
        <v>5.6907167194691849E-3</v>
      </c>
      <c r="BC20">
        <v>19</v>
      </c>
      <c r="BD20" t="s">
        <v>70</v>
      </c>
      <c r="BE20">
        <v>2018</v>
      </c>
    </row>
    <row r="21" spans="2:57" x14ac:dyDescent="0.2">
      <c r="B21" s="3">
        <v>2000</v>
      </c>
      <c r="C21" t="s">
        <v>76</v>
      </c>
      <c r="D21" t="s">
        <v>77</v>
      </c>
      <c r="E21">
        <v>2</v>
      </c>
      <c r="F21" t="s">
        <v>38</v>
      </c>
      <c r="G21" t="s">
        <v>43</v>
      </c>
      <c r="H21" t="s">
        <v>43</v>
      </c>
      <c r="I21" t="s">
        <v>38</v>
      </c>
      <c r="J21">
        <v>94</v>
      </c>
      <c r="K21">
        <v>68</v>
      </c>
      <c r="L21">
        <v>807</v>
      </c>
      <c r="M21" s="38">
        <v>5486</v>
      </c>
      <c r="N21" s="38">
        <v>1445</v>
      </c>
      <c r="O21" s="38">
        <f t="shared" si="0"/>
        <v>946</v>
      </c>
      <c r="P21" s="38">
        <v>281</v>
      </c>
      <c r="Q21" s="38">
        <v>20</v>
      </c>
      <c r="R21" s="38">
        <v>198</v>
      </c>
      <c r="S21" s="38">
        <v>675</v>
      </c>
      <c r="T21" s="38">
        <v>45</v>
      </c>
      <c r="U21" s="38">
        <f t="shared" si="1"/>
        <v>3321</v>
      </c>
      <c r="V21">
        <v>1037</v>
      </c>
      <c r="W21">
        <v>66</v>
      </c>
      <c r="X21">
        <v>46</v>
      </c>
      <c r="Y21">
        <v>51</v>
      </c>
      <c r="Z21">
        <v>738</v>
      </c>
      <c r="AA21">
        <v>670</v>
      </c>
      <c r="AB21">
        <v>4.16</v>
      </c>
      <c r="AC21">
        <v>8</v>
      </c>
      <c r="AD21">
        <v>10</v>
      </c>
      <c r="AE21">
        <v>49</v>
      </c>
      <c r="AF21" s="45">
        <v>6276</v>
      </c>
      <c r="AG21" s="45">
        <f t="shared" ca="1" si="2"/>
        <v>1442</v>
      </c>
      <c r="AH21" s="45">
        <f t="shared" ca="1" si="3"/>
        <v>823</v>
      </c>
      <c r="AI21" s="45">
        <f t="shared" ca="1" si="4"/>
        <v>349</v>
      </c>
      <c r="AJ21" s="45">
        <f t="shared" ca="1" si="5"/>
        <v>30</v>
      </c>
      <c r="AK21" s="45">
        <f t="shared" ca="1" si="6"/>
        <v>240</v>
      </c>
      <c r="AL21" s="45">
        <f t="shared" ca="1" si="7"/>
        <v>558</v>
      </c>
      <c r="AM21" s="45">
        <f t="shared" ca="1" si="8"/>
        <v>81</v>
      </c>
      <c r="AN21" s="45">
        <f t="shared" ca="1" si="9"/>
        <v>4195</v>
      </c>
      <c r="AO21">
        <v>4350</v>
      </c>
      <c r="AP21">
        <v>1398</v>
      </c>
      <c r="AQ21">
        <v>164</v>
      </c>
      <c r="AR21">
        <v>574</v>
      </c>
      <c r="AS21">
        <v>1164</v>
      </c>
      <c r="AT21">
        <v>118</v>
      </c>
      <c r="AU21">
        <v>121</v>
      </c>
      <c r="AV21">
        <v>0.98</v>
      </c>
      <c r="AW21" s="1"/>
      <c r="AX21" s="47" t="s">
        <v>151</v>
      </c>
      <c r="AY21" s="47">
        <f t="shared" si="10"/>
        <v>29700</v>
      </c>
      <c r="AZ21" s="49">
        <f t="shared" si="11"/>
        <v>167290</v>
      </c>
      <c r="BA21" s="49">
        <f t="shared" ref="BA21" si="23">SUMIF($B$2:$B$571,$B21,$R$2:$R$571)</f>
        <v>5693</v>
      </c>
      <c r="BB21" s="48">
        <f t="shared" si="12"/>
        <v>3.4030725088170247E-2</v>
      </c>
      <c r="BC21">
        <v>20</v>
      </c>
      <c r="BD21" t="s">
        <v>72</v>
      </c>
    </row>
    <row r="22" spans="2:57" x14ac:dyDescent="0.2">
      <c r="B22" s="3">
        <v>2000</v>
      </c>
      <c r="C22" t="s">
        <v>78</v>
      </c>
      <c r="D22" t="s">
        <v>79</v>
      </c>
      <c r="E22">
        <v>1</v>
      </c>
      <c r="F22" t="s">
        <v>43</v>
      </c>
      <c r="G22" t="s">
        <v>38</v>
      </c>
      <c r="H22" t="s">
        <v>38</v>
      </c>
      <c r="I22" t="s">
        <v>38</v>
      </c>
      <c r="J22">
        <v>91</v>
      </c>
      <c r="K22">
        <v>70</v>
      </c>
      <c r="L22">
        <v>947</v>
      </c>
      <c r="M22" s="38">
        <v>5560</v>
      </c>
      <c r="N22" s="38">
        <v>1501</v>
      </c>
      <c r="O22" s="38">
        <f>N22-(P22+Q22+R22)</f>
        <v>958</v>
      </c>
      <c r="P22" s="38">
        <v>281</v>
      </c>
      <c r="Q22" s="38">
        <v>23</v>
      </c>
      <c r="R22" s="38">
        <v>239</v>
      </c>
      <c r="S22" s="38">
        <v>750</v>
      </c>
      <c r="T22" s="38">
        <v>52</v>
      </c>
      <c r="U22" s="38">
        <f>M22-(N22+S22+T22)</f>
        <v>3257</v>
      </c>
      <c r="V22">
        <v>1159</v>
      </c>
      <c r="W22">
        <v>40</v>
      </c>
      <c r="X22">
        <v>15</v>
      </c>
      <c r="Y22">
        <v>44</v>
      </c>
      <c r="Z22">
        <v>813</v>
      </c>
      <c r="AA22">
        <v>730</v>
      </c>
      <c r="AB22">
        <v>4.58</v>
      </c>
      <c r="AC22">
        <v>7</v>
      </c>
      <c r="AD22">
        <v>11</v>
      </c>
      <c r="AE22">
        <v>43</v>
      </c>
      <c r="AF22" s="45">
        <v>6355</v>
      </c>
      <c r="AG22" s="45">
        <f t="shared" ca="1" si="2"/>
        <v>1444</v>
      </c>
      <c r="AH22" s="45">
        <f t="shared" ca="1" si="3"/>
        <v>920</v>
      </c>
      <c r="AI22" s="45">
        <f t="shared" ca="1" si="4"/>
        <v>243</v>
      </c>
      <c r="AJ22" s="45">
        <f t="shared" ca="1" si="5"/>
        <v>44</v>
      </c>
      <c r="AK22" s="45">
        <f t="shared" ca="1" si="6"/>
        <v>237</v>
      </c>
      <c r="AL22" s="45">
        <f t="shared" ca="1" si="7"/>
        <v>698</v>
      </c>
      <c r="AM22" s="45">
        <f t="shared" ca="1" si="8"/>
        <v>53</v>
      </c>
      <c r="AN22" s="45">
        <f t="shared" ca="1" si="9"/>
        <v>4160</v>
      </c>
      <c r="AO22">
        <v>4306</v>
      </c>
      <c r="AP22">
        <v>1535</v>
      </c>
      <c r="AQ22">
        <v>158</v>
      </c>
      <c r="AR22">
        <v>615</v>
      </c>
      <c r="AS22">
        <v>963</v>
      </c>
      <c r="AT22">
        <v>134</v>
      </c>
      <c r="AU22">
        <v>164</v>
      </c>
      <c r="AV22">
        <v>0.97799999999999998</v>
      </c>
      <c r="AW22" s="1"/>
      <c r="AX22" s="47" t="s">
        <v>152</v>
      </c>
      <c r="AY22" s="47">
        <f t="shared" si="10"/>
        <v>29700</v>
      </c>
      <c r="AZ22" s="49">
        <f t="shared" si="11"/>
        <v>167290</v>
      </c>
      <c r="BA22" s="49">
        <f t="shared" ref="BA22" si="24">SUMIF($B$2:$B$571,$B22,$S$2:$S$571)</f>
        <v>18237</v>
      </c>
      <c r="BB22" s="48">
        <f t="shared" si="12"/>
        <v>0.10901428656823481</v>
      </c>
      <c r="BC22">
        <v>21</v>
      </c>
      <c r="BD22" t="s">
        <v>74</v>
      </c>
    </row>
    <row r="23" spans="2:57" x14ac:dyDescent="0.2">
      <c r="B23" s="3">
        <v>2000</v>
      </c>
      <c r="C23" t="s">
        <v>80</v>
      </c>
      <c r="D23" t="s">
        <v>81</v>
      </c>
      <c r="E23">
        <v>5</v>
      </c>
      <c r="F23" t="s">
        <v>38</v>
      </c>
      <c r="G23" t="s">
        <v>38</v>
      </c>
      <c r="H23" t="s">
        <v>38</v>
      </c>
      <c r="I23" t="s">
        <v>38</v>
      </c>
      <c r="J23">
        <v>65</v>
      </c>
      <c r="K23">
        <v>97</v>
      </c>
      <c r="L23">
        <v>708</v>
      </c>
      <c r="M23" s="38">
        <v>5511</v>
      </c>
      <c r="N23" s="38">
        <v>1386</v>
      </c>
      <c r="O23" s="38">
        <f t="shared" si="0"/>
        <v>898</v>
      </c>
      <c r="P23" s="38">
        <v>304</v>
      </c>
      <c r="Q23" s="38">
        <v>40</v>
      </c>
      <c r="R23" s="38">
        <v>144</v>
      </c>
      <c r="S23" s="38">
        <v>611</v>
      </c>
      <c r="T23" s="38">
        <v>44</v>
      </c>
      <c r="U23" s="38">
        <f t="shared" si="1"/>
        <v>3470</v>
      </c>
      <c r="V23">
        <v>1117</v>
      </c>
      <c r="W23">
        <v>102</v>
      </c>
      <c r="X23">
        <v>30</v>
      </c>
      <c r="Y23">
        <v>37</v>
      </c>
      <c r="Z23">
        <v>830</v>
      </c>
      <c r="AA23">
        <v>763</v>
      </c>
      <c r="AB23">
        <v>4.7699999999999996</v>
      </c>
      <c r="AC23">
        <v>8</v>
      </c>
      <c r="AD23">
        <v>6</v>
      </c>
      <c r="AE23">
        <v>34</v>
      </c>
      <c r="AF23" s="45">
        <v>6314</v>
      </c>
      <c r="AG23" s="45">
        <f t="shared" ca="1" si="2"/>
        <v>1619</v>
      </c>
      <c r="AH23" s="45">
        <f t="shared" ca="1" si="3"/>
        <v>1039</v>
      </c>
      <c r="AI23" s="45">
        <f t="shared" ca="1" si="4"/>
        <v>350</v>
      </c>
      <c r="AJ23" s="45">
        <f t="shared" ca="1" si="5"/>
        <v>34</v>
      </c>
      <c r="AK23" s="45">
        <f t="shared" ca="1" si="6"/>
        <v>196</v>
      </c>
      <c r="AL23" s="45">
        <f t="shared" ca="1" si="7"/>
        <v>574</v>
      </c>
      <c r="AM23" s="45">
        <f t="shared" ca="1" si="8"/>
        <v>58</v>
      </c>
      <c r="AN23" s="45">
        <f t="shared" ca="1" si="9"/>
        <v>4063</v>
      </c>
      <c r="AO23">
        <v>4316</v>
      </c>
      <c r="AP23">
        <v>1458</v>
      </c>
      <c r="AQ23">
        <v>201</v>
      </c>
      <c r="AR23">
        <v>640</v>
      </c>
      <c r="AS23">
        <v>1123</v>
      </c>
      <c r="AT23">
        <v>100</v>
      </c>
      <c r="AU23">
        <v>136</v>
      </c>
      <c r="AV23">
        <v>0.98299999999999998</v>
      </c>
      <c r="AW23" s="1"/>
      <c r="AX23" s="47" t="s">
        <v>153</v>
      </c>
      <c r="AY23" s="47">
        <f t="shared" si="10"/>
        <v>29700</v>
      </c>
      <c r="AZ23" s="49">
        <f t="shared" si="11"/>
        <v>167290</v>
      </c>
      <c r="BA23" s="49">
        <f t="shared" ref="BA23" si="25">SUMIF($B$2:$B$571,$B23,$T$2:$T$571)</f>
        <v>1573</v>
      </c>
      <c r="BB23" s="48">
        <f t="shared" si="12"/>
        <v>9.4028334030725087E-3</v>
      </c>
      <c r="BC23">
        <v>22</v>
      </c>
      <c r="BD23" t="s">
        <v>76</v>
      </c>
    </row>
    <row r="24" spans="2:57" x14ac:dyDescent="0.2">
      <c r="B24" s="3">
        <v>2000</v>
      </c>
      <c r="C24" t="s">
        <v>82</v>
      </c>
      <c r="D24" t="s">
        <v>83</v>
      </c>
      <c r="E24">
        <v>5</v>
      </c>
      <c r="F24" t="s">
        <v>38</v>
      </c>
      <c r="G24" t="s">
        <v>38</v>
      </c>
      <c r="H24" t="s">
        <v>38</v>
      </c>
      <c r="I24" t="s">
        <v>38</v>
      </c>
      <c r="J24">
        <v>69</v>
      </c>
      <c r="K24">
        <v>93</v>
      </c>
      <c r="L24">
        <v>793</v>
      </c>
      <c r="M24" s="38">
        <v>5643</v>
      </c>
      <c r="N24" s="38">
        <v>1506</v>
      </c>
      <c r="O24" s="38">
        <f t="shared" si="0"/>
        <v>987</v>
      </c>
      <c r="P24" s="38">
        <v>320</v>
      </c>
      <c r="Q24" s="38">
        <v>31</v>
      </c>
      <c r="R24" s="38">
        <v>168</v>
      </c>
      <c r="S24" s="38">
        <v>564</v>
      </c>
      <c r="T24" s="38">
        <v>66</v>
      </c>
      <c r="U24" s="38">
        <f t="shared" si="1"/>
        <v>3507</v>
      </c>
      <c r="V24">
        <v>1032</v>
      </c>
      <c r="W24">
        <v>86</v>
      </c>
      <c r="X24">
        <v>40</v>
      </c>
      <c r="Y24">
        <v>37</v>
      </c>
      <c r="Z24">
        <v>888</v>
      </c>
      <c r="AA24">
        <v>795</v>
      </c>
      <c r="AB24">
        <v>4.9400000000000004</v>
      </c>
      <c r="AC24">
        <v>5</v>
      </c>
      <c r="AD24">
        <v>7</v>
      </c>
      <c r="AE24">
        <v>27</v>
      </c>
      <c r="AF24" s="45">
        <v>6514</v>
      </c>
      <c r="AG24" s="45">
        <f t="shared" ca="1" si="2"/>
        <v>1351</v>
      </c>
      <c r="AH24" s="45">
        <f t="shared" ca="1" si="3"/>
        <v>872</v>
      </c>
      <c r="AI24" s="45">
        <f t="shared" ca="1" si="4"/>
        <v>254</v>
      </c>
      <c r="AJ24" s="45">
        <f t="shared" ca="1" si="5"/>
        <v>39</v>
      </c>
      <c r="AK24" s="45">
        <f t="shared" ca="1" si="6"/>
        <v>186</v>
      </c>
      <c r="AL24" s="45">
        <f t="shared" ca="1" si="7"/>
        <v>507</v>
      </c>
      <c r="AM24" s="45">
        <f t="shared" ca="1" si="8"/>
        <v>48</v>
      </c>
      <c r="AN24" s="45">
        <f t="shared" ca="1" si="9"/>
        <v>4608</v>
      </c>
      <c r="AO24">
        <v>4347</v>
      </c>
      <c r="AP24">
        <v>1554</v>
      </c>
      <c r="AQ24">
        <v>163</v>
      </c>
      <c r="AR24">
        <v>711</v>
      </c>
      <c r="AS24">
        <v>1070</v>
      </c>
      <c r="AT24">
        <v>132</v>
      </c>
      <c r="AU24">
        <v>169</v>
      </c>
      <c r="AV24">
        <v>0.97899999999999998</v>
      </c>
      <c r="AW24" s="1"/>
      <c r="AX24" s="47" t="s">
        <v>154</v>
      </c>
      <c r="AY24" s="47">
        <f t="shared" si="10"/>
        <v>29700</v>
      </c>
      <c r="AZ24" s="49">
        <f t="shared" si="11"/>
        <v>167290</v>
      </c>
      <c r="BA24" s="49">
        <f t="shared" ref="BA24" si="26">SUMIF($B$2:$B$571,$B24,$U$2:$U$571)</f>
        <v>102234</v>
      </c>
      <c r="BB24" s="48">
        <f t="shared" si="12"/>
        <v>0.61111841711997128</v>
      </c>
      <c r="BC24">
        <v>23</v>
      </c>
      <c r="BD24" t="s">
        <v>78</v>
      </c>
    </row>
    <row r="25" spans="2:57" x14ac:dyDescent="0.2">
      <c r="B25" s="3">
        <v>2000</v>
      </c>
      <c r="C25" t="s">
        <v>84</v>
      </c>
      <c r="D25" t="s">
        <v>85</v>
      </c>
      <c r="E25">
        <v>5</v>
      </c>
      <c r="F25" t="s">
        <v>38</v>
      </c>
      <c r="G25" t="s">
        <v>38</v>
      </c>
      <c r="H25" t="s">
        <v>38</v>
      </c>
      <c r="I25" t="s">
        <v>38</v>
      </c>
      <c r="J25">
        <v>76</v>
      </c>
      <c r="K25">
        <v>86</v>
      </c>
      <c r="L25">
        <v>752</v>
      </c>
      <c r="M25" s="38">
        <v>5560</v>
      </c>
      <c r="N25" s="38">
        <v>1413</v>
      </c>
      <c r="O25" s="38">
        <f t="shared" si="0"/>
        <v>940</v>
      </c>
      <c r="P25" s="38">
        <v>279</v>
      </c>
      <c r="Q25" s="38">
        <v>37</v>
      </c>
      <c r="R25" s="38">
        <v>157</v>
      </c>
      <c r="S25" s="38">
        <v>602</v>
      </c>
      <c r="T25" s="38">
        <v>46</v>
      </c>
      <c r="U25" s="38">
        <f t="shared" si="1"/>
        <v>3499</v>
      </c>
      <c r="V25">
        <v>1177</v>
      </c>
      <c r="W25">
        <v>131</v>
      </c>
      <c r="X25">
        <v>53</v>
      </c>
      <c r="Y25">
        <v>43</v>
      </c>
      <c r="Z25">
        <v>815</v>
      </c>
      <c r="AA25">
        <v>733</v>
      </c>
      <c r="AB25">
        <v>4.5199999999999996</v>
      </c>
      <c r="AC25">
        <v>5</v>
      </c>
      <c r="AD25">
        <v>5</v>
      </c>
      <c r="AE25">
        <v>46</v>
      </c>
      <c r="AF25" s="45">
        <v>6414</v>
      </c>
      <c r="AG25" s="45">
        <f t="shared" ca="1" si="2"/>
        <v>1653</v>
      </c>
      <c r="AH25" s="45">
        <f t="shared" ca="1" si="3"/>
        <v>1042</v>
      </c>
      <c r="AI25" s="45">
        <f t="shared" ca="1" si="4"/>
        <v>357</v>
      </c>
      <c r="AJ25" s="45">
        <f t="shared" ca="1" si="5"/>
        <v>26</v>
      </c>
      <c r="AK25" s="45">
        <f t="shared" ca="1" si="6"/>
        <v>228</v>
      </c>
      <c r="AL25" s="45">
        <f t="shared" ca="1" si="7"/>
        <v>527</v>
      </c>
      <c r="AM25" s="45">
        <f t="shared" ca="1" si="8"/>
        <v>46</v>
      </c>
      <c r="AN25" s="45">
        <f t="shared" ca="1" si="9"/>
        <v>4188</v>
      </c>
      <c r="AO25">
        <v>4378</v>
      </c>
      <c r="AP25">
        <v>1443</v>
      </c>
      <c r="AQ25">
        <v>191</v>
      </c>
      <c r="AR25">
        <v>649</v>
      </c>
      <c r="AS25">
        <v>1071</v>
      </c>
      <c r="AT25">
        <v>141</v>
      </c>
      <c r="AU25">
        <v>155</v>
      </c>
      <c r="AV25">
        <v>0.97699999999999998</v>
      </c>
      <c r="AW25" s="1"/>
      <c r="AX25" s="47"/>
      <c r="AY25" s="47"/>
      <c r="AZ25" s="49"/>
      <c r="BA25" s="49"/>
      <c r="BB25" s="48"/>
      <c r="BC25">
        <v>24</v>
      </c>
      <c r="BD25" t="s">
        <v>80</v>
      </c>
    </row>
    <row r="26" spans="2:57" x14ac:dyDescent="0.2">
      <c r="B26" s="3">
        <v>2000</v>
      </c>
      <c r="C26" t="s">
        <v>86</v>
      </c>
      <c r="D26" t="s">
        <v>87</v>
      </c>
      <c r="E26">
        <v>2</v>
      </c>
      <c r="F26" t="s">
        <v>38</v>
      </c>
      <c r="G26" t="s">
        <v>43</v>
      </c>
      <c r="H26" t="s">
        <v>38</v>
      </c>
      <c r="I26" t="s">
        <v>38</v>
      </c>
      <c r="J26">
        <v>91</v>
      </c>
      <c r="K26">
        <v>71</v>
      </c>
      <c r="L26">
        <v>907</v>
      </c>
      <c r="M26" s="38">
        <v>5497</v>
      </c>
      <c r="N26" s="38">
        <v>1481</v>
      </c>
      <c r="O26" s="38">
        <f t="shared" si="0"/>
        <v>957</v>
      </c>
      <c r="P26" s="38">
        <v>300</v>
      </c>
      <c r="Q26" s="38">
        <v>26</v>
      </c>
      <c r="R26" s="38">
        <v>198</v>
      </c>
      <c r="S26" s="38">
        <v>775</v>
      </c>
      <c r="T26" s="38">
        <v>48</v>
      </c>
      <c r="U26" s="38">
        <f t="shared" si="1"/>
        <v>3193</v>
      </c>
      <c r="V26">
        <v>1073</v>
      </c>
      <c r="W26">
        <v>122</v>
      </c>
      <c r="X26">
        <v>56</v>
      </c>
      <c r="Y26">
        <v>61</v>
      </c>
      <c r="Z26">
        <v>780</v>
      </c>
      <c r="AA26">
        <v>720</v>
      </c>
      <c r="AB26">
        <v>4.49</v>
      </c>
      <c r="AC26">
        <v>4</v>
      </c>
      <c r="AD26">
        <v>10</v>
      </c>
      <c r="AE26">
        <v>44</v>
      </c>
      <c r="AF26" s="45">
        <v>6269</v>
      </c>
      <c r="AG26" s="45">
        <f t="shared" ca="1" si="2"/>
        <v>1332</v>
      </c>
      <c r="AH26" s="45">
        <f t="shared" ca="1" si="3"/>
        <v>847</v>
      </c>
      <c r="AI26" s="45">
        <f t="shared" ca="1" si="4"/>
        <v>236</v>
      </c>
      <c r="AJ26" s="45">
        <f t="shared" ca="1" si="5"/>
        <v>38</v>
      </c>
      <c r="AK26" s="45">
        <f t="shared" ca="1" si="6"/>
        <v>211</v>
      </c>
      <c r="AL26" s="45">
        <f t="shared" ca="1" si="7"/>
        <v>568</v>
      </c>
      <c r="AM26" s="45">
        <f t="shared" ca="1" si="8"/>
        <v>34</v>
      </c>
      <c r="AN26" s="45">
        <f t="shared" ca="1" si="9"/>
        <v>4335</v>
      </c>
      <c r="AO26">
        <v>4325</v>
      </c>
      <c r="AP26">
        <v>1442</v>
      </c>
      <c r="AQ26">
        <v>167</v>
      </c>
      <c r="AR26">
        <v>634</v>
      </c>
      <c r="AS26">
        <v>998</v>
      </c>
      <c r="AT26">
        <v>99</v>
      </c>
      <c r="AU26">
        <v>176</v>
      </c>
      <c r="AV26">
        <v>0.98399999999999999</v>
      </c>
      <c r="AW26" s="1">
        <v>2003</v>
      </c>
      <c r="AX26" s="47" t="s">
        <v>148</v>
      </c>
      <c r="AY26" s="47">
        <f t="shared" si="10"/>
        <v>29700</v>
      </c>
      <c r="AZ26" s="49">
        <f t="shared" si="11"/>
        <v>167290</v>
      </c>
      <c r="BA26" s="49">
        <f t="shared" ref="BA26" si="27">SUMIF($B$2:$B$571,$B26,$O$2:$O$571)</f>
        <v>29700</v>
      </c>
      <c r="BB26" s="48">
        <f t="shared" si="12"/>
        <v>0.17753601530276764</v>
      </c>
      <c r="BC26">
        <v>25</v>
      </c>
      <c r="BD26" t="s">
        <v>82</v>
      </c>
    </row>
    <row r="27" spans="2:57" x14ac:dyDescent="0.2">
      <c r="B27" s="3">
        <v>2000</v>
      </c>
      <c r="C27" t="s">
        <v>88</v>
      </c>
      <c r="D27" t="s">
        <v>89</v>
      </c>
      <c r="E27">
        <v>1</v>
      </c>
      <c r="F27" t="s">
        <v>43</v>
      </c>
      <c r="G27" t="s">
        <v>38</v>
      </c>
      <c r="H27" t="s">
        <v>38</v>
      </c>
      <c r="I27" t="s">
        <v>38</v>
      </c>
      <c r="J27">
        <v>97</v>
      </c>
      <c r="K27">
        <v>65</v>
      </c>
      <c r="L27">
        <v>925</v>
      </c>
      <c r="M27" s="38">
        <v>5519</v>
      </c>
      <c r="N27" s="38">
        <v>1535</v>
      </c>
      <c r="O27" s="38">
        <f t="shared" si="0"/>
        <v>961</v>
      </c>
      <c r="P27" s="38">
        <v>304</v>
      </c>
      <c r="Q27" s="38">
        <v>44</v>
      </c>
      <c r="R27" s="38">
        <v>226</v>
      </c>
      <c r="S27" s="38">
        <v>709</v>
      </c>
      <c r="T27" s="38">
        <v>51</v>
      </c>
      <c r="U27" s="38">
        <f t="shared" si="1"/>
        <v>3224</v>
      </c>
      <c r="V27">
        <v>1032</v>
      </c>
      <c r="W27">
        <v>79</v>
      </c>
      <c r="X27">
        <v>39</v>
      </c>
      <c r="Y27">
        <v>66</v>
      </c>
      <c r="Z27">
        <v>747</v>
      </c>
      <c r="AA27">
        <v>675</v>
      </c>
      <c r="AB27">
        <v>4.21</v>
      </c>
      <c r="AC27">
        <v>9</v>
      </c>
      <c r="AD27">
        <v>15</v>
      </c>
      <c r="AE27">
        <v>47</v>
      </c>
      <c r="AF27" s="45">
        <v>6270</v>
      </c>
      <c r="AG27" s="45">
        <f t="shared" ca="1" si="2"/>
        <v>1302</v>
      </c>
      <c r="AH27" s="45">
        <f t="shared" ca="1" si="3"/>
        <v>795</v>
      </c>
      <c r="AI27" s="45">
        <f t="shared" ca="1" si="4"/>
        <v>250</v>
      </c>
      <c r="AJ27" s="45">
        <f t="shared" ca="1" si="5"/>
        <v>21</v>
      </c>
      <c r="AK27" s="45">
        <f t="shared" ca="1" si="6"/>
        <v>236</v>
      </c>
      <c r="AL27" s="45">
        <f t="shared" ca="1" si="7"/>
        <v>559</v>
      </c>
      <c r="AM27" s="45">
        <f t="shared" ca="1" si="8"/>
        <v>62</v>
      </c>
      <c r="AN27" s="45">
        <f t="shared" ca="1" si="9"/>
        <v>4347</v>
      </c>
      <c r="AO27">
        <v>4333</v>
      </c>
      <c r="AP27">
        <v>1452</v>
      </c>
      <c r="AQ27">
        <v>151</v>
      </c>
      <c r="AR27">
        <v>623</v>
      </c>
      <c r="AS27">
        <v>1076</v>
      </c>
      <c r="AT27">
        <v>93</v>
      </c>
      <c r="AU27">
        <v>173</v>
      </c>
      <c r="AV27">
        <v>0.98499999999999999</v>
      </c>
      <c r="AW27" s="1"/>
      <c r="AX27" s="47" t="s">
        <v>149</v>
      </c>
      <c r="AY27" s="47">
        <f t="shared" si="10"/>
        <v>29700</v>
      </c>
      <c r="AZ27" s="49">
        <f t="shared" si="11"/>
        <v>167290</v>
      </c>
      <c r="BA27" s="49">
        <f t="shared" ref="BA27" si="28">SUMIF($B$2:$B$571,$B27,$P$2:$P$571)</f>
        <v>8901</v>
      </c>
      <c r="BB27" s="48">
        <f t="shared" si="12"/>
        <v>5.3207005798314305E-2</v>
      </c>
      <c r="BC27">
        <v>26</v>
      </c>
      <c r="BD27" t="s">
        <v>84</v>
      </c>
    </row>
    <row r="28" spans="2:57" x14ac:dyDescent="0.2">
      <c r="B28" s="3">
        <v>2000</v>
      </c>
      <c r="C28" t="s">
        <v>90</v>
      </c>
      <c r="D28" t="s">
        <v>91</v>
      </c>
      <c r="E28">
        <v>1</v>
      </c>
      <c r="F28" t="s">
        <v>43</v>
      </c>
      <c r="G28" t="s">
        <v>38</v>
      </c>
      <c r="H28" t="s">
        <v>38</v>
      </c>
      <c r="I28" t="s">
        <v>38</v>
      </c>
      <c r="J28">
        <v>95</v>
      </c>
      <c r="K28">
        <v>67</v>
      </c>
      <c r="L28">
        <v>887</v>
      </c>
      <c r="M28" s="38">
        <v>5478</v>
      </c>
      <c r="N28" s="38">
        <v>1481</v>
      </c>
      <c r="O28" s="38">
        <f t="shared" si="0"/>
        <v>962</v>
      </c>
      <c r="P28" s="38">
        <v>259</v>
      </c>
      <c r="Q28" s="38">
        <v>25</v>
      </c>
      <c r="R28" s="38">
        <v>235</v>
      </c>
      <c r="S28" s="38">
        <v>675</v>
      </c>
      <c r="T28" s="38">
        <v>84</v>
      </c>
      <c r="U28" s="38">
        <f t="shared" si="1"/>
        <v>3238</v>
      </c>
      <c r="V28">
        <v>1253</v>
      </c>
      <c r="W28">
        <v>87</v>
      </c>
      <c r="X28">
        <v>51</v>
      </c>
      <c r="Y28">
        <v>53</v>
      </c>
      <c r="Z28">
        <v>771</v>
      </c>
      <c r="AA28">
        <v>698</v>
      </c>
      <c r="AB28">
        <v>4.38</v>
      </c>
      <c r="AC28">
        <v>10</v>
      </c>
      <c r="AD28">
        <v>7</v>
      </c>
      <c r="AE28">
        <v>37</v>
      </c>
      <c r="AF28" s="45">
        <v>6200</v>
      </c>
      <c r="AG28" s="45">
        <f t="shared" ca="1" si="2"/>
        <v>1310</v>
      </c>
      <c r="AH28" s="45">
        <f t="shared" ca="1" si="3"/>
        <v>681</v>
      </c>
      <c r="AI28" s="45">
        <f t="shared" ca="1" si="4"/>
        <v>366</v>
      </c>
      <c r="AJ28" s="45">
        <f t="shared" ca="1" si="5"/>
        <v>37</v>
      </c>
      <c r="AK28" s="45">
        <f t="shared" ca="1" si="6"/>
        <v>226</v>
      </c>
      <c r="AL28" s="45">
        <f t="shared" ca="1" si="7"/>
        <v>591</v>
      </c>
      <c r="AM28" s="45">
        <f t="shared" ca="1" si="8"/>
        <v>36</v>
      </c>
      <c r="AN28" s="45">
        <f t="shared" ca="1" si="9"/>
        <v>4263</v>
      </c>
      <c r="AO28">
        <v>4301</v>
      </c>
      <c r="AP28">
        <v>1403</v>
      </c>
      <c r="AQ28">
        <v>196</v>
      </c>
      <c r="AR28">
        <v>606</v>
      </c>
      <c r="AS28">
        <v>1100</v>
      </c>
      <c r="AT28">
        <v>111</v>
      </c>
      <c r="AU28">
        <v>148</v>
      </c>
      <c r="AV28">
        <v>0.98099999999999998</v>
      </c>
      <c r="AW28" s="1"/>
      <c r="AX28" s="47" t="s">
        <v>150</v>
      </c>
      <c r="AY28" s="47">
        <f t="shared" si="10"/>
        <v>29700</v>
      </c>
      <c r="AZ28" s="49">
        <f t="shared" si="11"/>
        <v>167290</v>
      </c>
      <c r="BA28" s="49">
        <f t="shared" ref="BA28" si="29">SUMIF($B$2:$B$571,$B28,$Q$2:$Q$571)</f>
        <v>952</v>
      </c>
      <c r="BB28" s="48">
        <f t="shared" si="12"/>
        <v>5.6907167194691849E-3</v>
      </c>
      <c r="BC28">
        <v>27</v>
      </c>
      <c r="BD28" t="s">
        <v>86</v>
      </c>
    </row>
    <row r="29" spans="2:57" x14ac:dyDescent="0.2">
      <c r="B29" s="3">
        <v>2000</v>
      </c>
      <c r="C29" t="s">
        <v>92</v>
      </c>
      <c r="D29" t="s">
        <v>93</v>
      </c>
      <c r="E29">
        <v>5</v>
      </c>
      <c r="F29" t="s">
        <v>38</v>
      </c>
      <c r="G29" t="s">
        <v>38</v>
      </c>
      <c r="H29" t="s">
        <v>38</v>
      </c>
      <c r="I29" t="s">
        <v>38</v>
      </c>
      <c r="J29">
        <v>69</v>
      </c>
      <c r="K29">
        <v>92</v>
      </c>
      <c r="L29">
        <v>733</v>
      </c>
      <c r="M29" s="38">
        <v>5505</v>
      </c>
      <c r="N29" s="38">
        <v>1414</v>
      </c>
      <c r="O29" s="38">
        <f t="shared" si="0"/>
        <v>977</v>
      </c>
      <c r="P29" s="38">
        <v>253</v>
      </c>
      <c r="Q29" s="38">
        <v>22</v>
      </c>
      <c r="R29" s="38">
        <v>162</v>
      </c>
      <c r="S29" s="38">
        <v>558</v>
      </c>
      <c r="T29" s="38">
        <v>51</v>
      </c>
      <c r="U29" s="38">
        <f t="shared" si="1"/>
        <v>3482</v>
      </c>
      <c r="V29">
        <v>1022</v>
      </c>
      <c r="W29">
        <v>90</v>
      </c>
      <c r="X29">
        <v>46</v>
      </c>
      <c r="Y29">
        <v>40</v>
      </c>
      <c r="Z29">
        <v>842</v>
      </c>
      <c r="AA29">
        <v>773</v>
      </c>
      <c r="AB29">
        <v>4.8600000000000003</v>
      </c>
      <c r="AC29">
        <v>10</v>
      </c>
      <c r="AD29">
        <v>8</v>
      </c>
      <c r="AE29">
        <v>38</v>
      </c>
      <c r="AF29" s="45">
        <v>6283</v>
      </c>
      <c r="AG29" s="45">
        <f t="shared" ca="1" si="2"/>
        <v>1598</v>
      </c>
      <c r="AH29" s="45">
        <f t="shared" ca="1" si="3"/>
        <v>1146</v>
      </c>
      <c r="AI29" s="45">
        <f t="shared" ca="1" si="4"/>
        <v>242</v>
      </c>
      <c r="AJ29" s="45">
        <f t="shared" ca="1" si="5"/>
        <v>38</v>
      </c>
      <c r="AK29" s="45">
        <f t="shared" ca="1" si="6"/>
        <v>172</v>
      </c>
      <c r="AL29" s="45">
        <f t="shared" ca="1" si="7"/>
        <v>664</v>
      </c>
      <c r="AM29" s="45">
        <f t="shared" ca="1" si="8"/>
        <v>36</v>
      </c>
      <c r="AN29" s="45">
        <f t="shared" ca="1" si="9"/>
        <v>3985</v>
      </c>
      <c r="AO29">
        <v>4294</v>
      </c>
      <c r="AP29">
        <v>1553</v>
      </c>
      <c r="AQ29">
        <v>198</v>
      </c>
      <c r="AR29">
        <v>533</v>
      </c>
      <c r="AS29">
        <v>955</v>
      </c>
      <c r="AT29">
        <v>118</v>
      </c>
      <c r="AU29">
        <v>169</v>
      </c>
      <c r="AV29">
        <v>0.98099999999999998</v>
      </c>
      <c r="AW29" s="1"/>
      <c r="AX29" s="47" t="s">
        <v>151</v>
      </c>
      <c r="AY29" s="47">
        <f t="shared" si="10"/>
        <v>29700</v>
      </c>
      <c r="AZ29" s="49">
        <f t="shared" si="11"/>
        <v>167290</v>
      </c>
      <c r="BA29" s="49">
        <f t="shared" ref="BA29" si="30">SUMIF($B$2:$B$571,$B29,$R$2:$R$571)</f>
        <v>5693</v>
      </c>
      <c r="BB29" s="48">
        <f t="shared" si="12"/>
        <v>3.4030725088170247E-2</v>
      </c>
      <c r="BC29">
        <v>28</v>
      </c>
      <c r="BD29" t="s">
        <v>88</v>
      </c>
    </row>
    <row r="30" spans="2:57" x14ac:dyDescent="0.2">
      <c r="B30" s="3">
        <v>2000</v>
      </c>
      <c r="C30" t="s">
        <v>94</v>
      </c>
      <c r="D30" t="s">
        <v>95</v>
      </c>
      <c r="E30">
        <v>4</v>
      </c>
      <c r="F30" t="s">
        <v>38</v>
      </c>
      <c r="G30" t="s">
        <v>38</v>
      </c>
      <c r="H30" t="s">
        <v>38</v>
      </c>
      <c r="I30" t="s">
        <v>38</v>
      </c>
      <c r="J30">
        <v>71</v>
      </c>
      <c r="K30">
        <v>91</v>
      </c>
      <c r="L30">
        <v>848</v>
      </c>
      <c r="M30" s="38">
        <v>5648</v>
      </c>
      <c r="N30" s="38">
        <v>1601</v>
      </c>
      <c r="O30" s="38">
        <f t="shared" si="0"/>
        <v>1063</v>
      </c>
      <c r="P30" s="38">
        <v>330</v>
      </c>
      <c r="Q30" s="38">
        <v>35</v>
      </c>
      <c r="R30" s="38">
        <v>173</v>
      </c>
      <c r="S30" s="38">
        <v>580</v>
      </c>
      <c r="T30" s="38">
        <v>39</v>
      </c>
      <c r="U30" s="38">
        <f t="shared" si="1"/>
        <v>3428</v>
      </c>
      <c r="V30">
        <v>922</v>
      </c>
      <c r="W30">
        <v>69</v>
      </c>
      <c r="X30">
        <v>47</v>
      </c>
      <c r="Y30">
        <v>48</v>
      </c>
      <c r="Z30">
        <v>974</v>
      </c>
      <c r="AA30">
        <v>876</v>
      </c>
      <c r="AB30">
        <v>5.52</v>
      </c>
      <c r="AC30">
        <v>3</v>
      </c>
      <c r="AD30">
        <v>4</v>
      </c>
      <c r="AE30">
        <v>39</v>
      </c>
      <c r="AF30" s="45">
        <v>6559</v>
      </c>
      <c r="AG30" s="45">
        <f t="shared" ca="1" si="2"/>
        <v>1339</v>
      </c>
      <c r="AH30" s="45">
        <f t="shared" ca="1" si="3"/>
        <v>718</v>
      </c>
      <c r="AI30" s="45">
        <f t="shared" ca="1" si="4"/>
        <v>357</v>
      </c>
      <c r="AJ30" s="45">
        <f t="shared" ca="1" si="5"/>
        <v>50</v>
      </c>
      <c r="AK30" s="45">
        <f t="shared" ca="1" si="6"/>
        <v>214</v>
      </c>
      <c r="AL30" s="45">
        <f t="shared" ca="1" si="7"/>
        <v>604</v>
      </c>
      <c r="AM30" s="45">
        <f t="shared" ca="1" si="8"/>
        <v>42</v>
      </c>
      <c r="AN30" s="45">
        <f t="shared" ca="1" si="9"/>
        <v>4574</v>
      </c>
      <c r="AO30">
        <v>4287</v>
      </c>
      <c r="AP30">
        <v>1683</v>
      </c>
      <c r="AQ30">
        <v>202</v>
      </c>
      <c r="AR30">
        <v>661</v>
      </c>
      <c r="AS30">
        <v>918</v>
      </c>
      <c r="AT30">
        <v>135</v>
      </c>
      <c r="AU30">
        <v>162</v>
      </c>
      <c r="AV30">
        <v>0.97799999999999998</v>
      </c>
      <c r="AW30" s="1"/>
      <c r="AX30" s="47" t="s">
        <v>152</v>
      </c>
      <c r="AY30" s="47">
        <f t="shared" si="10"/>
        <v>29700</v>
      </c>
      <c r="AZ30" s="49">
        <f t="shared" si="11"/>
        <v>167290</v>
      </c>
      <c r="BA30" s="49">
        <f t="shared" ref="BA30" si="31">SUMIF($B$2:$B$571,$B30,$S$2:$S$571)</f>
        <v>18237</v>
      </c>
      <c r="BB30" s="48">
        <f t="shared" si="12"/>
        <v>0.10901428656823481</v>
      </c>
      <c r="BC30">
        <v>29</v>
      </c>
      <c r="BD30" t="s">
        <v>90</v>
      </c>
    </row>
    <row r="31" spans="2:57" x14ac:dyDescent="0.2">
      <c r="B31" s="3">
        <v>2000</v>
      </c>
      <c r="C31" t="s">
        <v>96</v>
      </c>
      <c r="D31" t="s">
        <v>97</v>
      </c>
      <c r="E31">
        <v>3</v>
      </c>
      <c r="F31" t="s">
        <v>38</v>
      </c>
      <c r="G31" t="s">
        <v>38</v>
      </c>
      <c r="H31" t="s">
        <v>38</v>
      </c>
      <c r="I31" t="s">
        <v>38</v>
      </c>
      <c r="J31">
        <v>83</v>
      </c>
      <c r="K31">
        <v>79</v>
      </c>
      <c r="L31">
        <v>861</v>
      </c>
      <c r="M31" s="38">
        <v>5677</v>
      </c>
      <c r="N31" s="38">
        <v>1562</v>
      </c>
      <c r="O31" s="38">
        <f t="shared" si="0"/>
        <v>969</v>
      </c>
      <c r="P31" s="38">
        <v>328</v>
      </c>
      <c r="Q31" s="38">
        <v>21</v>
      </c>
      <c r="R31" s="38">
        <v>244</v>
      </c>
      <c r="S31" s="38">
        <v>526</v>
      </c>
      <c r="T31" s="38">
        <v>60</v>
      </c>
      <c r="U31" s="38">
        <f t="shared" si="1"/>
        <v>3529</v>
      </c>
      <c r="V31">
        <v>1026</v>
      </c>
      <c r="W31">
        <v>89</v>
      </c>
      <c r="X31">
        <v>34</v>
      </c>
      <c r="Y31">
        <v>34</v>
      </c>
      <c r="Z31">
        <v>908</v>
      </c>
      <c r="AA31">
        <v>821</v>
      </c>
      <c r="AB31">
        <v>5.14</v>
      </c>
      <c r="AC31">
        <v>15</v>
      </c>
      <c r="AD31">
        <v>4</v>
      </c>
      <c r="AE31">
        <v>37</v>
      </c>
      <c r="AF31" s="45">
        <v>6377</v>
      </c>
      <c r="AG31" s="45">
        <f t="shared" ca="1" si="2"/>
        <v>1538</v>
      </c>
      <c r="AH31" s="45">
        <f t="shared" ca="1" si="3"/>
        <v>927</v>
      </c>
      <c r="AI31" s="45">
        <f t="shared" ca="1" si="4"/>
        <v>360</v>
      </c>
      <c r="AJ31" s="45">
        <f t="shared" ca="1" si="5"/>
        <v>25</v>
      </c>
      <c r="AK31" s="45">
        <f t="shared" ca="1" si="6"/>
        <v>226</v>
      </c>
      <c r="AL31" s="45">
        <f t="shared" ca="1" si="7"/>
        <v>558</v>
      </c>
      <c r="AM31" s="45">
        <f t="shared" ca="1" si="8"/>
        <v>85</v>
      </c>
      <c r="AN31" s="45">
        <f t="shared" ca="1" si="9"/>
        <v>4196</v>
      </c>
      <c r="AO31">
        <v>4312</v>
      </c>
      <c r="AP31">
        <v>1615</v>
      </c>
      <c r="AQ31">
        <v>195</v>
      </c>
      <c r="AR31">
        <v>560</v>
      </c>
      <c r="AS31">
        <v>978</v>
      </c>
      <c r="AT31">
        <v>100</v>
      </c>
      <c r="AU31">
        <v>176</v>
      </c>
      <c r="AV31">
        <v>0.98399999999999999</v>
      </c>
      <c r="AW31" s="1"/>
      <c r="AX31" s="47" t="s">
        <v>153</v>
      </c>
      <c r="AY31" s="47">
        <f t="shared" si="10"/>
        <v>29700</v>
      </c>
      <c r="AZ31" s="49">
        <f t="shared" si="11"/>
        <v>167290</v>
      </c>
      <c r="BA31" s="49">
        <f t="shared" ref="BA31" si="32">SUMIF($B$2:$B$571,$B31,$T$2:$T$571)</f>
        <v>1573</v>
      </c>
      <c r="BB31" s="48">
        <f t="shared" si="12"/>
        <v>9.4028334030725087E-3</v>
      </c>
      <c r="BC31">
        <v>30</v>
      </c>
      <c r="BD31" t="s">
        <v>92</v>
      </c>
    </row>
    <row r="32" spans="2:57" x14ac:dyDescent="0.2">
      <c r="B32" s="3">
        <v>2001</v>
      </c>
      <c r="C32" t="s">
        <v>36</v>
      </c>
      <c r="D32" t="s">
        <v>37</v>
      </c>
      <c r="E32">
        <v>3</v>
      </c>
      <c r="F32" t="s">
        <v>38</v>
      </c>
      <c r="G32" t="s">
        <v>38</v>
      </c>
      <c r="H32" t="s">
        <v>38</v>
      </c>
      <c r="I32" t="s">
        <v>38</v>
      </c>
      <c r="J32">
        <v>75</v>
      </c>
      <c r="K32">
        <v>87</v>
      </c>
      <c r="L32">
        <v>691</v>
      </c>
      <c r="M32" s="38">
        <v>5551</v>
      </c>
      <c r="N32" s="38">
        <v>1447</v>
      </c>
      <c r="O32" s="38">
        <f t="shared" si="0"/>
        <v>988</v>
      </c>
      <c r="P32" s="38">
        <v>275</v>
      </c>
      <c r="Q32" s="38">
        <v>26</v>
      </c>
      <c r="R32" s="38">
        <v>158</v>
      </c>
      <c r="S32" s="38">
        <v>494</v>
      </c>
      <c r="T32" s="38">
        <v>77</v>
      </c>
      <c r="U32" s="38">
        <f t="shared" si="1"/>
        <v>3533</v>
      </c>
      <c r="V32">
        <v>1001</v>
      </c>
      <c r="W32">
        <v>116</v>
      </c>
      <c r="X32">
        <v>52</v>
      </c>
      <c r="Y32">
        <v>53</v>
      </c>
      <c r="Z32">
        <v>730</v>
      </c>
      <c r="AA32">
        <v>671</v>
      </c>
      <c r="AB32">
        <v>4.2</v>
      </c>
      <c r="AC32">
        <v>6</v>
      </c>
      <c r="AD32">
        <v>1</v>
      </c>
      <c r="AE32">
        <v>43</v>
      </c>
      <c r="AF32" s="45">
        <v>6195</v>
      </c>
      <c r="AG32" s="45">
        <f t="shared" ca="1" si="2"/>
        <v>1587</v>
      </c>
      <c r="AH32" s="45">
        <f t="shared" ca="1" si="3"/>
        <v>1079</v>
      </c>
      <c r="AI32" s="45">
        <f t="shared" ca="1" si="4"/>
        <v>246</v>
      </c>
      <c r="AJ32" s="45">
        <f t="shared" ca="1" si="5"/>
        <v>31</v>
      </c>
      <c r="AK32" s="45">
        <f t="shared" ca="1" si="6"/>
        <v>231</v>
      </c>
      <c r="AL32" s="45">
        <f t="shared" ca="1" si="7"/>
        <v>618</v>
      </c>
      <c r="AM32" s="45">
        <f t="shared" ca="1" si="8"/>
        <v>68</v>
      </c>
      <c r="AN32" s="45">
        <f t="shared" ca="1" si="9"/>
        <v>3922</v>
      </c>
      <c r="AO32">
        <v>4313</v>
      </c>
      <c r="AP32">
        <v>1452</v>
      </c>
      <c r="AQ32">
        <v>168</v>
      </c>
      <c r="AR32">
        <v>525</v>
      </c>
      <c r="AS32">
        <v>947</v>
      </c>
      <c r="AT32">
        <v>103</v>
      </c>
      <c r="AU32">
        <v>142</v>
      </c>
      <c r="AV32">
        <v>0.98299999999999998</v>
      </c>
      <c r="AW32" s="1"/>
      <c r="AX32" s="47" t="s">
        <v>154</v>
      </c>
      <c r="AY32" s="47">
        <f t="shared" si="10"/>
        <v>29700</v>
      </c>
      <c r="AZ32" s="49">
        <f t="shared" si="11"/>
        <v>166234</v>
      </c>
      <c r="BA32" s="49">
        <f t="shared" ref="BA32" si="33">SUMIF($B$2:$B$571,$B32,$U$2:$U$571)</f>
        <v>104659</v>
      </c>
      <c r="BB32" s="48">
        <f t="shared" si="12"/>
        <v>0.6295884115162963</v>
      </c>
      <c r="BC32">
        <v>31</v>
      </c>
      <c r="BD32" t="s">
        <v>94</v>
      </c>
    </row>
    <row r="33" spans="2:56" x14ac:dyDescent="0.2">
      <c r="B33" s="3">
        <v>2001</v>
      </c>
      <c r="C33" t="s">
        <v>39</v>
      </c>
      <c r="D33" t="s">
        <v>40</v>
      </c>
      <c r="E33">
        <v>1</v>
      </c>
      <c r="F33" t="s">
        <v>43</v>
      </c>
      <c r="G33" t="s">
        <v>38</v>
      </c>
      <c r="H33" t="s">
        <v>43</v>
      </c>
      <c r="I33" t="s">
        <v>43</v>
      </c>
      <c r="J33">
        <v>92</v>
      </c>
      <c r="K33">
        <v>70</v>
      </c>
      <c r="L33">
        <v>818</v>
      </c>
      <c r="M33" s="38">
        <v>5595</v>
      </c>
      <c r="N33" s="38">
        <v>1494</v>
      </c>
      <c r="O33" s="38">
        <f t="shared" si="0"/>
        <v>967</v>
      </c>
      <c r="P33" s="38">
        <v>284</v>
      </c>
      <c r="Q33" s="38">
        <v>35</v>
      </c>
      <c r="R33" s="38">
        <v>208</v>
      </c>
      <c r="S33" s="38">
        <v>587</v>
      </c>
      <c r="T33" s="38">
        <v>57</v>
      </c>
      <c r="U33" s="38">
        <f t="shared" si="1"/>
        <v>3457</v>
      </c>
      <c r="V33">
        <v>1052</v>
      </c>
      <c r="W33">
        <v>71</v>
      </c>
      <c r="X33">
        <v>38</v>
      </c>
      <c r="Y33">
        <v>36</v>
      </c>
      <c r="Z33">
        <v>677</v>
      </c>
      <c r="AA33">
        <v>627</v>
      </c>
      <c r="AB33">
        <v>3.87</v>
      </c>
      <c r="AC33">
        <v>12</v>
      </c>
      <c r="AD33">
        <v>13</v>
      </c>
      <c r="AE33">
        <v>34</v>
      </c>
      <c r="AF33" s="45">
        <v>6090</v>
      </c>
      <c r="AG33" s="45">
        <f t="shared" ca="1" si="2"/>
        <v>1610</v>
      </c>
      <c r="AH33" s="45">
        <f t="shared" ca="1" si="3"/>
        <v>962</v>
      </c>
      <c r="AI33" s="45">
        <f t="shared" ca="1" si="4"/>
        <v>377</v>
      </c>
      <c r="AJ33" s="45">
        <f t="shared" ca="1" si="5"/>
        <v>49</v>
      </c>
      <c r="AK33" s="45">
        <f t="shared" ca="1" si="6"/>
        <v>222</v>
      </c>
      <c r="AL33" s="45">
        <f t="shared" ca="1" si="7"/>
        <v>637</v>
      </c>
      <c r="AM33" s="45">
        <f t="shared" ca="1" si="8"/>
        <v>62</v>
      </c>
      <c r="AN33" s="45">
        <f t="shared" ca="1" si="9"/>
        <v>3781</v>
      </c>
      <c r="AO33">
        <v>4379</v>
      </c>
      <c r="AP33">
        <v>1352</v>
      </c>
      <c r="AQ33">
        <v>195</v>
      </c>
      <c r="AR33">
        <v>461</v>
      </c>
      <c r="AS33">
        <v>1297</v>
      </c>
      <c r="AT33">
        <v>84</v>
      </c>
      <c r="AU33">
        <v>148</v>
      </c>
      <c r="AV33">
        <v>0.98599999999999999</v>
      </c>
      <c r="AW33" s="1"/>
      <c r="AX33" s="47"/>
      <c r="AY33" s="47"/>
      <c r="AZ33" s="49"/>
      <c r="BA33" s="49"/>
      <c r="BB33" s="48"/>
      <c r="BC33">
        <v>32</v>
      </c>
      <c r="BD33" t="s">
        <v>96</v>
      </c>
    </row>
    <row r="34" spans="2:56" x14ac:dyDescent="0.2">
      <c r="B34" s="3">
        <v>2001</v>
      </c>
      <c r="C34" t="s">
        <v>41</v>
      </c>
      <c r="D34" t="s">
        <v>42</v>
      </c>
      <c r="E34">
        <v>1</v>
      </c>
      <c r="F34" t="s">
        <v>43</v>
      </c>
      <c r="G34" t="s">
        <v>38</v>
      </c>
      <c r="H34" t="s">
        <v>38</v>
      </c>
      <c r="I34" t="s">
        <v>38</v>
      </c>
      <c r="J34">
        <v>88</v>
      </c>
      <c r="K34">
        <v>74</v>
      </c>
      <c r="L34">
        <v>729</v>
      </c>
      <c r="M34" s="38">
        <v>5498</v>
      </c>
      <c r="N34" s="38">
        <v>1432</v>
      </c>
      <c r="O34" s="38">
        <f t="shared" si="0"/>
        <v>971</v>
      </c>
      <c r="P34" s="38">
        <v>263</v>
      </c>
      <c r="Q34" s="38">
        <v>24</v>
      </c>
      <c r="R34" s="38">
        <v>174</v>
      </c>
      <c r="S34" s="38">
        <v>493</v>
      </c>
      <c r="T34" s="38">
        <v>45</v>
      </c>
      <c r="U34" s="38">
        <f t="shared" si="1"/>
        <v>3528</v>
      </c>
      <c r="V34">
        <v>1039</v>
      </c>
      <c r="W34">
        <v>85</v>
      </c>
      <c r="X34">
        <v>46</v>
      </c>
      <c r="Y34">
        <v>52</v>
      </c>
      <c r="Z34">
        <v>643</v>
      </c>
      <c r="AA34">
        <v>578</v>
      </c>
      <c r="AB34">
        <v>3.59</v>
      </c>
      <c r="AC34">
        <v>5</v>
      </c>
      <c r="AD34">
        <v>13</v>
      </c>
      <c r="AE34">
        <v>41</v>
      </c>
      <c r="AF34" s="45">
        <v>6089</v>
      </c>
      <c r="AG34" s="45">
        <f t="shared" ca="1" si="2"/>
        <v>1429</v>
      </c>
      <c r="AH34" s="45">
        <f t="shared" ca="1" si="3"/>
        <v>803</v>
      </c>
      <c r="AI34" s="45">
        <f t="shared" ca="1" si="4"/>
        <v>393</v>
      </c>
      <c r="AJ34" s="45">
        <f t="shared" ca="1" si="5"/>
        <v>45</v>
      </c>
      <c r="AK34" s="45">
        <f t="shared" ca="1" si="6"/>
        <v>188</v>
      </c>
      <c r="AL34" s="45">
        <f t="shared" ca="1" si="7"/>
        <v>515</v>
      </c>
      <c r="AM34" s="45">
        <f t="shared" ca="1" si="8"/>
        <v>86</v>
      </c>
      <c r="AN34" s="45">
        <f t="shared" ca="1" si="9"/>
        <v>4059</v>
      </c>
      <c r="AO34">
        <v>4342</v>
      </c>
      <c r="AP34">
        <v>1363</v>
      </c>
      <c r="AQ34">
        <v>153</v>
      </c>
      <c r="AR34">
        <v>499</v>
      </c>
      <c r="AS34">
        <v>1133</v>
      </c>
      <c r="AT34">
        <v>103</v>
      </c>
      <c r="AU34">
        <v>133</v>
      </c>
      <c r="AV34">
        <v>0.98299999999999998</v>
      </c>
      <c r="AW34" s="1">
        <v>2004</v>
      </c>
      <c r="AX34" s="47" t="s">
        <v>148</v>
      </c>
      <c r="AY34" s="47">
        <f t="shared" si="10"/>
        <v>29700</v>
      </c>
      <c r="AZ34" s="49">
        <f t="shared" si="11"/>
        <v>166234</v>
      </c>
      <c r="BA34" s="49">
        <f t="shared" ref="BA34" si="34">SUMIF($B$2:$B$571,$B34,$O$2:$O$571)</f>
        <v>28680</v>
      </c>
      <c r="BB34" s="48">
        <f t="shared" si="12"/>
        <v>0.17252788238266539</v>
      </c>
      <c r="BC34">
        <v>33</v>
      </c>
      <c r="BD34" t="s">
        <v>100</v>
      </c>
    </row>
    <row r="35" spans="2:56" x14ac:dyDescent="0.2">
      <c r="B35" s="3">
        <v>2001</v>
      </c>
      <c r="C35" t="s">
        <v>44</v>
      </c>
      <c r="D35" t="s">
        <v>45</v>
      </c>
      <c r="E35">
        <v>4</v>
      </c>
      <c r="F35" t="s">
        <v>38</v>
      </c>
      <c r="G35" t="s">
        <v>38</v>
      </c>
      <c r="H35" t="s">
        <v>38</v>
      </c>
      <c r="I35" t="s">
        <v>38</v>
      </c>
      <c r="J35">
        <v>63</v>
      </c>
      <c r="K35">
        <v>98</v>
      </c>
      <c r="L35">
        <v>687</v>
      </c>
      <c r="M35" s="38">
        <v>5472</v>
      </c>
      <c r="N35" s="38">
        <v>1359</v>
      </c>
      <c r="O35" s="38">
        <f t="shared" si="0"/>
        <v>937</v>
      </c>
      <c r="P35" s="38">
        <v>262</v>
      </c>
      <c r="Q35" s="38">
        <v>24</v>
      </c>
      <c r="R35" s="38">
        <v>136</v>
      </c>
      <c r="S35" s="38">
        <v>514</v>
      </c>
      <c r="T35" s="38">
        <v>77</v>
      </c>
      <c r="U35" s="38">
        <f t="shared" si="1"/>
        <v>3522</v>
      </c>
      <c r="V35">
        <v>989</v>
      </c>
      <c r="W35">
        <v>133</v>
      </c>
      <c r="X35">
        <v>53</v>
      </c>
      <c r="Y35">
        <v>49</v>
      </c>
      <c r="Z35">
        <v>829</v>
      </c>
      <c r="AA35">
        <v>744</v>
      </c>
      <c r="AB35">
        <v>4.67</v>
      </c>
      <c r="AC35">
        <v>10</v>
      </c>
      <c r="AD35">
        <v>6</v>
      </c>
      <c r="AE35">
        <v>31</v>
      </c>
      <c r="AF35" s="45">
        <v>6273</v>
      </c>
      <c r="AG35" s="45">
        <f t="shared" ca="1" si="2"/>
        <v>1367</v>
      </c>
      <c r="AH35" s="45">
        <f t="shared" ca="1" si="3"/>
        <v>793</v>
      </c>
      <c r="AI35" s="45">
        <f t="shared" ca="1" si="4"/>
        <v>297</v>
      </c>
      <c r="AJ35" s="45">
        <f t="shared" ca="1" si="5"/>
        <v>43</v>
      </c>
      <c r="AK35" s="45">
        <f t="shared" ca="1" si="6"/>
        <v>234</v>
      </c>
      <c r="AL35" s="45">
        <f t="shared" ca="1" si="7"/>
        <v>650</v>
      </c>
      <c r="AM35" s="45">
        <f t="shared" ca="1" si="8"/>
        <v>46</v>
      </c>
      <c r="AN35" s="45">
        <f t="shared" ca="1" si="9"/>
        <v>4210</v>
      </c>
      <c r="AO35">
        <v>4297</v>
      </c>
      <c r="AP35">
        <v>1504</v>
      </c>
      <c r="AQ35">
        <v>194</v>
      </c>
      <c r="AR35">
        <v>528</v>
      </c>
      <c r="AS35">
        <v>938</v>
      </c>
      <c r="AT35">
        <v>125</v>
      </c>
      <c r="AU35">
        <v>137</v>
      </c>
      <c r="AV35">
        <v>0.97899999999999998</v>
      </c>
      <c r="AW35" s="1"/>
      <c r="AX35" s="47" t="s">
        <v>149</v>
      </c>
      <c r="AY35" s="47">
        <f t="shared" si="10"/>
        <v>29700</v>
      </c>
      <c r="AZ35" s="49">
        <f t="shared" si="11"/>
        <v>166234</v>
      </c>
      <c r="BA35" s="49">
        <f t="shared" ref="BA35" si="35">SUMIF($B$2:$B$571,$B35,$P$2:$P$571)</f>
        <v>8813</v>
      </c>
      <c r="BB35" s="48">
        <f t="shared" si="12"/>
        <v>5.3015628571772319E-2</v>
      </c>
    </row>
    <row r="36" spans="2:56" x14ac:dyDescent="0.2">
      <c r="B36" s="3">
        <v>2001</v>
      </c>
      <c r="C36" t="s">
        <v>46</v>
      </c>
      <c r="D36" t="s">
        <v>47</v>
      </c>
      <c r="E36">
        <v>2</v>
      </c>
      <c r="F36" t="s">
        <v>38</v>
      </c>
      <c r="G36" t="s">
        <v>38</v>
      </c>
      <c r="H36" t="s">
        <v>38</v>
      </c>
      <c r="I36" t="s">
        <v>38</v>
      </c>
      <c r="J36">
        <v>82</v>
      </c>
      <c r="K36">
        <v>79</v>
      </c>
      <c r="L36">
        <v>772</v>
      </c>
      <c r="M36" s="38">
        <v>5605</v>
      </c>
      <c r="N36" s="38">
        <v>1493</v>
      </c>
      <c r="O36" s="38">
        <f t="shared" si="0"/>
        <v>950</v>
      </c>
      <c r="P36" s="38">
        <v>316</v>
      </c>
      <c r="Q36" s="38">
        <v>29</v>
      </c>
      <c r="R36" s="38">
        <v>198</v>
      </c>
      <c r="S36" s="38">
        <v>520</v>
      </c>
      <c r="T36" s="38">
        <v>70</v>
      </c>
      <c r="U36" s="38">
        <f t="shared" si="1"/>
        <v>3522</v>
      </c>
      <c r="V36">
        <v>1131</v>
      </c>
      <c r="W36">
        <v>46</v>
      </c>
      <c r="X36">
        <v>35</v>
      </c>
      <c r="Y36">
        <v>41</v>
      </c>
      <c r="Z36">
        <v>745</v>
      </c>
      <c r="AA36">
        <v>667</v>
      </c>
      <c r="AB36">
        <v>4.1500000000000004</v>
      </c>
      <c r="AC36">
        <v>3</v>
      </c>
      <c r="AD36">
        <v>9</v>
      </c>
      <c r="AE36">
        <v>48</v>
      </c>
      <c r="AF36" s="45">
        <v>6272</v>
      </c>
      <c r="AG36" s="45">
        <f t="shared" ca="1" si="2"/>
        <v>1526</v>
      </c>
      <c r="AH36" s="45">
        <f t="shared" ca="1" si="3"/>
        <v>978</v>
      </c>
      <c r="AI36" s="45">
        <f t="shared" ca="1" si="4"/>
        <v>361</v>
      </c>
      <c r="AJ36" s="45">
        <f t="shared" ca="1" si="5"/>
        <v>41</v>
      </c>
      <c r="AK36" s="45">
        <f t="shared" ca="1" si="6"/>
        <v>146</v>
      </c>
      <c r="AL36" s="45">
        <f t="shared" ca="1" si="7"/>
        <v>642</v>
      </c>
      <c r="AM36" s="45">
        <f t="shared" ca="1" si="8"/>
        <v>31</v>
      </c>
      <c r="AN36" s="45">
        <f t="shared" ca="1" si="9"/>
        <v>4073</v>
      </c>
      <c r="AO36">
        <v>4344</v>
      </c>
      <c r="AP36">
        <v>1412</v>
      </c>
      <c r="AQ36">
        <v>146</v>
      </c>
      <c r="AR36">
        <v>544</v>
      </c>
      <c r="AS36">
        <v>1259</v>
      </c>
      <c r="AT36">
        <v>113</v>
      </c>
      <c r="AU36">
        <v>129</v>
      </c>
      <c r="AV36">
        <v>0.98099999999999998</v>
      </c>
      <c r="AW36" s="1"/>
      <c r="AX36" s="47" t="s">
        <v>150</v>
      </c>
      <c r="AY36" s="47">
        <f t="shared" si="10"/>
        <v>29700</v>
      </c>
      <c r="AZ36" s="49">
        <f t="shared" si="11"/>
        <v>166234</v>
      </c>
      <c r="BA36" s="49">
        <f t="shared" ref="BA36" si="36">SUMIF($B$2:$B$571,$B36,$Q$2:$Q$571)</f>
        <v>928</v>
      </c>
      <c r="BB36" s="48">
        <f t="shared" si="12"/>
        <v>5.5824921496204147E-3</v>
      </c>
    </row>
    <row r="37" spans="2:56" x14ac:dyDescent="0.2">
      <c r="B37" s="3">
        <v>2001</v>
      </c>
      <c r="C37" t="s">
        <v>48</v>
      </c>
      <c r="D37" t="s">
        <v>49</v>
      </c>
      <c r="E37">
        <v>3</v>
      </c>
      <c r="F37" t="s">
        <v>38</v>
      </c>
      <c r="G37" t="s">
        <v>38</v>
      </c>
      <c r="H37" t="s">
        <v>38</v>
      </c>
      <c r="I37" t="s">
        <v>38</v>
      </c>
      <c r="J37">
        <v>83</v>
      </c>
      <c r="K37">
        <v>79</v>
      </c>
      <c r="L37">
        <v>798</v>
      </c>
      <c r="M37" s="38">
        <v>5464</v>
      </c>
      <c r="N37" s="38">
        <v>1463</v>
      </c>
      <c r="O37" s="38">
        <f t="shared" si="0"/>
        <v>920</v>
      </c>
      <c r="P37" s="38">
        <v>300</v>
      </c>
      <c r="Q37" s="38">
        <v>29</v>
      </c>
      <c r="R37" s="38">
        <v>214</v>
      </c>
      <c r="S37" s="38">
        <v>520</v>
      </c>
      <c r="T37" s="38">
        <v>52</v>
      </c>
      <c r="U37" s="38">
        <f t="shared" si="1"/>
        <v>3429</v>
      </c>
      <c r="V37">
        <v>998</v>
      </c>
      <c r="W37">
        <v>123</v>
      </c>
      <c r="X37">
        <v>59</v>
      </c>
      <c r="Y37">
        <v>51</v>
      </c>
      <c r="Z37">
        <v>795</v>
      </c>
      <c r="AA37">
        <v>725</v>
      </c>
      <c r="AB37">
        <v>4.55</v>
      </c>
      <c r="AC37">
        <v>8</v>
      </c>
      <c r="AD37">
        <v>9</v>
      </c>
      <c r="AE37">
        <v>51</v>
      </c>
      <c r="AF37" s="45">
        <v>6200</v>
      </c>
      <c r="AG37" s="45">
        <f t="shared" ca="1" si="2"/>
        <v>1462</v>
      </c>
      <c r="AH37" s="45">
        <f t="shared" ca="1" si="3"/>
        <v>963</v>
      </c>
      <c r="AI37" s="45">
        <f t="shared" ca="1" si="4"/>
        <v>310</v>
      </c>
      <c r="AJ37" s="45">
        <f t="shared" ca="1" si="5"/>
        <v>40</v>
      </c>
      <c r="AK37" s="45">
        <f t="shared" ca="1" si="6"/>
        <v>149</v>
      </c>
      <c r="AL37" s="45">
        <f t="shared" ca="1" si="7"/>
        <v>541</v>
      </c>
      <c r="AM37" s="45">
        <f t="shared" ca="1" si="8"/>
        <v>75</v>
      </c>
      <c r="AN37" s="45">
        <f t="shared" ca="1" si="9"/>
        <v>4122</v>
      </c>
      <c r="AO37">
        <v>4300</v>
      </c>
      <c r="AP37">
        <v>1465</v>
      </c>
      <c r="AQ37">
        <v>181</v>
      </c>
      <c r="AR37">
        <v>500</v>
      </c>
      <c r="AS37">
        <v>921</v>
      </c>
      <c r="AT37">
        <v>118</v>
      </c>
      <c r="AU37">
        <v>149</v>
      </c>
      <c r="AV37">
        <v>0.98099999999999998</v>
      </c>
      <c r="AW37" s="1"/>
      <c r="AX37" s="47" t="s">
        <v>151</v>
      </c>
      <c r="AY37" s="47">
        <f t="shared" si="10"/>
        <v>29700</v>
      </c>
      <c r="AZ37" s="49">
        <f t="shared" si="11"/>
        <v>166234</v>
      </c>
      <c r="BA37" s="49">
        <f t="shared" ref="BA37" si="37">SUMIF($B$2:$B$571,$B37,$R$2:$R$571)</f>
        <v>5458</v>
      </c>
      <c r="BB37" s="48">
        <f t="shared" si="12"/>
        <v>3.2833235078263169E-2</v>
      </c>
    </row>
    <row r="38" spans="2:56" x14ac:dyDescent="0.2">
      <c r="B38" s="3">
        <v>2001</v>
      </c>
      <c r="C38" t="s">
        <v>50</v>
      </c>
      <c r="D38" t="s">
        <v>51</v>
      </c>
      <c r="E38">
        <v>3</v>
      </c>
      <c r="F38" t="s">
        <v>38</v>
      </c>
      <c r="G38" t="s">
        <v>38</v>
      </c>
      <c r="H38" t="s">
        <v>38</v>
      </c>
      <c r="I38" t="s">
        <v>38</v>
      </c>
      <c r="J38">
        <v>88</v>
      </c>
      <c r="K38">
        <v>74</v>
      </c>
      <c r="L38">
        <v>777</v>
      </c>
      <c r="M38" s="38">
        <v>5406</v>
      </c>
      <c r="N38" s="38">
        <v>1409</v>
      </c>
      <c r="O38" s="38">
        <f t="shared" si="0"/>
        <v>915</v>
      </c>
      <c r="P38" s="38">
        <v>268</v>
      </c>
      <c r="Q38" s="38">
        <v>32</v>
      </c>
      <c r="R38" s="38">
        <v>194</v>
      </c>
      <c r="S38" s="38">
        <v>577</v>
      </c>
      <c r="T38" s="38">
        <v>66</v>
      </c>
      <c r="U38" s="38">
        <f t="shared" si="1"/>
        <v>3354</v>
      </c>
      <c r="V38">
        <v>1077</v>
      </c>
      <c r="W38">
        <v>67</v>
      </c>
      <c r="X38">
        <v>36</v>
      </c>
      <c r="Y38">
        <v>53</v>
      </c>
      <c r="Z38">
        <v>701</v>
      </c>
      <c r="AA38">
        <v>643</v>
      </c>
      <c r="AB38">
        <v>4.03</v>
      </c>
      <c r="AC38">
        <v>8</v>
      </c>
      <c r="AD38">
        <v>6</v>
      </c>
      <c r="AE38">
        <v>41</v>
      </c>
      <c r="AF38" s="45">
        <v>6159</v>
      </c>
      <c r="AG38" s="45">
        <f t="shared" ca="1" si="2"/>
        <v>1667</v>
      </c>
      <c r="AH38" s="45">
        <f t="shared" ca="1" si="3"/>
        <v>1153</v>
      </c>
      <c r="AI38" s="45">
        <f t="shared" ca="1" si="4"/>
        <v>278</v>
      </c>
      <c r="AJ38" s="45">
        <f t="shared" ca="1" si="5"/>
        <v>38</v>
      </c>
      <c r="AK38" s="45">
        <f t="shared" ca="1" si="6"/>
        <v>198</v>
      </c>
      <c r="AL38" s="45">
        <f t="shared" ca="1" si="7"/>
        <v>409</v>
      </c>
      <c r="AM38" s="45">
        <f t="shared" ca="1" si="8"/>
        <v>40</v>
      </c>
      <c r="AN38" s="45">
        <f t="shared" ca="1" si="9"/>
        <v>4043</v>
      </c>
      <c r="AO38">
        <v>4311</v>
      </c>
      <c r="AP38">
        <v>1357</v>
      </c>
      <c r="AQ38">
        <v>164</v>
      </c>
      <c r="AR38">
        <v>550</v>
      </c>
      <c r="AS38">
        <v>1344</v>
      </c>
      <c r="AT38">
        <v>109</v>
      </c>
      <c r="AU38">
        <v>113</v>
      </c>
      <c r="AV38">
        <v>0.98199999999999998</v>
      </c>
      <c r="AW38" s="1"/>
      <c r="AX38" s="47" t="s">
        <v>152</v>
      </c>
      <c r="AY38" s="47">
        <f t="shared" si="10"/>
        <v>29700</v>
      </c>
      <c r="AZ38" s="49">
        <f t="shared" si="11"/>
        <v>166234</v>
      </c>
      <c r="BA38" s="49">
        <f t="shared" ref="BA38" si="38">SUMIF($B$2:$B$571,$B38,$S$2:$S$571)</f>
        <v>15806</v>
      </c>
      <c r="BB38" s="48">
        <f t="shared" si="12"/>
        <v>9.5082835039763225E-2</v>
      </c>
    </row>
    <row r="39" spans="2:56" x14ac:dyDescent="0.2">
      <c r="B39" s="3">
        <v>2001</v>
      </c>
      <c r="C39" t="s">
        <v>52</v>
      </c>
      <c r="D39" t="s">
        <v>53</v>
      </c>
      <c r="E39">
        <v>5</v>
      </c>
      <c r="F39" t="s">
        <v>38</v>
      </c>
      <c r="G39" t="s">
        <v>38</v>
      </c>
      <c r="H39" t="s">
        <v>38</v>
      </c>
      <c r="I39" t="s">
        <v>38</v>
      </c>
      <c r="J39">
        <v>66</v>
      </c>
      <c r="K39">
        <v>96</v>
      </c>
      <c r="L39">
        <v>735</v>
      </c>
      <c r="M39" s="38">
        <v>5583</v>
      </c>
      <c r="N39" s="38">
        <v>1464</v>
      </c>
      <c r="O39" s="38">
        <f t="shared" si="0"/>
        <v>962</v>
      </c>
      <c r="P39" s="38">
        <v>304</v>
      </c>
      <c r="Q39" s="38">
        <v>22</v>
      </c>
      <c r="R39" s="38">
        <v>176</v>
      </c>
      <c r="S39" s="38">
        <v>468</v>
      </c>
      <c r="T39" s="38">
        <v>65</v>
      </c>
      <c r="U39" s="38">
        <f t="shared" si="1"/>
        <v>3586</v>
      </c>
      <c r="V39">
        <v>1172</v>
      </c>
      <c r="W39">
        <v>103</v>
      </c>
      <c r="X39">
        <v>54</v>
      </c>
      <c r="Y39">
        <v>40</v>
      </c>
      <c r="Z39">
        <v>850</v>
      </c>
      <c r="AA39">
        <v>765</v>
      </c>
      <c r="AB39">
        <v>4.7699999999999996</v>
      </c>
      <c r="AC39">
        <v>2</v>
      </c>
      <c r="AD39">
        <v>2</v>
      </c>
      <c r="AE39">
        <v>35</v>
      </c>
      <c r="AF39" s="45">
        <v>6324</v>
      </c>
      <c r="AG39" s="45">
        <f t="shared" ca="1" si="2"/>
        <v>1509</v>
      </c>
      <c r="AH39" s="45">
        <f t="shared" ca="1" si="3"/>
        <v>1038</v>
      </c>
      <c r="AI39" s="45">
        <f t="shared" ca="1" si="4"/>
        <v>243</v>
      </c>
      <c r="AJ39" s="45">
        <f t="shared" ca="1" si="5"/>
        <v>50</v>
      </c>
      <c r="AK39" s="45">
        <f t="shared" ca="1" si="6"/>
        <v>178</v>
      </c>
      <c r="AL39" s="45">
        <f t="shared" ca="1" si="7"/>
        <v>460</v>
      </c>
      <c r="AM39" s="45">
        <f t="shared" ca="1" si="8"/>
        <v>84</v>
      </c>
      <c r="AN39" s="45">
        <f t="shared" ca="1" si="9"/>
        <v>4271</v>
      </c>
      <c r="AO39">
        <v>4328</v>
      </c>
      <c r="AP39">
        <v>1572</v>
      </c>
      <c r="AQ39">
        <v>198</v>
      </c>
      <c r="AR39">
        <v>515</v>
      </c>
      <c r="AS39">
        <v>943</v>
      </c>
      <c r="AT39">
        <v>138</v>
      </c>
      <c r="AU39">
        <v>136</v>
      </c>
      <c r="AV39">
        <v>0.97799999999999998</v>
      </c>
      <c r="AW39" s="1"/>
      <c r="AX39" s="47" t="s">
        <v>153</v>
      </c>
      <c r="AY39" s="47">
        <f t="shared" si="10"/>
        <v>29700</v>
      </c>
      <c r="AZ39" s="49">
        <f t="shared" si="11"/>
        <v>166234</v>
      </c>
      <c r="BA39" s="49">
        <f t="shared" ref="BA39" si="39">SUMIF($B$2:$B$571,$B39,$T$2:$T$571)</f>
        <v>1890</v>
      </c>
      <c r="BB39" s="48">
        <f t="shared" si="12"/>
        <v>1.1369515261619164E-2</v>
      </c>
    </row>
    <row r="40" spans="2:56" x14ac:dyDescent="0.2">
      <c r="B40" s="3">
        <v>2001</v>
      </c>
      <c r="C40" t="s">
        <v>54</v>
      </c>
      <c r="D40" t="s">
        <v>55</v>
      </c>
      <c r="E40">
        <v>1</v>
      </c>
      <c r="F40" t="s">
        <v>43</v>
      </c>
      <c r="G40" t="s">
        <v>38</v>
      </c>
      <c r="H40" t="s">
        <v>38</v>
      </c>
      <c r="I40" t="s">
        <v>38</v>
      </c>
      <c r="J40">
        <v>91</v>
      </c>
      <c r="K40">
        <v>71</v>
      </c>
      <c r="L40">
        <v>897</v>
      </c>
      <c r="M40" s="38">
        <v>5600</v>
      </c>
      <c r="N40" s="38">
        <v>1559</v>
      </c>
      <c r="O40" s="38">
        <f t="shared" si="0"/>
        <v>1016</v>
      </c>
      <c r="P40" s="38">
        <v>294</v>
      </c>
      <c r="Q40" s="38">
        <v>37</v>
      </c>
      <c r="R40" s="38">
        <v>212</v>
      </c>
      <c r="S40" s="38">
        <v>577</v>
      </c>
      <c r="T40" s="38">
        <v>69</v>
      </c>
      <c r="U40" s="38">
        <f t="shared" si="1"/>
        <v>3395</v>
      </c>
      <c r="V40">
        <v>1076</v>
      </c>
      <c r="W40">
        <v>79</v>
      </c>
      <c r="X40">
        <v>41</v>
      </c>
      <c r="Y40">
        <v>62</v>
      </c>
      <c r="Z40">
        <v>821</v>
      </c>
      <c r="AA40">
        <v>746</v>
      </c>
      <c r="AB40">
        <v>4.6399999999999997</v>
      </c>
      <c r="AC40">
        <v>3</v>
      </c>
      <c r="AD40">
        <v>4</v>
      </c>
      <c r="AE40">
        <v>42</v>
      </c>
      <c r="AF40" s="45">
        <v>6312</v>
      </c>
      <c r="AG40" s="45">
        <f t="shared" ca="1" si="2"/>
        <v>1331</v>
      </c>
      <c r="AH40" s="45">
        <f t="shared" ca="1" si="3"/>
        <v>744</v>
      </c>
      <c r="AI40" s="45">
        <f t="shared" ca="1" si="4"/>
        <v>363</v>
      </c>
      <c r="AJ40" s="45">
        <f t="shared" ca="1" si="5"/>
        <v>49</v>
      </c>
      <c r="AK40" s="45">
        <f t="shared" ca="1" si="6"/>
        <v>175</v>
      </c>
      <c r="AL40" s="45">
        <f t="shared" ca="1" si="7"/>
        <v>439</v>
      </c>
      <c r="AM40" s="45">
        <f t="shared" ca="1" si="8"/>
        <v>67</v>
      </c>
      <c r="AN40" s="45">
        <f t="shared" ca="1" si="9"/>
        <v>4475</v>
      </c>
      <c r="AO40">
        <v>4340</v>
      </c>
      <c r="AP40">
        <v>1512</v>
      </c>
      <c r="AQ40">
        <v>148</v>
      </c>
      <c r="AR40">
        <v>573</v>
      </c>
      <c r="AS40">
        <v>1218</v>
      </c>
      <c r="AT40">
        <v>107</v>
      </c>
      <c r="AU40">
        <v>137</v>
      </c>
      <c r="AV40">
        <v>0.98199999999999998</v>
      </c>
      <c r="AW40" s="1"/>
      <c r="AX40" s="47" t="s">
        <v>154</v>
      </c>
      <c r="AY40" s="47">
        <f t="shared" si="10"/>
        <v>29700</v>
      </c>
      <c r="AZ40" s="49">
        <f t="shared" si="11"/>
        <v>166234</v>
      </c>
      <c r="BA40" s="49">
        <f t="shared" ref="BA40" si="40">SUMIF($B$2:$B$571,$B40,$U$2:$U$571)</f>
        <v>104659</v>
      </c>
      <c r="BB40" s="48">
        <f t="shared" si="12"/>
        <v>0.6295884115162963</v>
      </c>
    </row>
    <row r="41" spans="2:56" x14ac:dyDescent="0.2">
      <c r="B41" s="3">
        <v>2001</v>
      </c>
      <c r="C41" t="s">
        <v>56</v>
      </c>
      <c r="D41" t="s">
        <v>57</v>
      </c>
      <c r="E41">
        <v>5</v>
      </c>
      <c r="F41" t="s">
        <v>38</v>
      </c>
      <c r="G41" t="s">
        <v>38</v>
      </c>
      <c r="H41" t="s">
        <v>38</v>
      </c>
      <c r="I41" t="s">
        <v>38</v>
      </c>
      <c r="J41">
        <v>73</v>
      </c>
      <c r="K41">
        <v>89</v>
      </c>
      <c r="L41">
        <v>923</v>
      </c>
      <c r="M41" s="38">
        <v>5690</v>
      </c>
      <c r="N41" s="38">
        <v>1663</v>
      </c>
      <c r="O41" s="38">
        <f t="shared" si="0"/>
        <v>1065</v>
      </c>
      <c r="P41" s="38">
        <v>324</v>
      </c>
      <c r="Q41" s="38">
        <v>61</v>
      </c>
      <c r="R41" s="38">
        <v>213</v>
      </c>
      <c r="S41" s="38">
        <v>511</v>
      </c>
      <c r="T41" s="38">
        <v>61</v>
      </c>
      <c r="U41" s="38">
        <f t="shared" si="1"/>
        <v>3455</v>
      </c>
      <c r="V41">
        <v>1027</v>
      </c>
      <c r="W41">
        <v>132</v>
      </c>
      <c r="X41">
        <v>54</v>
      </c>
      <c r="Y41">
        <v>50</v>
      </c>
      <c r="Z41">
        <v>906</v>
      </c>
      <c r="AA41">
        <v>841</v>
      </c>
      <c r="AB41">
        <v>5.29</v>
      </c>
      <c r="AC41">
        <v>8</v>
      </c>
      <c r="AD41">
        <v>8</v>
      </c>
      <c r="AE41">
        <v>26</v>
      </c>
      <c r="AF41" s="45">
        <v>6306</v>
      </c>
      <c r="AG41" s="45">
        <f t="shared" ca="1" si="2"/>
        <v>1422</v>
      </c>
      <c r="AH41" s="45">
        <f t="shared" ca="1" si="3"/>
        <v>926</v>
      </c>
      <c r="AI41" s="45">
        <f t="shared" ca="1" si="4"/>
        <v>302</v>
      </c>
      <c r="AJ41" s="45">
        <f t="shared" ca="1" si="5"/>
        <v>47</v>
      </c>
      <c r="AK41" s="45">
        <f t="shared" ca="1" si="6"/>
        <v>147</v>
      </c>
      <c r="AL41" s="45">
        <f t="shared" ca="1" si="7"/>
        <v>538</v>
      </c>
      <c r="AM41" s="45">
        <f t="shared" ca="1" si="8"/>
        <v>38</v>
      </c>
      <c r="AN41" s="45">
        <f t="shared" ca="1" si="9"/>
        <v>4308</v>
      </c>
      <c r="AO41">
        <v>4290</v>
      </c>
      <c r="AP41">
        <v>1522</v>
      </c>
      <c r="AQ41">
        <v>239</v>
      </c>
      <c r="AR41">
        <v>598</v>
      </c>
      <c r="AS41">
        <v>1058</v>
      </c>
      <c r="AT41">
        <v>96</v>
      </c>
      <c r="AU41">
        <v>167</v>
      </c>
      <c r="AV41">
        <v>0.98399999999999999</v>
      </c>
      <c r="AW41" s="1"/>
      <c r="AX41" s="47"/>
      <c r="AY41" s="47"/>
      <c r="AZ41" s="49"/>
      <c r="BA41" s="49"/>
      <c r="BB41" s="48"/>
    </row>
    <row r="42" spans="2:56" x14ac:dyDescent="0.2">
      <c r="B42" s="3">
        <v>2001</v>
      </c>
      <c r="C42" t="s">
        <v>58</v>
      </c>
      <c r="D42" t="s">
        <v>59</v>
      </c>
      <c r="E42">
        <v>4</v>
      </c>
      <c r="F42" t="s">
        <v>38</v>
      </c>
      <c r="G42" t="s">
        <v>38</v>
      </c>
      <c r="H42" t="s">
        <v>38</v>
      </c>
      <c r="I42" t="s">
        <v>38</v>
      </c>
      <c r="J42">
        <v>66</v>
      </c>
      <c r="K42">
        <v>96</v>
      </c>
      <c r="L42">
        <v>724</v>
      </c>
      <c r="M42" s="38">
        <v>5537</v>
      </c>
      <c r="N42" s="38">
        <v>1439</v>
      </c>
      <c r="O42" s="38">
        <f t="shared" si="0"/>
        <v>949</v>
      </c>
      <c r="P42" s="38">
        <v>291</v>
      </c>
      <c r="Q42" s="38">
        <v>60</v>
      </c>
      <c r="R42" s="38">
        <v>139</v>
      </c>
      <c r="S42" s="38">
        <v>466</v>
      </c>
      <c r="T42" s="38">
        <v>51</v>
      </c>
      <c r="U42" s="38">
        <f t="shared" si="1"/>
        <v>3581</v>
      </c>
      <c r="V42">
        <v>972</v>
      </c>
      <c r="W42">
        <v>133</v>
      </c>
      <c r="X42">
        <v>61</v>
      </c>
      <c r="Y42">
        <v>49</v>
      </c>
      <c r="Z42">
        <v>876</v>
      </c>
      <c r="AA42">
        <v>795</v>
      </c>
      <c r="AB42">
        <v>5.01</v>
      </c>
      <c r="AC42">
        <v>16</v>
      </c>
      <c r="AD42">
        <v>2</v>
      </c>
      <c r="AE42">
        <v>34</v>
      </c>
      <c r="AF42" s="45">
        <v>6361</v>
      </c>
      <c r="AG42" s="45">
        <f t="shared" ca="1" si="2"/>
        <v>1456</v>
      </c>
      <c r="AH42" s="45">
        <f t="shared" ca="1" si="3"/>
        <v>918</v>
      </c>
      <c r="AI42" s="45">
        <f t="shared" ca="1" si="4"/>
        <v>296</v>
      </c>
      <c r="AJ42" s="45">
        <f t="shared" ca="1" si="5"/>
        <v>38</v>
      </c>
      <c r="AK42" s="45">
        <f t="shared" ca="1" si="6"/>
        <v>204</v>
      </c>
      <c r="AL42" s="45">
        <f t="shared" ca="1" si="7"/>
        <v>434</v>
      </c>
      <c r="AM42" s="45">
        <f t="shared" ca="1" si="8"/>
        <v>63</v>
      </c>
      <c r="AN42" s="45">
        <f t="shared" ca="1" si="9"/>
        <v>4408</v>
      </c>
      <c r="AO42">
        <v>4288</v>
      </c>
      <c r="AP42">
        <v>1624</v>
      </c>
      <c r="AQ42">
        <v>180</v>
      </c>
      <c r="AR42">
        <v>553</v>
      </c>
      <c r="AS42">
        <v>859</v>
      </c>
      <c r="AT42">
        <v>131</v>
      </c>
      <c r="AU42">
        <v>164</v>
      </c>
      <c r="AV42">
        <v>0.97899999999999998</v>
      </c>
      <c r="AW42" s="1">
        <v>2005</v>
      </c>
      <c r="AX42" s="47" t="s">
        <v>148</v>
      </c>
      <c r="AY42" s="47">
        <f t="shared" si="10"/>
        <v>29700</v>
      </c>
      <c r="AZ42" s="49">
        <f t="shared" si="11"/>
        <v>166234</v>
      </c>
      <c r="BA42" s="49">
        <f t="shared" ref="BA42" si="41">SUMIF($B$2:$B$571,$B42,$O$2:$O$571)</f>
        <v>28680</v>
      </c>
      <c r="BB42" s="48">
        <f t="shared" si="12"/>
        <v>0.17252788238266539</v>
      </c>
    </row>
    <row r="43" spans="2:56" x14ac:dyDescent="0.2">
      <c r="B43" s="3">
        <v>2001</v>
      </c>
      <c r="C43" t="s">
        <v>60</v>
      </c>
      <c r="D43" t="s">
        <v>61</v>
      </c>
      <c r="E43">
        <v>4</v>
      </c>
      <c r="F43" t="s">
        <v>38</v>
      </c>
      <c r="G43" t="s">
        <v>38</v>
      </c>
      <c r="H43" t="s">
        <v>38</v>
      </c>
      <c r="I43" t="s">
        <v>38</v>
      </c>
      <c r="J43">
        <v>76</v>
      </c>
      <c r="K43">
        <v>86</v>
      </c>
      <c r="L43">
        <v>742</v>
      </c>
      <c r="M43" s="38">
        <v>5542</v>
      </c>
      <c r="N43" s="38">
        <v>1461</v>
      </c>
      <c r="O43" s="38">
        <f t="shared" si="0"/>
        <v>940</v>
      </c>
      <c r="P43" s="38">
        <v>325</v>
      </c>
      <c r="Q43" s="38">
        <v>30</v>
      </c>
      <c r="R43" s="38">
        <v>166</v>
      </c>
      <c r="S43" s="38">
        <v>470</v>
      </c>
      <c r="T43" s="38">
        <v>67</v>
      </c>
      <c r="U43" s="38">
        <f t="shared" si="1"/>
        <v>3544</v>
      </c>
      <c r="V43">
        <v>1145</v>
      </c>
      <c r="W43">
        <v>89</v>
      </c>
      <c r="X43">
        <v>40</v>
      </c>
      <c r="Y43">
        <v>45</v>
      </c>
      <c r="Z43">
        <v>744</v>
      </c>
      <c r="AA43">
        <v>691</v>
      </c>
      <c r="AB43">
        <v>4.32</v>
      </c>
      <c r="AC43">
        <v>5</v>
      </c>
      <c r="AD43">
        <v>11</v>
      </c>
      <c r="AE43">
        <v>32</v>
      </c>
      <c r="AF43" s="45">
        <v>6227</v>
      </c>
      <c r="AG43" s="45">
        <f t="shared" ca="1" si="2"/>
        <v>1411</v>
      </c>
      <c r="AH43" s="45">
        <f t="shared" ca="1" si="3"/>
        <v>918</v>
      </c>
      <c r="AI43" s="45">
        <f t="shared" ca="1" si="4"/>
        <v>320</v>
      </c>
      <c r="AJ43" s="45">
        <f t="shared" ca="1" si="5"/>
        <v>25</v>
      </c>
      <c r="AK43" s="45">
        <f t="shared" ca="1" si="6"/>
        <v>148</v>
      </c>
      <c r="AL43" s="45">
        <f t="shared" ca="1" si="7"/>
        <v>684</v>
      </c>
      <c r="AM43" s="45">
        <f t="shared" ca="1" si="8"/>
        <v>41</v>
      </c>
      <c r="AN43" s="45">
        <f t="shared" ca="1" si="9"/>
        <v>4091</v>
      </c>
      <c r="AO43">
        <v>4314</v>
      </c>
      <c r="AP43">
        <v>1397</v>
      </c>
      <c r="AQ43">
        <v>151</v>
      </c>
      <c r="AR43">
        <v>617</v>
      </c>
      <c r="AS43">
        <v>1119</v>
      </c>
      <c r="AT43">
        <v>103</v>
      </c>
      <c r="AU43">
        <v>174</v>
      </c>
      <c r="AV43">
        <v>0.98299999999999998</v>
      </c>
      <c r="AW43" s="1"/>
      <c r="AX43" s="47" t="s">
        <v>149</v>
      </c>
      <c r="AY43" s="47">
        <f t="shared" si="10"/>
        <v>29700</v>
      </c>
      <c r="AZ43" s="49">
        <f t="shared" si="11"/>
        <v>166234</v>
      </c>
      <c r="BA43" s="49">
        <f t="shared" ref="BA43" si="42">SUMIF($B$2:$B$571,$B43,$P$2:$P$571)</f>
        <v>8813</v>
      </c>
      <c r="BB43" s="48">
        <f t="shared" si="12"/>
        <v>5.3015628571772319E-2</v>
      </c>
    </row>
    <row r="44" spans="2:56" x14ac:dyDescent="0.2">
      <c r="B44" s="3">
        <v>2001</v>
      </c>
      <c r="C44" t="s">
        <v>62</v>
      </c>
      <c r="D44" t="s">
        <v>63</v>
      </c>
      <c r="E44">
        <v>1</v>
      </c>
      <c r="F44" t="s">
        <v>43</v>
      </c>
      <c r="G44" t="s">
        <v>38</v>
      </c>
      <c r="H44" t="s">
        <v>38</v>
      </c>
      <c r="I44" t="s">
        <v>38</v>
      </c>
      <c r="J44">
        <v>93</v>
      </c>
      <c r="K44">
        <v>69</v>
      </c>
      <c r="L44">
        <v>847</v>
      </c>
      <c r="M44" s="38">
        <v>5528</v>
      </c>
      <c r="N44" s="38">
        <v>1500</v>
      </c>
      <c r="O44" s="38">
        <f t="shared" si="0"/>
        <v>950</v>
      </c>
      <c r="P44" s="38">
        <v>313</v>
      </c>
      <c r="Q44" s="38">
        <v>29</v>
      </c>
      <c r="R44" s="38">
        <v>208</v>
      </c>
      <c r="S44" s="38">
        <v>581</v>
      </c>
      <c r="T44" s="38">
        <v>89</v>
      </c>
      <c r="U44" s="38">
        <f t="shared" si="1"/>
        <v>3358</v>
      </c>
      <c r="V44">
        <v>1119</v>
      </c>
      <c r="W44">
        <v>64</v>
      </c>
      <c r="X44">
        <v>49</v>
      </c>
      <c r="Y44">
        <v>56</v>
      </c>
      <c r="Z44">
        <v>769</v>
      </c>
      <c r="AA44">
        <v>707</v>
      </c>
      <c r="AB44">
        <v>4.37</v>
      </c>
      <c r="AC44">
        <v>7</v>
      </c>
      <c r="AD44">
        <v>6</v>
      </c>
      <c r="AE44">
        <v>48</v>
      </c>
      <c r="AF44" s="45">
        <v>6236</v>
      </c>
      <c r="AG44" s="45">
        <f t="shared" ca="1" si="2"/>
        <v>1307</v>
      </c>
      <c r="AH44" s="45">
        <f t="shared" ca="1" si="3"/>
        <v>854</v>
      </c>
      <c r="AI44" s="45">
        <f t="shared" ca="1" si="4"/>
        <v>263</v>
      </c>
      <c r="AJ44" s="45">
        <f t="shared" ca="1" si="5"/>
        <v>40</v>
      </c>
      <c r="AK44" s="45">
        <f t="shared" ca="1" si="6"/>
        <v>150</v>
      </c>
      <c r="AL44" s="45">
        <f t="shared" ca="1" si="7"/>
        <v>698</v>
      </c>
      <c r="AM44" s="45">
        <f t="shared" ca="1" si="8"/>
        <v>84</v>
      </c>
      <c r="AN44" s="45">
        <f t="shared" ca="1" si="9"/>
        <v>4147</v>
      </c>
      <c r="AO44">
        <v>4364</v>
      </c>
      <c r="AP44">
        <v>1453</v>
      </c>
      <c r="AQ44">
        <v>221</v>
      </c>
      <c r="AR44">
        <v>486</v>
      </c>
      <c r="AS44">
        <v>1228</v>
      </c>
      <c r="AT44">
        <v>110</v>
      </c>
      <c r="AU44">
        <v>138</v>
      </c>
      <c r="AV44">
        <v>0.98199999999999998</v>
      </c>
      <c r="AW44" s="1"/>
      <c r="AX44" s="47" t="s">
        <v>150</v>
      </c>
      <c r="AY44" s="47">
        <f t="shared" si="10"/>
        <v>29700</v>
      </c>
      <c r="AZ44" s="49">
        <f t="shared" si="11"/>
        <v>166234</v>
      </c>
      <c r="BA44" s="49">
        <f t="shared" ref="BA44" si="43">SUMIF($B$2:$B$571,$B44,$Q$2:$Q$571)</f>
        <v>928</v>
      </c>
      <c r="BB44" s="48">
        <f t="shared" si="12"/>
        <v>5.5824921496204147E-3</v>
      </c>
    </row>
    <row r="45" spans="2:56" x14ac:dyDescent="0.2">
      <c r="B45" s="3">
        <v>2001</v>
      </c>
      <c r="C45" t="s">
        <v>64</v>
      </c>
      <c r="D45" t="s">
        <v>65</v>
      </c>
      <c r="E45">
        <v>5</v>
      </c>
      <c r="F45" t="s">
        <v>38</v>
      </c>
      <c r="G45" t="s">
        <v>38</v>
      </c>
      <c r="H45" t="s">
        <v>38</v>
      </c>
      <c r="I45" t="s">
        <v>38</v>
      </c>
      <c r="J45">
        <v>65</v>
      </c>
      <c r="K45">
        <v>97</v>
      </c>
      <c r="L45">
        <v>729</v>
      </c>
      <c r="M45" s="38">
        <v>5643</v>
      </c>
      <c r="N45" s="38">
        <v>1503</v>
      </c>
      <c r="O45" s="38">
        <f t="shared" si="0"/>
        <v>1037</v>
      </c>
      <c r="P45" s="38">
        <v>277</v>
      </c>
      <c r="Q45" s="38">
        <v>37</v>
      </c>
      <c r="R45" s="38">
        <v>152</v>
      </c>
      <c r="S45" s="38">
        <v>406</v>
      </c>
      <c r="T45" s="38">
        <v>44</v>
      </c>
      <c r="U45" s="38">
        <f t="shared" si="1"/>
        <v>3690</v>
      </c>
      <c r="V45">
        <v>898</v>
      </c>
      <c r="W45">
        <v>100</v>
      </c>
      <c r="X45">
        <v>42</v>
      </c>
      <c r="Y45">
        <v>47</v>
      </c>
      <c r="Z45">
        <v>858</v>
      </c>
      <c r="AA45">
        <v>779</v>
      </c>
      <c r="AB45">
        <v>4.87</v>
      </c>
      <c r="AC45">
        <v>5</v>
      </c>
      <c r="AD45">
        <v>1</v>
      </c>
      <c r="AE45">
        <v>30</v>
      </c>
      <c r="AF45" s="45">
        <v>6289</v>
      </c>
      <c r="AG45" s="45">
        <f t="shared" ca="1" si="2"/>
        <v>1432</v>
      </c>
      <c r="AH45" s="45">
        <f t="shared" ca="1" si="3"/>
        <v>929</v>
      </c>
      <c r="AI45" s="45">
        <f t="shared" ca="1" si="4"/>
        <v>275</v>
      </c>
      <c r="AJ45" s="45">
        <f t="shared" ca="1" si="5"/>
        <v>39</v>
      </c>
      <c r="AK45" s="45">
        <f t="shared" ca="1" si="6"/>
        <v>189</v>
      </c>
      <c r="AL45" s="45">
        <f t="shared" ca="1" si="7"/>
        <v>423</v>
      </c>
      <c r="AM45" s="45">
        <f t="shared" ca="1" si="8"/>
        <v>56</v>
      </c>
      <c r="AN45" s="45">
        <f t="shared" ca="1" si="9"/>
        <v>4378</v>
      </c>
      <c r="AO45">
        <v>4320</v>
      </c>
      <c r="AP45">
        <v>1537</v>
      </c>
      <c r="AQ45">
        <v>209</v>
      </c>
      <c r="AR45">
        <v>576</v>
      </c>
      <c r="AS45">
        <v>911</v>
      </c>
      <c r="AT45">
        <v>117</v>
      </c>
      <c r="AU45">
        <v>204</v>
      </c>
      <c r="AV45">
        <v>0.98099999999999998</v>
      </c>
      <c r="AW45" s="1"/>
      <c r="AX45" s="47" t="s">
        <v>151</v>
      </c>
      <c r="AY45" s="47">
        <f t="shared" si="10"/>
        <v>29700</v>
      </c>
      <c r="AZ45" s="49">
        <f t="shared" si="11"/>
        <v>166234</v>
      </c>
      <c r="BA45" s="49">
        <f t="shared" ref="BA45" si="44">SUMIF($B$2:$B$571,$B45,$R$2:$R$571)</f>
        <v>5458</v>
      </c>
      <c r="BB45" s="48">
        <f t="shared" si="12"/>
        <v>3.2833235078263169E-2</v>
      </c>
    </row>
    <row r="46" spans="2:56" x14ac:dyDescent="0.2">
      <c r="B46" s="3">
        <v>2001</v>
      </c>
      <c r="C46" t="s">
        <v>66</v>
      </c>
      <c r="D46" t="s">
        <v>67</v>
      </c>
      <c r="E46">
        <v>3</v>
      </c>
      <c r="F46" t="s">
        <v>38</v>
      </c>
      <c r="G46" t="s">
        <v>38</v>
      </c>
      <c r="H46" t="s">
        <v>38</v>
      </c>
      <c r="I46" t="s">
        <v>38</v>
      </c>
      <c r="J46">
        <v>86</v>
      </c>
      <c r="K46">
        <v>76</v>
      </c>
      <c r="L46">
        <v>758</v>
      </c>
      <c r="M46" s="38">
        <v>5493</v>
      </c>
      <c r="N46" s="38">
        <v>1399</v>
      </c>
      <c r="O46" s="38">
        <f t="shared" si="0"/>
        <v>902</v>
      </c>
      <c r="P46" s="38">
        <v>264</v>
      </c>
      <c r="Q46" s="38">
        <v>27</v>
      </c>
      <c r="R46" s="38">
        <v>206</v>
      </c>
      <c r="S46" s="38">
        <v>519</v>
      </c>
      <c r="T46" s="38">
        <v>56</v>
      </c>
      <c r="U46" s="38">
        <f t="shared" si="1"/>
        <v>3519</v>
      </c>
      <c r="V46">
        <v>1062</v>
      </c>
      <c r="W46">
        <v>89</v>
      </c>
      <c r="X46">
        <v>42</v>
      </c>
      <c r="Y46">
        <v>44</v>
      </c>
      <c r="Z46">
        <v>744</v>
      </c>
      <c r="AA46">
        <v>685</v>
      </c>
      <c r="AB46">
        <v>4.25</v>
      </c>
      <c r="AC46">
        <v>3</v>
      </c>
      <c r="AD46">
        <v>5</v>
      </c>
      <c r="AE46">
        <v>46</v>
      </c>
      <c r="AF46" s="45">
        <v>6201</v>
      </c>
      <c r="AG46" s="45">
        <f t="shared" ca="1" si="2"/>
        <v>1541</v>
      </c>
      <c r="AH46" s="45">
        <f t="shared" ca="1" si="3"/>
        <v>986</v>
      </c>
      <c r="AI46" s="45">
        <f t="shared" ca="1" si="4"/>
        <v>322</v>
      </c>
      <c r="AJ46" s="45">
        <f t="shared" ca="1" si="5"/>
        <v>49</v>
      </c>
      <c r="AK46" s="45">
        <f t="shared" ca="1" si="6"/>
        <v>184</v>
      </c>
      <c r="AL46" s="45">
        <f t="shared" ca="1" si="7"/>
        <v>660</v>
      </c>
      <c r="AM46" s="45">
        <f t="shared" ca="1" si="8"/>
        <v>84</v>
      </c>
      <c r="AN46" s="45">
        <f t="shared" ca="1" si="9"/>
        <v>3916</v>
      </c>
      <c r="AO46">
        <v>4352</v>
      </c>
      <c r="AP46">
        <v>1387</v>
      </c>
      <c r="AQ46">
        <v>184</v>
      </c>
      <c r="AR46">
        <v>524</v>
      </c>
      <c r="AS46">
        <v>1212</v>
      </c>
      <c r="AT46">
        <v>116</v>
      </c>
      <c r="AU46">
        <v>138</v>
      </c>
      <c r="AV46">
        <v>0.98099999999999998</v>
      </c>
      <c r="AW46" s="1"/>
      <c r="AX46" s="47" t="s">
        <v>152</v>
      </c>
      <c r="AY46" s="47">
        <f t="shared" si="10"/>
        <v>29700</v>
      </c>
      <c r="AZ46" s="49">
        <f t="shared" si="11"/>
        <v>166234</v>
      </c>
      <c r="BA46" s="49">
        <f t="shared" ref="BA46" si="45">SUMIF($B$2:$B$571,$B46,$S$2:$S$571)</f>
        <v>15806</v>
      </c>
      <c r="BB46" s="48">
        <f t="shared" si="12"/>
        <v>9.5082835039763225E-2</v>
      </c>
    </row>
    <row r="47" spans="2:56" x14ac:dyDescent="0.2">
      <c r="B47" s="3">
        <v>2001</v>
      </c>
      <c r="C47" t="s">
        <v>68</v>
      </c>
      <c r="D47" t="s">
        <v>69</v>
      </c>
      <c r="E47">
        <v>4</v>
      </c>
      <c r="F47" t="s">
        <v>38</v>
      </c>
      <c r="G47" t="s">
        <v>38</v>
      </c>
      <c r="H47" t="s">
        <v>38</v>
      </c>
      <c r="I47" t="s">
        <v>38</v>
      </c>
      <c r="J47">
        <v>68</v>
      </c>
      <c r="K47">
        <v>94</v>
      </c>
      <c r="L47">
        <v>740</v>
      </c>
      <c r="M47" s="38">
        <v>5488</v>
      </c>
      <c r="N47" s="38">
        <v>1378</v>
      </c>
      <c r="O47" s="38">
        <f t="shared" si="0"/>
        <v>866</v>
      </c>
      <c r="P47" s="38">
        <v>273</v>
      </c>
      <c r="Q47" s="38">
        <v>30</v>
      </c>
      <c r="R47" s="38">
        <v>209</v>
      </c>
      <c r="S47" s="38">
        <v>488</v>
      </c>
      <c r="T47" s="38">
        <v>72</v>
      </c>
      <c r="U47" s="38">
        <f t="shared" si="1"/>
        <v>3550</v>
      </c>
      <c r="V47">
        <v>1399</v>
      </c>
      <c r="W47">
        <v>66</v>
      </c>
      <c r="X47">
        <v>36</v>
      </c>
      <c r="Y47">
        <v>35</v>
      </c>
      <c r="Z47">
        <v>806</v>
      </c>
      <c r="AA47">
        <v>740</v>
      </c>
      <c r="AB47">
        <v>4.6399999999999997</v>
      </c>
      <c r="AC47">
        <v>3</v>
      </c>
      <c r="AD47">
        <v>8</v>
      </c>
      <c r="AE47">
        <v>28</v>
      </c>
      <c r="AF47" s="45">
        <v>6338</v>
      </c>
      <c r="AG47" s="45">
        <f t="shared" ca="1" si="2"/>
        <v>1650</v>
      </c>
      <c r="AH47" s="45">
        <f t="shared" ca="1" si="3"/>
        <v>1094</v>
      </c>
      <c r="AI47" s="45">
        <f t="shared" ca="1" si="4"/>
        <v>297</v>
      </c>
      <c r="AJ47" s="45">
        <f t="shared" ca="1" si="5"/>
        <v>47</v>
      </c>
      <c r="AK47" s="45">
        <f t="shared" ca="1" si="6"/>
        <v>212</v>
      </c>
      <c r="AL47" s="45">
        <f t="shared" ca="1" si="7"/>
        <v>475</v>
      </c>
      <c r="AM47" s="45">
        <f t="shared" ca="1" si="8"/>
        <v>67</v>
      </c>
      <c r="AN47" s="45">
        <f t="shared" ca="1" si="9"/>
        <v>4146</v>
      </c>
      <c r="AO47">
        <v>4309</v>
      </c>
      <c r="AP47">
        <v>1452</v>
      </c>
      <c r="AQ47">
        <v>197</v>
      </c>
      <c r="AR47">
        <v>667</v>
      </c>
      <c r="AS47">
        <v>1057</v>
      </c>
      <c r="AT47">
        <v>103</v>
      </c>
      <c r="AU47">
        <v>156</v>
      </c>
      <c r="AV47">
        <v>0.98299999999999998</v>
      </c>
      <c r="AW47" s="1"/>
      <c r="AX47" s="47" t="s">
        <v>153</v>
      </c>
      <c r="AY47" s="47">
        <f t="shared" si="10"/>
        <v>29700</v>
      </c>
      <c r="AZ47" s="49">
        <f t="shared" si="11"/>
        <v>166234</v>
      </c>
      <c r="BA47" s="49">
        <f t="shared" ref="BA47" si="46">SUMIF($B$2:$B$571,$B47,$T$2:$T$571)</f>
        <v>1890</v>
      </c>
      <c r="BB47" s="48">
        <f t="shared" si="12"/>
        <v>1.1369515261619164E-2</v>
      </c>
    </row>
    <row r="48" spans="2:56" x14ac:dyDescent="0.2">
      <c r="B48" s="3">
        <v>2001</v>
      </c>
      <c r="C48" t="s">
        <v>70</v>
      </c>
      <c r="D48" t="s">
        <v>71</v>
      </c>
      <c r="E48">
        <v>2</v>
      </c>
      <c r="F48" t="s">
        <v>38</v>
      </c>
      <c r="G48" t="s">
        <v>38</v>
      </c>
      <c r="H48" t="s">
        <v>38</v>
      </c>
      <c r="I48" t="s">
        <v>38</v>
      </c>
      <c r="J48">
        <v>85</v>
      </c>
      <c r="K48">
        <v>77</v>
      </c>
      <c r="L48">
        <v>771</v>
      </c>
      <c r="M48" s="38">
        <v>5560</v>
      </c>
      <c r="N48" s="38">
        <v>1514</v>
      </c>
      <c r="O48" s="38">
        <f t="shared" si="0"/>
        <v>984</v>
      </c>
      <c r="P48" s="38">
        <v>328</v>
      </c>
      <c r="Q48" s="38">
        <v>38</v>
      </c>
      <c r="R48" s="38">
        <v>164</v>
      </c>
      <c r="S48" s="38">
        <v>495</v>
      </c>
      <c r="T48" s="38">
        <v>64</v>
      </c>
      <c r="U48" s="38">
        <f t="shared" si="1"/>
        <v>3487</v>
      </c>
      <c r="V48">
        <v>1083</v>
      </c>
      <c r="W48">
        <v>146</v>
      </c>
      <c r="X48">
        <v>67</v>
      </c>
      <c r="Y48">
        <v>38</v>
      </c>
      <c r="Z48">
        <v>766</v>
      </c>
      <c r="AA48">
        <v>722</v>
      </c>
      <c r="AB48">
        <v>4.51</v>
      </c>
      <c r="AC48">
        <v>12</v>
      </c>
      <c r="AD48">
        <v>8</v>
      </c>
      <c r="AE48">
        <v>45</v>
      </c>
      <c r="AF48" s="45">
        <v>6187</v>
      </c>
      <c r="AG48" s="45">
        <f t="shared" ca="1" si="2"/>
        <v>1401</v>
      </c>
      <c r="AH48" s="45">
        <f t="shared" ca="1" si="3"/>
        <v>892</v>
      </c>
      <c r="AI48" s="45">
        <f t="shared" ca="1" si="4"/>
        <v>318</v>
      </c>
      <c r="AJ48" s="45">
        <f t="shared" ca="1" si="5"/>
        <v>25</v>
      </c>
      <c r="AK48" s="45">
        <f t="shared" ca="1" si="6"/>
        <v>166</v>
      </c>
      <c r="AL48" s="45">
        <f t="shared" ca="1" si="7"/>
        <v>500</v>
      </c>
      <c r="AM48" s="45">
        <f t="shared" ca="1" si="8"/>
        <v>69</v>
      </c>
      <c r="AN48" s="45">
        <f t="shared" ca="1" si="9"/>
        <v>4217</v>
      </c>
      <c r="AO48">
        <v>4324</v>
      </c>
      <c r="AP48">
        <v>1494</v>
      </c>
      <c r="AQ48">
        <v>192</v>
      </c>
      <c r="AR48">
        <v>445</v>
      </c>
      <c r="AS48">
        <v>965</v>
      </c>
      <c r="AT48">
        <v>108</v>
      </c>
      <c r="AU48">
        <v>118</v>
      </c>
      <c r="AV48">
        <v>0.98199999999999998</v>
      </c>
      <c r="AW48" s="1"/>
      <c r="AX48" s="47" t="s">
        <v>154</v>
      </c>
      <c r="AY48" s="47">
        <f t="shared" si="10"/>
        <v>29700</v>
      </c>
      <c r="AZ48" s="49">
        <f t="shared" si="11"/>
        <v>166234</v>
      </c>
      <c r="BA48" s="49">
        <f t="shared" ref="BA48" si="47">SUMIF($B$2:$B$571,$B48,$U$2:$U$571)</f>
        <v>104659</v>
      </c>
      <c r="BB48" s="48">
        <f t="shared" si="12"/>
        <v>0.6295884115162963</v>
      </c>
    </row>
    <row r="49" spans="2:54" x14ac:dyDescent="0.2">
      <c r="B49" s="3">
        <v>2001</v>
      </c>
      <c r="C49" t="s">
        <v>72</v>
      </c>
      <c r="D49" t="s">
        <v>73</v>
      </c>
      <c r="E49">
        <v>5</v>
      </c>
      <c r="F49" t="s">
        <v>38</v>
      </c>
      <c r="G49" t="s">
        <v>38</v>
      </c>
      <c r="H49" t="s">
        <v>38</v>
      </c>
      <c r="I49" t="s">
        <v>38</v>
      </c>
      <c r="J49">
        <v>68</v>
      </c>
      <c r="K49">
        <v>94</v>
      </c>
      <c r="L49">
        <v>670</v>
      </c>
      <c r="M49" s="38">
        <v>5379</v>
      </c>
      <c r="N49" s="38">
        <v>1361</v>
      </c>
      <c r="O49" s="38">
        <f t="shared" si="0"/>
        <v>882</v>
      </c>
      <c r="P49" s="38">
        <v>320</v>
      </c>
      <c r="Q49" s="38">
        <v>28</v>
      </c>
      <c r="R49" s="38">
        <v>131</v>
      </c>
      <c r="S49" s="38">
        <v>478</v>
      </c>
      <c r="T49" s="38">
        <v>60</v>
      </c>
      <c r="U49" s="38">
        <f t="shared" si="1"/>
        <v>3480</v>
      </c>
      <c r="V49">
        <v>1071</v>
      </c>
      <c r="W49">
        <v>101</v>
      </c>
      <c r="X49">
        <v>51</v>
      </c>
      <c r="Y49">
        <v>45</v>
      </c>
      <c r="Z49">
        <v>812</v>
      </c>
      <c r="AA49">
        <v>745</v>
      </c>
      <c r="AB49">
        <v>4.68</v>
      </c>
      <c r="AC49">
        <v>5</v>
      </c>
      <c r="AD49">
        <v>11</v>
      </c>
      <c r="AE49">
        <v>28</v>
      </c>
      <c r="AF49" s="45">
        <v>6250</v>
      </c>
      <c r="AG49" s="45">
        <f t="shared" ca="1" si="2"/>
        <v>1398</v>
      </c>
      <c r="AH49" s="45">
        <f t="shared" ca="1" si="3"/>
        <v>895</v>
      </c>
      <c r="AI49" s="45">
        <f t="shared" ca="1" si="4"/>
        <v>328</v>
      </c>
      <c r="AJ49" s="45">
        <f t="shared" ca="1" si="5"/>
        <v>25</v>
      </c>
      <c r="AK49" s="45">
        <f t="shared" ca="1" si="6"/>
        <v>150</v>
      </c>
      <c r="AL49" s="45">
        <f t="shared" ca="1" si="7"/>
        <v>429</v>
      </c>
      <c r="AM49" s="45">
        <f t="shared" ca="1" si="8"/>
        <v>35</v>
      </c>
      <c r="AN49" s="45">
        <f t="shared" ca="1" si="9"/>
        <v>4388</v>
      </c>
      <c r="AO49">
        <v>4294</v>
      </c>
      <c r="AP49">
        <v>1509</v>
      </c>
      <c r="AQ49">
        <v>190</v>
      </c>
      <c r="AR49">
        <v>525</v>
      </c>
      <c r="AS49">
        <v>1103</v>
      </c>
      <c r="AT49">
        <v>108</v>
      </c>
      <c r="AU49">
        <v>139</v>
      </c>
      <c r="AV49">
        <v>0.98199999999999998</v>
      </c>
      <c r="AW49" s="1"/>
      <c r="AX49" s="47"/>
      <c r="AY49" s="47"/>
      <c r="AZ49" s="49"/>
      <c r="BA49" s="49"/>
      <c r="BB49" s="48"/>
    </row>
    <row r="50" spans="2:54" x14ac:dyDescent="0.2">
      <c r="B50" s="3">
        <v>2001</v>
      </c>
      <c r="C50" t="s">
        <v>74</v>
      </c>
      <c r="D50" t="s">
        <v>75</v>
      </c>
      <c r="E50">
        <v>1</v>
      </c>
      <c r="F50" t="s">
        <v>43</v>
      </c>
      <c r="G50" t="s">
        <v>38</v>
      </c>
      <c r="H50" t="s">
        <v>43</v>
      </c>
      <c r="I50" t="s">
        <v>38</v>
      </c>
      <c r="J50">
        <v>95</v>
      </c>
      <c r="K50">
        <v>65</v>
      </c>
      <c r="L50">
        <v>804</v>
      </c>
      <c r="M50" s="38">
        <v>5577</v>
      </c>
      <c r="N50" s="38">
        <v>1488</v>
      </c>
      <c r="O50" s="38">
        <f t="shared" si="0"/>
        <v>976</v>
      </c>
      <c r="P50" s="38">
        <v>289</v>
      </c>
      <c r="Q50" s="38">
        <v>20</v>
      </c>
      <c r="R50" s="38">
        <v>203</v>
      </c>
      <c r="S50" s="38">
        <v>519</v>
      </c>
      <c r="T50" s="38">
        <v>64</v>
      </c>
      <c r="U50" s="38">
        <f t="shared" si="1"/>
        <v>3506</v>
      </c>
      <c r="V50">
        <v>1035</v>
      </c>
      <c r="W50">
        <v>161</v>
      </c>
      <c r="X50">
        <v>53</v>
      </c>
      <c r="Y50">
        <v>43</v>
      </c>
      <c r="Z50">
        <v>713</v>
      </c>
      <c r="AA50">
        <v>649</v>
      </c>
      <c r="AB50">
        <v>4.0199999999999996</v>
      </c>
      <c r="AC50">
        <v>7</v>
      </c>
      <c r="AD50">
        <v>9</v>
      </c>
      <c r="AE50">
        <v>57</v>
      </c>
      <c r="AF50" s="45">
        <v>6174</v>
      </c>
      <c r="AG50" s="45">
        <f t="shared" ca="1" si="2"/>
        <v>1369</v>
      </c>
      <c r="AH50" s="45">
        <f t="shared" ca="1" si="3"/>
        <v>865</v>
      </c>
      <c r="AI50" s="45">
        <f t="shared" ca="1" si="4"/>
        <v>344</v>
      </c>
      <c r="AJ50" s="45">
        <f t="shared" ca="1" si="5"/>
        <v>29</v>
      </c>
      <c r="AK50" s="45">
        <f t="shared" ca="1" si="6"/>
        <v>131</v>
      </c>
      <c r="AL50" s="45">
        <f t="shared" ca="1" si="7"/>
        <v>695</v>
      </c>
      <c r="AM50" s="45">
        <f t="shared" ca="1" si="8"/>
        <v>35</v>
      </c>
      <c r="AN50" s="45">
        <f t="shared" ca="1" si="9"/>
        <v>4075</v>
      </c>
      <c r="AO50">
        <v>4354</v>
      </c>
      <c r="AP50">
        <v>1429</v>
      </c>
      <c r="AQ50">
        <v>158</v>
      </c>
      <c r="AR50">
        <v>465</v>
      </c>
      <c r="AS50">
        <v>1266</v>
      </c>
      <c r="AT50">
        <v>109</v>
      </c>
      <c r="AU50">
        <v>132</v>
      </c>
      <c r="AV50">
        <v>0.98199999999999998</v>
      </c>
      <c r="AW50" s="1">
        <v>2006</v>
      </c>
      <c r="AX50" s="47" t="s">
        <v>148</v>
      </c>
      <c r="AY50" s="47">
        <f t="shared" si="10"/>
        <v>29700</v>
      </c>
      <c r="AZ50" s="49">
        <f t="shared" si="11"/>
        <v>166234</v>
      </c>
      <c r="BA50" s="49">
        <f t="shared" ref="BA50" si="48">SUMIF($B$2:$B$571,$B50,$O$2:$O$571)</f>
        <v>28680</v>
      </c>
      <c r="BB50" s="48">
        <f t="shared" si="12"/>
        <v>0.17252788238266539</v>
      </c>
    </row>
    <row r="51" spans="2:54" x14ac:dyDescent="0.2">
      <c r="B51" s="3">
        <v>2001</v>
      </c>
      <c r="C51" t="s">
        <v>76</v>
      </c>
      <c r="D51" t="s">
        <v>77</v>
      </c>
      <c r="E51">
        <v>3</v>
      </c>
      <c r="F51" t="s">
        <v>38</v>
      </c>
      <c r="G51" t="s">
        <v>38</v>
      </c>
      <c r="H51" t="s">
        <v>38</v>
      </c>
      <c r="I51" t="s">
        <v>38</v>
      </c>
      <c r="J51">
        <v>82</v>
      </c>
      <c r="K51">
        <v>80</v>
      </c>
      <c r="L51">
        <v>642</v>
      </c>
      <c r="M51" s="38">
        <v>5459</v>
      </c>
      <c r="N51" s="38">
        <v>1361</v>
      </c>
      <c r="O51" s="38">
        <f t="shared" si="0"/>
        <v>923</v>
      </c>
      <c r="P51" s="38">
        <v>273</v>
      </c>
      <c r="Q51" s="38">
        <v>18</v>
      </c>
      <c r="R51" s="38">
        <v>147</v>
      </c>
      <c r="S51" s="38">
        <v>545</v>
      </c>
      <c r="T51" s="38">
        <v>65</v>
      </c>
      <c r="U51" s="38">
        <f t="shared" si="1"/>
        <v>3488</v>
      </c>
      <c r="V51">
        <v>1062</v>
      </c>
      <c r="W51">
        <v>66</v>
      </c>
      <c r="X51">
        <v>48</v>
      </c>
      <c r="Y51">
        <v>35</v>
      </c>
      <c r="Z51">
        <v>713</v>
      </c>
      <c r="AA51">
        <v>654</v>
      </c>
      <c r="AB51">
        <v>4.07</v>
      </c>
      <c r="AC51">
        <v>6</v>
      </c>
      <c r="AD51">
        <v>14</v>
      </c>
      <c r="AE51">
        <v>48</v>
      </c>
      <c r="AF51" s="45">
        <v>6107</v>
      </c>
      <c r="AG51" s="45">
        <f t="shared" ca="1" si="2"/>
        <v>1470</v>
      </c>
      <c r="AH51" s="45">
        <f t="shared" ca="1" si="3"/>
        <v>859</v>
      </c>
      <c r="AI51" s="45">
        <f t="shared" ca="1" si="4"/>
        <v>398</v>
      </c>
      <c r="AJ51" s="45">
        <f t="shared" ca="1" si="5"/>
        <v>45</v>
      </c>
      <c r="AK51" s="45">
        <f t="shared" ca="1" si="6"/>
        <v>168</v>
      </c>
      <c r="AL51" s="45">
        <f t="shared" ca="1" si="7"/>
        <v>404</v>
      </c>
      <c r="AM51" s="45">
        <f t="shared" ca="1" si="8"/>
        <v>71</v>
      </c>
      <c r="AN51" s="45">
        <f t="shared" ca="1" si="9"/>
        <v>4162</v>
      </c>
      <c r="AO51">
        <v>4337</v>
      </c>
      <c r="AP51">
        <v>1418</v>
      </c>
      <c r="AQ51">
        <v>186</v>
      </c>
      <c r="AR51">
        <v>438</v>
      </c>
      <c r="AS51">
        <v>1191</v>
      </c>
      <c r="AT51">
        <v>101</v>
      </c>
      <c r="AU51">
        <v>132</v>
      </c>
      <c r="AV51">
        <v>0.98299999999999998</v>
      </c>
      <c r="AW51" s="1"/>
      <c r="AX51" s="47" t="s">
        <v>149</v>
      </c>
      <c r="AY51" s="47">
        <f t="shared" si="10"/>
        <v>29700</v>
      </c>
      <c r="AZ51" s="49">
        <f t="shared" si="11"/>
        <v>166234</v>
      </c>
      <c r="BA51" s="49">
        <f t="shared" ref="BA51" si="49">SUMIF($B$2:$B$571,$B51,$P$2:$P$571)</f>
        <v>8813</v>
      </c>
      <c r="BB51" s="48">
        <f t="shared" si="12"/>
        <v>5.3015628571772319E-2</v>
      </c>
    </row>
    <row r="52" spans="2:54" x14ac:dyDescent="0.2">
      <c r="B52" s="3">
        <v>2001</v>
      </c>
      <c r="C52" t="s">
        <v>78</v>
      </c>
      <c r="D52" t="s">
        <v>79</v>
      </c>
      <c r="E52">
        <v>2</v>
      </c>
      <c r="F52" t="s">
        <v>38</v>
      </c>
      <c r="G52" t="s">
        <v>43</v>
      </c>
      <c r="H52" t="s">
        <v>38</v>
      </c>
      <c r="I52" t="s">
        <v>38</v>
      </c>
      <c r="J52">
        <v>102</v>
      </c>
      <c r="K52">
        <v>60</v>
      </c>
      <c r="L52">
        <v>884</v>
      </c>
      <c r="M52" s="38">
        <v>5573</v>
      </c>
      <c r="N52" s="38">
        <v>1469</v>
      </c>
      <c r="O52" s="38">
        <f t="shared" si="0"/>
        <v>914</v>
      </c>
      <c r="P52" s="38">
        <v>334</v>
      </c>
      <c r="Q52" s="38">
        <v>22</v>
      </c>
      <c r="R52" s="38">
        <v>199</v>
      </c>
      <c r="S52" s="38">
        <v>640</v>
      </c>
      <c r="T52" s="38">
        <v>88</v>
      </c>
      <c r="U52" s="38">
        <f t="shared" si="1"/>
        <v>3376</v>
      </c>
      <c r="V52">
        <v>1021</v>
      </c>
      <c r="W52">
        <v>68</v>
      </c>
      <c r="X52">
        <v>29</v>
      </c>
      <c r="Y52">
        <v>59</v>
      </c>
      <c r="Z52">
        <v>645</v>
      </c>
      <c r="AA52">
        <v>583</v>
      </c>
      <c r="AB52">
        <v>3.59</v>
      </c>
      <c r="AC52">
        <v>13</v>
      </c>
      <c r="AD52">
        <v>9</v>
      </c>
      <c r="AE52">
        <v>44</v>
      </c>
      <c r="AF52" s="45">
        <v>6115</v>
      </c>
      <c r="AG52" s="45">
        <f t="shared" ca="1" si="2"/>
        <v>1465</v>
      </c>
      <c r="AH52" s="45">
        <f t="shared" ca="1" si="3"/>
        <v>905</v>
      </c>
      <c r="AI52" s="45">
        <f t="shared" ca="1" si="4"/>
        <v>387</v>
      </c>
      <c r="AJ52" s="45">
        <f t="shared" ca="1" si="5"/>
        <v>39</v>
      </c>
      <c r="AK52" s="45">
        <f t="shared" ca="1" si="6"/>
        <v>134</v>
      </c>
      <c r="AL52" s="45">
        <f t="shared" ca="1" si="7"/>
        <v>473</v>
      </c>
      <c r="AM52" s="45">
        <f t="shared" ca="1" si="8"/>
        <v>48</v>
      </c>
      <c r="AN52" s="45">
        <f t="shared" ca="1" si="9"/>
        <v>4129</v>
      </c>
      <c r="AO52">
        <v>4390</v>
      </c>
      <c r="AP52">
        <v>1384</v>
      </c>
      <c r="AQ52">
        <v>153</v>
      </c>
      <c r="AR52">
        <v>440</v>
      </c>
      <c r="AS52">
        <v>1117</v>
      </c>
      <c r="AT52">
        <v>125</v>
      </c>
      <c r="AU52">
        <v>151</v>
      </c>
      <c r="AV52">
        <v>0.98</v>
      </c>
      <c r="AW52" s="1"/>
      <c r="AX52" s="47" t="s">
        <v>150</v>
      </c>
      <c r="AY52" s="47">
        <f t="shared" si="10"/>
        <v>29700</v>
      </c>
      <c r="AZ52" s="49">
        <f t="shared" si="11"/>
        <v>166234</v>
      </c>
      <c r="BA52" s="49">
        <f t="shared" ref="BA52" si="50">SUMIF($B$2:$B$571,$B52,$Q$2:$Q$571)</f>
        <v>928</v>
      </c>
      <c r="BB52" s="48">
        <f t="shared" si="12"/>
        <v>5.5824921496204147E-3</v>
      </c>
    </row>
    <row r="53" spans="2:54" x14ac:dyDescent="0.2">
      <c r="B53" s="3">
        <v>2001</v>
      </c>
      <c r="C53" t="s">
        <v>80</v>
      </c>
      <c r="D53" t="s">
        <v>81</v>
      </c>
      <c r="E53">
        <v>2</v>
      </c>
      <c r="F53" t="s">
        <v>38</v>
      </c>
      <c r="G53" t="s">
        <v>38</v>
      </c>
      <c r="H53" t="s">
        <v>38</v>
      </c>
      <c r="I53" t="s">
        <v>38</v>
      </c>
      <c r="J53">
        <v>86</v>
      </c>
      <c r="K53">
        <v>76</v>
      </c>
      <c r="L53">
        <v>746</v>
      </c>
      <c r="M53" s="38">
        <v>5497</v>
      </c>
      <c r="N53" s="38">
        <v>1431</v>
      </c>
      <c r="O53" s="38">
        <f t="shared" si="0"/>
        <v>943</v>
      </c>
      <c r="P53" s="38">
        <v>295</v>
      </c>
      <c r="Q53" s="38">
        <v>29</v>
      </c>
      <c r="R53" s="38">
        <v>164</v>
      </c>
      <c r="S53" s="38">
        <v>551</v>
      </c>
      <c r="T53" s="38">
        <v>43</v>
      </c>
      <c r="U53" s="38">
        <f t="shared" si="1"/>
        <v>3472</v>
      </c>
      <c r="V53">
        <v>1125</v>
      </c>
      <c r="W53">
        <v>153</v>
      </c>
      <c r="X53">
        <v>47</v>
      </c>
      <c r="Y53">
        <v>61</v>
      </c>
      <c r="Z53">
        <v>719</v>
      </c>
      <c r="AA53">
        <v>667</v>
      </c>
      <c r="AB53">
        <v>4.1500000000000004</v>
      </c>
      <c r="AC53">
        <v>8</v>
      </c>
      <c r="AD53">
        <v>7</v>
      </c>
      <c r="AE53">
        <v>47</v>
      </c>
      <c r="AF53" s="45">
        <v>6198</v>
      </c>
      <c r="AG53" s="45">
        <f t="shared" ca="1" si="2"/>
        <v>1592</v>
      </c>
      <c r="AH53" s="45">
        <f t="shared" ca="1" si="3"/>
        <v>1078</v>
      </c>
      <c r="AI53" s="45">
        <f t="shared" ca="1" si="4"/>
        <v>325</v>
      </c>
      <c r="AJ53" s="45">
        <f t="shared" ca="1" si="5"/>
        <v>46</v>
      </c>
      <c r="AK53" s="45">
        <f t="shared" ca="1" si="6"/>
        <v>143</v>
      </c>
      <c r="AL53" s="45">
        <f t="shared" ca="1" si="7"/>
        <v>544</v>
      </c>
      <c r="AM53" s="45">
        <f t="shared" ca="1" si="8"/>
        <v>64</v>
      </c>
      <c r="AN53" s="45">
        <f t="shared" ca="1" si="9"/>
        <v>3998</v>
      </c>
      <c r="AO53">
        <v>4336</v>
      </c>
      <c r="AP53">
        <v>1417</v>
      </c>
      <c r="AQ53">
        <v>170</v>
      </c>
      <c r="AR53">
        <v>527</v>
      </c>
      <c r="AS53">
        <v>1086</v>
      </c>
      <c r="AT53">
        <v>91</v>
      </c>
      <c r="AU53">
        <v>145</v>
      </c>
      <c r="AV53">
        <v>0.98499999999999999</v>
      </c>
      <c r="AW53" s="1"/>
      <c r="AX53" s="47" t="s">
        <v>151</v>
      </c>
      <c r="AY53" s="47">
        <f t="shared" si="10"/>
        <v>29700</v>
      </c>
      <c r="AZ53" s="49">
        <f t="shared" si="11"/>
        <v>166234</v>
      </c>
      <c r="BA53" s="49">
        <f t="shared" ref="BA53" si="51">SUMIF($B$2:$B$571,$B53,$R$2:$R$571)</f>
        <v>5458</v>
      </c>
      <c r="BB53" s="48">
        <f t="shared" si="12"/>
        <v>3.2833235078263169E-2</v>
      </c>
    </row>
    <row r="54" spans="2:54" x14ac:dyDescent="0.2">
      <c r="B54" s="3">
        <v>2001</v>
      </c>
      <c r="C54" t="s">
        <v>82</v>
      </c>
      <c r="D54" t="s">
        <v>83</v>
      </c>
      <c r="E54">
        <v>6</v>
      </c>
      <c r="F54" t="s">
        <v>38</v>
      </c>
      <c r="G54" t="s">
        <v>38</v>
      </c>
      <c r="H54" t="s">
        <v>38</v>
      </c>
      <c r="I54" t="s">
        <v>38</v>
      </c>
      <c r="J54">
        <v>62</v>
      </c>
      <c r="K54">
        <v>100</v>
      </c>
      <c r="L54">
        <v>657</v>
      </c>
      <c r="M54" s="38">
        <v>5398</v>
      </c>
      <c r="N54" s="38">
        <v>1333</v>
      </c>
      <c r="O54" s="38">
        <f t="shared" si="0"/>
        <v>891</v>
      </c>
      <c r="P54" s="38">
        <v>256</v>
      </c>
      <c r="Q54" s="38">
        <v>25</v>
      </c>
      <c r="R54" s="38">
        <v>161</v>
      </c>
      <c r="S54" s="38">
        <v>467</v>
      </c>
      <c r="T54" s="38">
        <v>67</v>
      </c>
      <c r="U54" s="38">
        <f t="shared" si="1"/>
        <v>3531</v>
      </c>
      <c r="V54">
        <v>1106</v>
      </c>
      <c r="W54">
        <v>93</v>
      </c>
      <c r="X54">
        <v>73</v>
      </c>
      <c r="Y54">
        <v>35</v>
      </c>
      <c r="Z54">
        <v>858</v>
      </c>
      <c r="AA54">
        <v>794</v>
      </c>
      <c r="AB54">
        <v>5.05</v>
      </c>
      <c r="AC54">
        <v>8</v>
      </c>
      <c r="AD54">
        <v>9</v>
      </c>
      <c r="AE54">
        <v>36</v>
      </c>
      <c r="AF54" s="45">
        <v>6222</v>
      </c>
      <c r="AG54" s="45">
        <f t="shared" ca="1" si="2"/>
        <v>1696</v>
      </c>
      <c r="AH54" s="45">
        <f t="shared" ca="1" si="3"/>
        <v>1097</v>
      </c>
      <c r="AI54" s="45">
        <f t="shared" ca="1" si="4"/>
        <v>334</v>
      </c>
      <c r="AJ54" s="45">
        <f t="shared" ca="1" si="5"/>
        <v>45</v>
      </c>
      <c r="AK54" s="45">
        <f t="shared" ca="1" si="6"/>
        <v>220</v>
      </c>
      <c r="AL54" s="45">
        <f t="shared" ca="1" si="7"/>
        <v>590</v>
      </c>
      <c r="AM54" s="45">
        <f t="shared" ca="1" si="8"/>
        <v>85</v>
      </c>
      <c r="AN54" s="45">
        <f t="shared" ca="1" si="9"/>
        <v>3851</v>
      </c>
      <c r="AO54">
        <v>4249</v>
      </c>
      <c r="AP54">
        <v>1493</v>
      </c>
      <c r="AQ54">
        <v>167</v>
      </c>
      <c r="AR54">
        <v>549</v>
      </c>
      <c r="AS54">
        <v>908</v>
      </c>
      <c r="AT54">
        <v>133</v>
      </c>
      <c r="AU54">
        <v>168</v>
      </c>
      <c r="AV54">
        <v>0.97799999999999998</v>
      </c>
      <c r="AW54" s="1"/>
      <c r="AX54" s="47" t="s">
        <v>152</v>
      </c>
      <c r="AY54" s="47">
        <f t="shared" si="10"/>
        <v>29700</v>
      </c>
      <c r="AZ54" s="49">
        <f t="shared" si="11"/>
        <v>166234</v>
      </c>
      <c r="BA54" s="49">
        <f t="shared" ref="BA54" si="52">SUMIF($B$2:$B$571,$B54,$S$2:$S$571)</f>
        <v>15806</v>
      </c>
      <c r="BB54" s="48">
        <f t="shared" si="12"/>
        <v>9.5082835039763225E-2</v>
      </c>
    </row>
    <row r="55" spans="2:54" x14ac:dyDescent="0.2">
      <c r="B55" s="3">
        <v>2001</v>
      </c>
      <c r="C55" t="s">
        <v>84</v>
      </c>
      <c r="D55" t="s">
        <v>85</v>
      </c>
      <c r="E55">
        <v>4</v>
      </c>
      <c r="F55" t="s">
        <v>38</v>
      </c>
      <c r="G55" t="s">
        <v>38</v>
      </c>
      <c r="H55" t="s">
        <v>38</v>
      </c>
      <c r="I55" t="s">
        <v>38</v>
      </c>
      <c r="J55">
        <v>79</v>
      </c>
      <c r="K55">
        <v>83</v>
      </c>
      <c r="L55">
        <v>789</v>
      </c>
      <c r="M55" s="38">
        <v>5482</v>
      </c>
      <c r="N55" s="38">
        <v>1379</v>
      </c>
      <c r="O55" s="38">
        <f t="shared" si="0"/>
        <v>919</v>
      </c>
      <c r="P55" s="38">
        <v>273</v>
      </c>
      <c r="Q55" s="38">
        <v>26</v>
      </c>
      <c r="R55" s="38">
        <v>161</v>
      </c>
      <c r="S55" s="38">
        <v>678</v>
      </c>
      <c r="T55" s="38">
        <v>41</v>
      </c>
      <c r="U55" s="38">
        <f t="shared" si="1"/>
        <v>3384</v>
      </c>
      <c r="V55">
        <v>1273</v>
      </c>
      <c r="W55">
        <v>129</v>
      </c>
      <c r="X55">
        <v>44</v>
      </c>
      <c r="Y55">
        <v>48</v>
      </c>
      <c r="Z55">
        <v>812</v>
      </c>
      <c r="AA55">
        <v>724</v>
      </c>
      <c r="AB55">
        <v>4.5199999999999996</v>
      </c>
      <c r="AC55">
        <v>5</v>
      </c>
      <c r="AD55">
        <v>6</v>
      </c>
      <c r="AE55">
        <v>46</v>
      </c>
      <c r="AF55" s="45">
        <v>6278</v>
      </c>
      <c r="AG55" s="45">
        <f t="shared" ca="1" si="2"/>
        <v>1479</v>
      </c>
      <c r="AH55" s="45">
        <f t="shared" ca="1" si="3"/>
        <v>817</v>
      </c>
      <c r="AI55" s="45">
        <f t="shared" ca="1" si="4"/>
        <v>387</v>
      </c>
      <c r="AJ55" s="45">
        <f t="shared" ca="1" si="5"/>
        <v>47</v>
      </c>
      <c r="AK55" s="45">
        <f t="shared" ca="1" si="6"/>
        <v>228</v>
      </c>
      <c r="AL55" s="45">
        <f t="shared" ca="1" si="7"/>
        <v>456</v>
      </c>
      <c r="AM55" s="45">
        <f t="shared" ca="1" si="8"/>
        <v>88</v>
      </c>
      <c r="AN55" s="45">
        <f t="shared" ca="1" si="9"/>
        <v>4255</v>
      </c>
      <c r="AO55">
        <v>4322</v>
      </c>
      <c r="AP55">
        <v>1519</v>
      </c>
      <c r="AQ55">
        <v>219</v>
      </c>
      <c r="AR55">
        <v>476</v>
      </c>
      <c r="AS55">
        <v>1088</v>
      </c>
      <c r="AT55">
        <v>145</v>
      </c>
      <c r="AU55">
        <v>127</v>
      </c>
      <c r="AV55">
        <v>0.97599999999999998</v>
      </c>
      <c r="AW55" s="1"/>
      <c r="AX55" s="47" t="s">
        <v>153</v>
      </c>
      <c r="AY55" s="47">
        <f t="shared" si="10"/>
        <v>29700</v>
      </c>
      <c r="AZ55" s="49">
        <f t="shared" si="11"/>
        <v>166234</v>
      </c>
      <c r="BA55" s="49">
        <f t="shared" ref="BA55" si="53">SUMIF($B$2:$B$571,$B55,$T$2:$T$571)</f>
        <v>1890</v>
      </c>
      <c r="BB55" s="48">
        <f t="shared" si="12"/>
        <v>1.1369515261619164E-2</v>
      </c>
    </row>
    <row r="56" spans="2:54" x14ac:dyDescent="0.2">
      <c r="B56" s="3">
        <v>2001</v>
      </c>
      <c r="C56" t="s">
        <v>86</v>
      </c>
      <c r="D56" t="s">
        <v>87</v>
      </c>
      <c r="E56">
        <v>1</v>
      </c>
      <c r="F56" t="s">
        <v>43</v>
      </c>
      <c r="G56" t="s">
        <v>38</v>
      </c>
      <c r="H56" t="s">
        <v>38</v>
      </c>
      <c r="I56" t="s">
        <v>38</v>
      </c>
      <c r="J56">
        <v>116</v>
      </c>
      <c r="K56">
        <v>46</v>
      </c>
      <c r="L56">
        <v>927</v>
      </c>
      <c r="M56" s="38">
        <v>5680</v>
      </c>
      <c r="N56" s="38">
        <v>1637</v>
      </c>
      <c r="O56" s="38">
        <f t="shared" si="0"/>
        <v>1120</v>
      </c>
      <c r="P56" s="38">
        <v>310</v>
      </c>
      <c r="Q56" s="38">
        <v>38</v>
      </c>
      <c r="R56" s="38">
        <v>169</v>
      </c>
      <c r="S56" s="38">
        <v>614</v>
      </c>
      <c r="T56" s="38">
        <v>62</v>
      </c>
      <c r="U56" s="38">
        <f t="shared" si="1"/>
        <v>3367</v>
      </c>
      <c r="V56">
        <v>989</v>
      </c>
      <c r="W56">
        <v>174</v>
      </c>
      <c r="X56">
        <v>42</v>
      </c>
      <c r="Y56">
        <v>70</v>
      </c>
      <c r="Z56">
        <v>627</v>
      </c>
      <c r="AA56">
        <v>576</v>
      </c>
      <c r="AB56">
        <v>3.54</v>
      </c>
      <c r="AC56">
        <v>8</v>
      </c>
      <c r="AD56">
        <v>14</v>
      </c>
      <c r="AE56">
        <v>56</v>
      </c>
      <c r="AF56" s="45">
        <v>6096</v>
      </c>
      <c r="AG56" s="45">
        <f t="shared" ca="1" si="2"/>
        <v>1354</v>
      </c>
      <c r="AH56" s="45">
        <f t="shared" ca="1" si="3"/>
        <v>735</v>
      </c>
      <c r="AI56" s="45">
        <f t="shared" ca="1" si="4"/>
        <v>394</v>
      </c>
      <c r="AJ56" s="45">
        <f t="shared" ca="1" si="5"/>
        <v>31</v>
      </c>
      <c r="AK56" s="45">
        <f t="shared" ca="1" si="6"/>
        <v>194</v>
      </c>
      <c r="AL56" s="45">
        <f t="shared" ca="1" si="7"/>
        <v>624</v>
      </c>
      <c r="AM56" s="45">
        <f t="shared" ca="1" si="8"/>
        <v>35</v>
      </c>
      <c r="AN56" s="45">
        <f t="shared" ca="1" si="9"/>
        <v>4083</v>
      </c>
      <c r="AO56">
        <v>4395</v>
      </c>
      <c r="AP56">
        <v>1293</v>
      </c>
      <c r="AQ56">
        <v>160</v>
      </c>
      <c r="AR56">
        <v>465</v>
      </c>
      <c r="AS56">
        <v>1051</v>
      </c>
      <c r="AT56">
        <v>83</v>
      </c>
      <c r="AU56">
        <v>137</v>
      </c>
      <c r="AV56">
        <v>0.98599999999999999</v>
      </c>
      <c r="AW56" s="1"/>
      <c r="AX56" s="47" t="s">
        <v>154</v>
      </c>
      <c r="AY56" s="47">
        <f t="shared" si="10"/>
        <v>29700</v>
      </c>
      <c r="AZ56" s="49">
        <f t="shared" si="11"/>
        <v>166234</v>
      </c>
      <c r="BA56" s="49">
        <f t="shared" ref="BA56" si="54">SUMIF($B$2:$B$571,$B56,$U$2:$U$571)</f>
        <v>104659</v>
      </c>
      <c r="BB56" s="48">
        <f t="shared" si="12"/>
        <v>0.6295884115162963</v>
      </c>
    </row>
    <row r="57" spans="2:54" x14ac:dyDescent="0.2">
      <c r="B57" s="3">
        <v>2001</v>
      </c>
      <c r="C57" t="s">
        <v>88</v>
      </c>
      <c r="D57" t="s">
        <v>89</v>
      </c>
      <c r="E57">
        <v>2</v>
      </c>
      <c r="F57" t="s">
        <v>38</v>
      </c>
      <c r="G57" t="s">
        <v>38</v>
      </c>
      <c r="H57" t="s">
        <v>38</v>
      </c>
      <c r="I57" t="s">
        <v>38</v>
      </c>
      <c r="J57">
        <v>90</v>
      </c>
      <c r="K57">
        <v>72</v>
      </c>
      <c r="L57">
        <v>799</v>
      </c>
      <c r="M57" s="38">
        <v>5612</v>
      </c>
      <c r="N57" s="38">
        <v>1493</v>
      </c>
      <c r="O57" s="38">
        <f t="shared" si="0"/>
        <v>914</v>
      </c>
      <c r="P57" s="38">
        <v>304</v>
      </c>
      <c r="Q57" s="38">
        <v>40</v>
      </c>
      <c r="R57" s="38">
        <v>235</v>
      </c>
      <c r="S57" s="38">
        <v>625</v>
      </c>
      <c r="T57" s="38">
        <v>50</v>
      </c>
      <c r="U57" s="38">
        <f t="shared" si="1"/>
        <v>3444</v>
      </c>
      <c r="V57">
        <v>1090</v>
      </c>
      <c r="W57">
        <v>57</v>
      </c>
      <c r="X57">
        <v>42</v>
      </c>
      <c r="Y57">
        <v>54</v>
      </c>
      <c r="Z57">
        <v>748</v>
      </c>
      <c r="AA57">
        <v>680</v>
      </c>
      <c r="AB57">
        <v>4.18</v>
      </c>
      <c r="AC57">
        <v>3</v>
      </c>
      <c r="AD57">
        <v>8</v>
      </c>
      <c r="AE57">
        <v>47</v>
      </c>
      <c r="AF57" s="45">
        <v>6294</v>
      </c>
      <c r="AG57" s="45">
        <f t="shared" ca="1" si="2"/>
        <v>1368</v>
      </c>
      <c r="AH57" s="45">
        <f t="shared" ca="1" si="3"/>
        <v>942</v>
      </c>
      <c r="AI57" s="45">
        <f t="shared" ca="1" si="4"/>
        <v>269</v>
      </c>
      <c r="AJ57" s="45">
        <f t="shared" ca="1" si="5"/>
        <v>20</v>
      </c>
      <c r="AK57" s="45">
        <f t="shared" ca="1" si="6"/>
        <v>137</v>
      </c>
      <c r="AL57" s="45">
        <f t="shared" ca="1" si="7"/>
        <v>556</v>
      </c>
      <c r="AM57" s="45">
        <f t="shared" ca="1" si="8"/>
        <v>30</v>
      </c>
      <c r="AN57" s="45">
        <f t="shared" ca="1" si="9"/>
        <v>4340</v>
      </c>
      <c r="AO57">
        <v>4390</v>
      </c>
      <c r="AP57">
        <v>1437</v>
      </c>
      <c r="AQ57">
        <v>145</v>
      </c>
      <c r="AR57">
        <v>579</v>
      </c>
      <c r="AS57">
        <v>1080</v>
      </c>
      <c r="AT57">
        <v>118</v>
      </c>
      <c r="AU57">
        <v>170</v>
      </c>
      <c r="AV57">
        <v>0.98099999999999998</v>
      </c>
      <c r="AW57" s="1"/>
      <c r="AX57" s="47"/>
      <c r="AY57" s="47"/>
      <c r="AZ57" s="49"/>
      <c r="BA57" s="49"/>
      <c r="BB57" s="48"/>
    </row>
    <row r="58" spans="2:54" x14ac:dyDescent="0.2">
      <c r="B58" s="3">
        <v>2001</v>
      </c>
      <c r="C58" t="s">
        <v>90</v>
      </c>
      <c r="D58" t="s">
        <v>91</v>
      </c>
      <c r="E58">
        <v>2</v>
      </c>
      <c r="F58" t="s">
        <v>38</v>
      </c>
      <c r="G58" t="s">
        <v>43</v>
      </c>
      <c r="H58" t="s">
        <v>38</v>
      </c>
      <c r="I58" t="s">
        <v>38</v>
      </c>
      <c r="J58">
        <v>93</v>
      </c>
      <c r="K58">
        <v>69</v>
      </c>
      <c r="L58">
        <v>814</v>
      </c>
      <c r="M58" s="38">
        <v>5450</v>
      </c>
      <c r="N58" s="38">
        <v>1469</v>
      </c>
      <c r="O58" s="38">
        <f t="shared" si="0"/>
        <v>964</v>
      </c>
      <c r="P58" s="38">
        <v>274</v>
      </c>
      <c r="Q58" s="38">
        <v>32</v>
      </c>
      <c r="R58" s="38">
        <v>199</v>
      </c>
      <c r="S58" s="38">
        <v>529</v>
      </c>
      <c r="T58" s="38">
        <v>65</v>
      </c>
      <c r="U58" s="38">
        <f t="shared" si="1"/>
        <v>3387</v>
      </c>
      <c r="V58">
        <v>1089</v>
      </c>
      <c r="W58">
        <v>91</v>
      </c>
      <c r="X58">
        <v>35</v>
      </c>
      <c r="Y58">
        <v>50</v>
      </c>
      <c r="Z58">
        <v>684</v>
      </c>
      <c r="AA58">
        <v>627</v>
      </c>
      <c r="AB58">
        <v>3.93</v>
      </c>
      <c r="AC58">
        <v>8</v>
      </c>
      <c r="AD58">
        <v>11</v>
      </c>
      <c r="AE58">
        <v>38</v>
      </c>
      <c r="AF58" s="45">
        <v>6121</v>
      </c>
      <c r="AG58" s="45">
        <f t="shared" ca="1" si="2"/>
        <v>1559</v>
      </c>
      <c r="AH58" s="45">
        <f t="shared" ca="1" si="3"/>
        <v>1088</v>
      </c>
      <c r="AI58" s="45">
        <f t="shared" ca="1" si="4"/>
        <v>299</v>
      </c>
      <c r="AJ58" s="45">
        <f t="shared" ca="1" si="5"/>
        <v>33</v>
      </c>
      <c r="AK58" s="45">
        <f t="shared" ca="1" si="6"/>
        <v>139</v>
      </c>
      <c r="AL58" s="45">
        <f t="shared" ca="1" si="7"/>
        <v>481</v>
      </c>
      <c r="AM58" s="45">
        <f t="shared" ca="1" si="8"/>
        <v>46</v>
      </c>
      <c r="AN58" s="45">
        <f t="shared" ca="1" si="9"/>
        <v>4035</v>
      </c>
      <c r="AO58">
        <v>4306</v>
      </c>
      <c r="AP58">
        <v>1389</v>
      </c>
      <c r="AQ58">
        <v>196</v>
      </c>
      <c r="AR58">
        <v>526</v>
      </c>
      <c r="AS58">
        <v>1083</v>
      </c>
      <c r="AT58">
        <v>110</v>
      </c>
      <c r="AU58">
        <v>156</v>
      </c>
      <c r="AV58">
        <v>0.98199999999999998</v>
      </c>
      <c r="AW58" s="1">
        <v>2007</v>
      </c>
      <c r="AX58" s="47" t="s">
        <v>148</v>
      </c>
      <c r="AY58" s="47">
        <f t="shared" si="10"/>
        <v>29700</v>
      </c>
      <c r="AZ58" s="49">
        <f t="shared" si="11"/>
        <v>166234</v>
      </c>
      <c r="BA58" s="49">
        <f t="shared" ref="BA58" si="55">SUMIF($B$2:$B$571,$B58,$O$2:$O$571)</f>
        <v>28680</v>
      </c>
      <c r="BB58" s="48">
        <f t="shared" si="12"/>
        <v>0.17252788238266539</v>
      </c>
    </row>
    <row r="59" spans="2:54" x14ac:dyDescent="0.2">
      <c r="B59" s="3">
        <v>2001</v>
      </c>
      <c r="C59" t="s">
        <v>92</v>
      </c>
      <c r="D59" t="s">
        <v>93</v>
      </c>
      <c r="E59">
        <v>5</v>
      </c>
      <c r="F59" t="s">
        <v>38</v>
      </c>
      <c r="G59" t="s">
        <v>38</v>
      </c>
      <c r="H59" t="s">
        <v>38</v>
      </c>
      <c r="I59" t="s">
        <v>38</v>
      </c>
      <c r="J59">
        <v>62</v>
      </c>
      <c r="K59">
        <v>100</v>
      </c>
      <c r="L59">
        <v>672</v>
      </c>
      <c r="M59" s="38">
        <v>5524</v>
      </c>
      <c r="N59" s="38">
        <v>1426</v>
      </c>
      <c r="O59" s="38">
        <f t="shared" si="0"/>
        <v>973</v>
      </c>
      <c r="P59" s="38">
        <v>311</v>
      </c>
      <c r="Q59" s="38">
        <v>21</v>
      </c>
      <c r="R59" s="38">
        <v>121</v>
      </c>
      <c r="S59" s="38">
        <v>456</v>
      </c>
      <c r="T59" s="38">
        <v>54</v>
      </c>
      <c r="U59" s="38">
        <f t="shared" si="1"/>
        <v>3588</v>
      </c>
      <c r="V59">
        <v>1116</v>
      </c>
      <c r="W59">
        <v>115</v>
      </c>
      <c r="X59">
        <v>52</v>
      </c>
      <c r="Y59">
        <v>25</v>
      </c>
      <c r="Z59">
        <v>887</v>
      </c>
      <c r="AA59">
        <v>781</v>
      </c>
      <c r="AB59">
        <v>4.9400000000000004</v>
      </c>
      <c r="AC59">
        <v>1</v>
      </c>
      <c r="AD59">
        <v>6</v>
      </c>
      <c r="AE59">
        <v>30</v>
      </c>
      <c r="AF59" s="45">
        <v>6288</v>
      </c>
      <c r="AG59" s="45">
        <f t="shared" ca="1" si="2"/>
        <v>1342</v>
      </c>
      <c r="AH59" s="45">
        <f t="shared" ca="1" si="3"/>
        <v>858</v>
      </c>
      <c r="AI59" s="45">
        <f t="shared" ca="1" si="4"/>
        <v>278</v>
      </c>
      <c r="AJ59" s="45">
        <f t="shared" ca="1" si="5"/>
        <v>26</v>
      </c>
      <c r="AK59" s="45">
        <f t="shared" ca="1" si="6"/>
        <v>180</v>
      </c>
      <c r="AL59" s="45">
        <f t="shared" ca="1" si="7"/>
        <v>656</v>
      </c>
      <c r="AM59" s="45">
        <f t="shared" ca="1" si="8"/>
        <v>45</v>
      </c>
      <c r="AN59" s="45">
        <f t="shared" ca="1" si="9"/>
        <v>4245</v>
      </c>
      <c r="AO59">
        <v>4271</v>
      </c>
      <c r="AP59">
        <v>1513</v>
      </c>
      <c r="AQ59">
        <v>207</v>
      </c>
      <c r="AR59">
        <v>569</v>
      </c>
      <c r="AS59">
        <v>1030</v>
      </c>
      <c r="AT59">
        <v>139</v>
      </c>
      <c r="AU59">
        <v>144</v>
      </c>
      <c r="AV59">
        <v>0.97699999999999998</v>
      </c>
      <c r="AW59" s="1"/>
      <c r="AX59" s="47" t="s">
        <v>149</v>
      </c>
      <c r="AY59" s="47">
        <f t="shared" si="10"/>
        <v>29700</v>
      </c>
      <c r="AZ59" s="49">
        <f t="shared" si="11"/>
        <v>166234</v>
      </c>
      <c r="BA59" s="49">
        <f t="shared" ref="BA59" si="56">SUMIF($B$2:$B$571,$B59,$P$2:$P$571)</f>
        <v>8813</v>
      </c>
      <c r="BB59" s="48">
        <f t="shared" si="12"/>
        <v>5.3015628571772319E-2</v>
      </c>
    </row>
    <row r="60" spans="2:54" x14ac:dyDescent="0.2">
      <c r="B60" s="3">
        <v>2001</v>
      </c>
      <c r="C60" t="s">
        <v>94</v>
      </c>
      <c r="D60" t="s">
        <v>95</v>
      </c>
      <c r="E60">
        <v>4</v>
      </c>
      <c r="F60" t="s">
        <v>38</v>
      </c>
      <c r="G60" t="s">
        <v>38</v>
      </c>
      <c r="H60" t="s">
        <v>38</v>
      </c>
      <c r="I60" t="s">
        <v>38</v>
      </c>
      <c r="J60">
        <v>73</v>
      </c>
      <c r="K60">
        <v>89</v>
      </c>
      <c r="L60">
        <v>890</v>
      </c>
      <c r="M60" s="38">
        <v>5685</v>
      </c>
      <c r="N60" s="38">
        <v>1566</v>
      </c>
      <c r="O60" s="38">
        <f t="shared" si="0"/>
        <v>971</v>
      </c>
      <c r="P60" s="38">
        <v>326</v>
      </c>
      <c r="Q60" s="38">
        <v>23</v>
      </c>
      <c r="R60" s="38">
        <v>246</v>
      </c>
      <c r="S60" s="38">
        <v>548</v>
      </c>
      <c r="T60" s="38">
        <v>75</v>
      </c>
      <c r="U60" s="38">
        <f t="shared" si="1"/>
        <v>3496</v>
      </c>
      <c r="V60">
        <v>1093</v>
      </c>
      <c r="W60">
        <v>97</v>
      </c>
      <c r="X60">
        <v>32</v>
      </c>
      <c r="Y60">
        <v>55</v>
      </c>
      <c r="Z60">
        <v>968</v>
      </c>
      <c r="AA60">
        <v>913</v>
      </c>
      <c r="AB60">
        <v>5.71</v>
      </c>
      <c r="AC60">
        <v>4</v>
      </c>
      <c r="AD60">
        <v>3</v>
      </c>
      <c r="AE60">
        <v>37</v>
      </c>
      <c r="AF60" s="45">
        <v>6469</v>
      </c>
      <c r="AG60" s="45">
        <f t="shared" ca="1" si="2"/>
        <v>1634</v>
      </c>
      <c r="AH60" s="45">
        <f t="shared" ca="1" si="3"/>
        <v>1172</v>
      </c>
      <c r="AI60" s="45">
        <f t="shared" ca="1" si="4"/>
        <v>253</v>
      </c>
      <c r="AJ60" s="45">
        <f t="shared" ca="1" si="5"/>
        <v>21</v>
      </c>
      <c r="AK60" s="45">
        <f t="shared" ca="1" si="6"/>
        <v>188</v>
      </c>
      <c r="AL60" s="45">
        <f t="shared" ca="1" si="7"/>
        <v>475</v>
      </c>
      <c r="AM60" s="45">
        <f t="shared" ca="1" si="8"/>
        <v>71</v>
      </c>
      <c r="AN60" s="45">
        <f t="shared" ca="1" si="9"/>
        <v>4289</v>
      </c>
      <c r="AO60">
        <v>4315</v>
      </c>
      <c r="AP60">
        <v>1670</v>
      </c>
      <c r="AQ60">
        <v>222</v>
      </c>
      <c r="AR60">
        <v>596</v>
      </c>
      <c r="AS60">
        <v>951</v>
      </c>
      <c r="AT60">
        <v>114</v>
      </c>
      <c r="AU60">
        <v>167</v>
      </c>
      <c r="AV60">
        <v>0.98099999999999998</v>
      </c>
      <c r="AW60" s="1"/>
      <c r="AX60" s="47" t="s">
        <v>150</v>
      </c>
      <c r="AY60" s="47">
        <f t="shared" si="10"/>
        <v>29700</v>
      </c>
      <c r="AZ60" s="49">
        <f t="shared" si="11"/>
        <v>166234</v>
      </c>
      <c r="BA60" s="49">
        <f t="shared" ref="BA60" si="57">SUMIF($B$2:$B$571,$B60,$Q$2:$Q$571)</f>
        <v>928</v>
      </c>
      <c r="BB60" s="48">
        <f t="shared" si="12"/>
        <v>5.5824921496204147E-3</v>
      </c>
    </row>
    <row r="61" spans="2:54" x14ac:dyDescent="0.2">
      <c r="B61" s="3">
        <v>2001</v>
      </c>
      <c r="C61" t="s">
        <v>96</v>
      </c>
      <c r="D61" t="s">
        <v>97</v>
      </c>
      <c r="E61">
        <v>3</v>
      </c>
      <c r="F61" t="s">
        <v>38</v>
      </c>
      <c r="G61" t="s">
        <v>38</v>
      </c>
      <c r="H61" t="s">
        <v>38</v>
      </c>
      <c r="I61" t="s">
        <v>38</v>
      </c>
      <c r="J61">
        <v>80</v>
      </c>
      <c r="K61">
        <v>82</v>
      </c>
      <c r="L61">
        <v>767</v>
      </c>
      <c r="M61" s="38">
        <v>5663</v>
      </c>
      <c r="N61" s="38">
        <v>1489</v>
      </c>
      <c r="O61" s="38">
        <f t="shared" si="0"/>
        <v>971</v>
      </c>
      <c r="P61" s="38">
        <v>287</v>
      </c>
      <c r="Q61" s="38">
        <v>36</v>
      </c>
      <c r="R61" s="38">
        <v>195</v>
      </c>
      <c r="S61" s="38">
        <v>470</v>
      </c>
      <c r="T61" s="38">
        <v>74</v>
      </c>
      <c r="U61" s="38">
        <f t="shared" si="1"/>
        <v>3630</v>
      </c>
      <c r="V61">
        <v>1094</v>
      </c>
      <c r="W61">
        <v>156</v>
      </c>
      <c r="X61">
        <v>55</v>
      </c>
      <c r="Y61">
        <v>43</v>
      </c>
      <c r="Z61">
        <v>753</v>
      </c>
      <c r="AA61">
        <v>696</v>
      </c>
      <c r="AB61">
        <v>4.28</v>
      </c>
      <c r="AC61">
        <v>7</v>
      </c>
      <c r="AD61">
        <v>10</v>
      </c>
      <c r="AE61">
        <v>41</v>
      </c>
      <c r="AF61" s="45">
        <v>6305</v>
      </c>
      <c r="AG61" s="45">
        <f t="shared" ca="1" si="2"/>
        <v>1568</v>
      </c>
      <c r="AH61" s="45">
        <f t="shared" ca="1" si="3"/>
        <v>902</v>
      </c>
      <c r="AI61" s="45">
        <f t="shared" ca="1" si="4"/>
        <v>389</v>
      </c>
      <c r="AJ61" s="45">
        <f t="shared" ca="1" si="5"/>
        <v>40</v>
      </c>
      <c r="AK61" s="45">
        <f t="shared" ca="1" si="6"/>
        <v>237</v>
      </c>
      <c r="AL61" s="45">
        <f t="shared" ca="1" si="7"/>
        <v>614</v>
      </c>
      <c r="AM61" s="45">
        <f t="shared" ca="1" si="8"/>
        <v>70</v>
      </c>
      <c r="AN61" s="45">
        <f t="shared" ca="1" si="9"/>
        <v>4053</v>
      </c>
      <c r="AO61">
        <v>4388</v>
      </c>
      <c r="AP61">
        <v>1553</v>
      </c>
      <c r="AQ61">
        <v>165</v>
      </c>
      <c r="AR61">
        <v>490</v>
      </c>
      <c r="AS61">
        <v>1041</v>
      </c>
      <c r="AT61">
        <v>97</v>
      </c>
      <c r="AU61">
        <v>184</v>
      </c>
      <c r="AV61">
        <v>0.98499999999999999</v>
      </c>
      <c r="AW61" s="1"/>
      <c r="AX61" s="47" t="s">
        <v>151</v>
      </c>
      <c r="AY61" s="47">
        <f t="shared" si="10"/>
        <v>29700</v>
      </c>
      <c r="AZ61" s="49">
        <f t="shared" si="11"/>
        <v>166234</v>
      </c>
      <c r="BA61" s="49">
        <f t="shared" ref="BA61" si="58">SUMIF($B$2:$B$571,$B61,$R$2:$R$571)</f>
        <v>5458</v>
      </c>
      <c r="BB61" s="48">
        <f t="shared" si="12"/>
        <v>3.2833235078263169E-2</v>
      </c>
    </row>
    <row r="62" spans="2:54" x14ac:dyDescent="0.2">
      <c r="B62" s="50">
        <v>2002</v>
      </c>
      <c r="C62" t="s">
        <v>36</v>
      </c>
      <c r="D62" t="s">
        <v>37</v>
      </c>
      <c r="E62">
        <v>2</v>
      </c>
      <c r="F62" t="s">
        <v>38</v>
      </c>
      <c r="G62" t="s">
        <v>43</v>
      </c>
      <c r="H62" t="s">
        <v>43</v>
      </c>
      <c r="I62" t="s">
        <v>43</v>
      </c>
      <c r="J62">
        <v>99</v>
      </c>
      <c r="K62">
        <v>63</v>
      </c>
      <c r="L62">
        <v>851</v>
      </c>
      <c r="M62" s="38">
        <v>5678</v>
      </c>
      <c r="N62" s="38">
        <v>1603</v>
      </c>
      <c r="O62" s="38">
        <f t="shared" si="0"/>
        <v>1086</v>
      </c>
      <c r="P62" s="38">
        <v>333</v>
      </c>
      <c r="Q62" s="38">
        <v>32</v>
      </c>
      <c r="R62" s="38">
        <v>152</v>
      </c>
      <c r="S62" s="38">
        <v>462</v>
      </c>
      <c r="T62" s="38">
        <v>74</v>
      </c>
      <c r="U62" s="38">
        <f t="shared" si="1"/>
        <v>3539</v>
      </c>
      <c r="V62">
        <v>805</v>
      </c>
      <c r="W62">
        <v>117</v>
      </c>
      <c r="X62">
        <v>51</v>
      </c>
      <c r="Y62">
        <v>64</v>
      </c>
      <c r="Z62">
        <v>644</v>
      </c>
      <c r="AA62">
        <v>595</v>
      </c>
      <c r="AB62">
        <v>3.69</v>
      </c>
      <c r="AC62">
        <v>7</v>
      </c>
      <c r="AD62">
        <v>14</v>
      </c>
      <c r="AE62">
        <v>54</v>
      </c>
      <c r="AF62" s="45">
        <v>6097</v>
      </c>
      <c r="AG62" s="45">
        <f t="shared" ca="1" si="2"/>
        <v>1610</v>
      </c>
      <c r="AH62" s="45">
        <f t="shared" ca="1" si="3"/>
        <v>1106</v>
      </c>
      <c r="AI62" s="45">
        <f t="shared" ca="1" si="4"/>
        <v>251</v>
      </c>
      <c r="AJ62" s="45">
        <f t="shared" ca="1" si="5"/>
        <v>49</v>
      </c>
      <c r="AK62" s="45">
        <f t="shared" ca="1" si="6"/>
        <v>204</v>
      </c>
      <c r="AL62" s="45">
        <f t="shared" ca="1" si="7"/>
        <v>615</v>
      </c>
      <c r="AM62" s="45">
        <f t="shared" ca="1" si="8"/>
        <v>36</v>
      </c>
      <c r="AN62" s="45">
        <f t="shared" ca="1" si="9"/>
        <v>3836</v>
      </c>
      <c r="AO62">
        <v>4357</v>
      </c>
      <c r="AP62">
        <v>1345</v>
      </c>
      <c r="AQ62">
        <v>169</v>
      </c>
      <c r="AR62">
        <v>509</v>
      </c>
      <c r="AS62">
        <v>999</v>
      </c>
      <c r="AT62">
        <v>87</v>
      </c>
      <c r="AU62">
        <v>151</v>
      </c>
      <c r="AV62">
        <v>0.98599999999999999</v>
      </c>
      <c r="AW62" s="1"/>
      <c r="AX62" s="47" t="s">
        <v>152</v>
      </c>
      <c r="AY62" s="47">
        <f t="shared" si="10"/>
        <v>29700</v>
      </c>
      <c r="AZ62" s="49">
        <f t="shared" si="11"/>
        <v>165582</v>
      </c>
      <c r="BA62" s="49">
        <f t="shared" ref="BA62" si="59">SUMIF($B$2:$B$571,$B62,$S$2:$S$571)</f>
        <v>16246</v>
      </c>
      <c r="BB62" s="48">
        <f t="shared" si="12"/>
        <v>9.8114529357055724E-2</v>
      </c>
    </row>
    <row r="63" spans="2:54" x14ac:dyDescent="0.2">
      <c r="B63" s="3">
        <v>2002</v>
      </c>
      <c r="C63" t="s">
        <v>39</v>
      </c>
      <c r="D63" t="s">
        <v>40</v>
      </c>
      <c r="E63">
        <v>1</v>
      </c>
      <c r="F63" t="s">
        <v>43</v>
      </c>
      <c r="G63" t="s">
        <v>38</v>
      </c>
      <c r="H63" t="s">
        <v>38</v>
      </c>
      <c r="I63" t="s">
        <v>38</v>
      </c>
      <c r="J63">
        <v>98</v>
      </c>
      <c r="K63">
        <v>64</v>
      </c>
      <c r="L63">
        <v>819</v>
      </c>
      <c r="M63" s="38">
        <v>5508</v>
      </c>
      <c r="N63" s="38">
        <v>1471</v>
      </c>
      <c r="O63" s="38">
        <f t="shared" si="0"/>
        <v>982</v>
      </c>
      <c r="P63" s="38">
        <v>283</v>
      </c>
      <c r="Q63" s="38">
        <v>41</v>
      </c>
      <c r="R63" s="38">
        <v>165</v>
      </c>
      <c r="S63" s="38">
        <v>643</v>
      </c>
      <c r="T63" s="38">
        <v>50</v>
      </c>
      <c r="U63" s="38">
        <f t="shared" si="1"/>
        <v>3344</v>
      </c>
      <c r="V63">
        <v>1016</v>
      </c>
      <c r="W63">
        <v>92</v>
      </c>
      <c r="X63">
        <v>46</v>
      </c>
      <c r="Y63">
        <v>53</v>
      </c>
      <c r="Z63">
        <v>674</v>
      </c>
      <c r="AA63">
        <v>630</v>
      </c>
      <c r="AB63">
        <v>3.92</v>
      </c>
      <c r="AC63">
        <v>14</v>
      </c>
      <c r="AD63">
        <v>10</v>
      </c>
      <c r="AE63">
        <v>40</v>
      </c>
      <c r="AF63" s="45">
        <f t="shared" ref="AF63:AF117" ca="1" si="60">RANDBETWEEN(6049,6490)</f>
        <v>6051</v>
      </c>
      <c r="AG63" s="45">
        <f t="shared" ca="1" si="2"/>
        <v>1365</v>
      </c>
      <c r="AH63" s="45">
        <f t="shared" ca="1" si="3"/>
        <v>816</v>
      </c>
      <c r="AI63" s="45">
        <f t="shared" ca="1" si="4"/>
        <v>330</v>
      </c>
      <c r="AJ63" s="45">
        <f t="shared" ca="1" si="5"/>
        <v>32</v>
      </c>
      <c r="AK63" s="45">
        <f t="shared" ca="1" si="6"/>
        <v>187</v>
      </c>
      <c r="AL63" s="45">
        <f t="shared" ca="1" si="7"/>
        <v>484</v>
      </c>
      <c r="AM63" s="45">
        <f t="shared" ca="1" si="8"/>
        <v>81</v>
      </c>
      <c r="AN63" s="45">
        <f t="shared" ca="1" si="9"/>
        <v>4121</v>
      </c>
      <c r="AO63">
        <v>4340</v>
      </c>
      <c r="AP63">
        <v>1361</v>
      </c>
      <c r="AQ63">
        <v>170</v>
      </c>
      <c r="AR63">
        <v>421</v>
      </c>
      <c r="AS63">
        <v>1303</v>
      </c>
      <c r="AT63">
        <v>89</v>
      </c>
      <c r="AU63">
        <v>116</v>
      </c>
      <c r="AV63">
        <v>0.98499999999999999</v>
      </c>
      <c r="AW63" s="1"/>
      <c r="AX63" s="47" t="s">
        <v>153</v>
      </c>
      <c r="AY63" s="47">
        <f t="shared" si="10"/>
        <v>29700</v>
      </c>
      <c r="AZ63" s="49">
        <f t="shared" si="11"/>
        <v>165582</v>
      </c>
      <c r="BA63" s="49">
        <f t="shared" ref="BA63" si="61">SUMIF($B$2:$B$571,$B63,$T$2:$T$571)</f>
        <v>1746</v>
      </c>
      <c r="BB63" s="48">
        <f t="shared" si="12"/>
        <v>1.0544624415697359E-2</v>
      </c>
    </row>
    <row r="64" spans="2:54" x14ac:dyDescent="0.2">
      <c r="B64" s="3">
        <v>2002</v>
      </c>
      <c r="C64" t="s">
        <v>41</v>
      </c>
      <c r="D64" t="s">
        <v>42</v>
      </c>
      <c r="E64">
        <v>1</v>
      </c>
      <c r="F64" t="s">
        <v>43</v>
      </c>
      <c r="G64" t="s">
        <v>38</v>
      </c>
      <c r="H64" t="s">
        <v>38</v>
      </c>
      <c r="I64" t="s">
        <v>38</v>
      </c>
      <c r="J64">
        <v>101</v>
      </c>
      <c r="K64">
        <v>59</v>
      </c>
      <c r="L64">
        <v>708</v>
      </c>
      <c r="M64" s="38">
        <v>5495</v>
      </c>
      <c r="N64" s="38">
        <v>1428</v>
      </c>
      <c r="O64" s="38">
        <f t="shared" si="0"/>
        <v>959</v>
      </c>
      <c r="P64" s="38">
        <v>280</v>
      </c>
      <c r="Q64" s="38">
        <v>25</v>
      </c>
      <c r="R64" s="38">
        <v>164</v>
      </c>
      <c r="S64" s="38">
        <v>558</v>
      </c>
      <c r="T64" s="38">
        <v>54</v>
      </c>
      <c r="U64" s="38">
        <f t="shared" si="1"/>
        <v>3455</v>
      </c>
      <c r="V64">
        <v>1028</v>
      </c>
      <c r="W64">
        <v>76</v>
      </c>
      <c r="X64">
        <v>39</v>
      </c>
      <c r="Y64">
        <v>49</v>
      </c>
      <c r="Z64">
        <v>565</v>
      </c>
      <c r="AA64">
        <v>511</v>
      </c>
      <c r="AB64">
        <v>3.13</v>
      </c>
      <c r="AC64">
        <v>3</v>
      </c>
      <c r="AD64">
        <v>15</v>
      </c>
      <c r="AE64">
        <v>57</v>
      </c>
      <c r="AF64" s="45">
        <f t="shared" ca="1" si="60"/>
        <v>6097</v>
      </c>
      <c r="AG64" s="45">
        <f t="shared" ca="1" si="2"/>
        <v>1396</v>
      </c>
      <c r="AH64" s="45">
        <f t="shared" ca="1" si="3"/>
        <v>933</v>
      </c>
      <c r="AI64" s="45">
        <f t="shared" ca="1" si="4"/>
        <v>255</v>
      </c>
      <c r="AJ64" s="45">
        <f t="shared" ca="1" si="5"/>
        <v>40</v>
      </c>
      <c r="AK64" s="45">
        <f t="shared" ca="1" si="6"/>
        <v>168</v>
      </c>
      <c r="AL64" s="45">
        <f t="shared" ca="1" si="7"/>
        <v>681</v>
      </c>
      <c r="AM64" s="45">
        <f t="shared" ca="1" si="8"/>
        <v>90</v>
      </c>
      <c r="AN64" s="45">
        <f t="shared" ca="1" si="9"/>
        <v>3930</v>
      </c>
      <c r="AO64">
        <v>4402</v>
      </c>
      <c r="AP64">
        <v>1302</v>
      </c>
      <c r="AQ64">
        <v>123</v>
      </c>
      <c r="AR64">
        <v>554</v>
      </c>
      <c r="AS64">
        <v>1058</v>
      </c>
      <c r="AT64">
        <v>114</v>
      </c>
      <c r="AU64">
        <v>170</v>
      </c>
      <c r="AV64">
        <v>0.98199999999999998</v>
      </c>
      <c r="AW64" s="1"/>
      <c r="AX64" s="47" t="s">
        <v>154</v>
      </c>
      <c r="AY64" s="47">
        <f t="shared" si="10"/>
        <v>29700</v>
      </c>
      <c r="AZ64" s="49">
        <f t="shared" si="11"/>
        <v>165582</v>
      </c>
      <c r="BA64" s="49">
        <f t="shared" ref="BA64" si="62">SUMIF($B$2:$B$571,$B64,$U$2:$U$571)</f>
        <v>104318</v>
      </c>
      <c r="BB64" s="48">
        <f t="shared" si="12"/>
        <v>0.63000809266707736</v>
      </c>
    </row>
    <row r="65" spans="2:54" x14ac:dyDescent="0.2">
      <c r="B65" s="3">
        <v>2002</v>
      </c>
      <c r="C65" t="s">
        <v>44</v>
      </c>
      <c r="D65" t="s">
        <v>45</v>
      </c>
      <c r="E65">
        <v>4</v>
      </c>
      <c r="F65" t="s">
        <v>38</v>
      </c>
      <c r="G65" t="s">
        <v>38</v>
      </c>
      <c r="H65" t="s">
        <v>38</v>
      </c>
      <c r="I65" t="s">
        <v>38</v>
      </c>
      <c r="J65">
        <v>67</v>
      </c>
      <c r="K65">
        <v>95</v>
      </c>
      <c r="L65">
        <v>667</v>
      </c>
      <c r="M65" s="38">
        <v>5491</v>
      </c>
      <c r="N65" s="38">
        <v>1353</v>
      </c>
      <c r="O65" s="38">
        <f t="shared" si="0"/>
        <v>850</v>
      </c>
      <c r="P65" s="38">
        <v>311</v>
      </c>
      <c r="Q65" s="38">
        <v>27</v>
      </c>
      <c r="R65" s="38">
        <v>165</v>
      </c>
      <c r="S65" s="38">
        <v>452</v>
      </c>
      <c r="T65" s="38">
        <v>64</v>
      </c>
      <c r="U65" s="38">
        <f t="shared" si="1"/>
        <v>3622</v>
      </c>
      <c r="V65">
        <v>993</v>
      </c>
      <c r="W65">
        <v>110</v>
      </c>
      <c r="X65">
        <v>48</v>
      </c>
      <c r="Y65">
        <v>49</v>
      </c>
      <c r="Z65">
        <v>773</v>
      </c>
      <c r="AA65">
        <v>719</v>
      </c>
      <c r="AB65">
        <v>4.46</v>
      </c>
      <c r="AC65">
        <v>8</v>
      </c>
      <c r="AD65">
        <v>3</v>
      </c>
      <c r="AE65">
        <v>31</v>
      </c>
      <c r="AF65" s="45">
        <f t="shared" ca="1" si="60"/>
        <v>6440</v>
      </c>
      <c r="AG65" s="45">
        <f t="shared" ca="1" si="2"/>
        <v>1543</v>
      </c>
      <c r="AH65" s="45">
        <f t="shared" ca="1" si="3"/>
        <v>970</v>
      </c>
      <c r="AI65" s="45">
        <f t="shared" ca="1" si="4"/>
        <v>338</v>
      </c>
      <c r="AJ65" s="45">
        <f t="shared" ca="1" si="5"/>
        <v>40</v>
      </c>
      <c r="AK65" s="45">
        <f t="shared" ca="1" si="6"/>
        <v>195</v>
      </c>
      <c r="AL65" s="45">
        <f t="shared" ca="1" si="7"/>
        <v>585</v>
      </c>
      <c r="AM65" s="45">
        <f t="shared" ca="1" si="8"/>
        <v>70</v>
      </c>
      <c r="AN65" s="45">
        <f t="shared" ca="1" si="9"/>
        <v>4242</v>
      </c>
      <c r="AO65">
        <v>4352</v>
      </c>
      <c r="AP65">
        <v>1491</v>
      </c>
      <c r="AQ65">
        <v>208</v>
      </c>
      <c r="AR65">
        <v>549</v>
      </c>
      <c r="AS65">
        <v>967</v>
      </c>
      <c r="AT65">
        <v>91</v>
      </c>
      <c r="AU65">
        <v>173</v>
      </c>
      <c r="AV65">
        <v>0.98499999999999999</v>
      </c>
      <c r="AW65" s="1"/>
      <c r="AX65" s="47" t="s">
        <v>155</v>
      </c>
      <c r="AY65" s="47">
        <f t="shared" si="10"/>
        <v>29700</v>
      </c>
      <c r="AZ65" s="49">
        <f t="shared" si="11"/>
        <v>165582</v>
      </c>
      <c r="BA65" s="49"/>
      <c r="BB65" s="48">
        <f t="shared" si="12"/>
        <v>0</v>
      </c>
    </row>
    <row r="66" spans="2:54" x14ac:dyDescent="0.2">
      <c r="B66" s="3">
        <v>2002</v>
      </c>
      <c r="C66" t="s">
        <v>46</v>
      </c>
      <c r="D66" t="s">
        <v>47</v>
      </c>
      <c r="E66">
        <v>2</v>
      </c>
      <c r="F66" t="s">
        <v>38</v>
      </c>
      <c r="G66" t="s">
        <v>38</v>
      </c>
      <c r="H66" t="s">
        <v>38</v>
      </c>
      <c r="I66" t="s">
        <v>38</v>
      </c>
      <c r="J66">
        <v>93</v>
      </c>
      <c r="K66">
        <v>69</v>
      </c>
      <c r="L66">
        <v>859</v>
      </c>
      <c r="M66" s="38">
        <v>5640</v>
      </c>
      <c r="N66" s="38">
        <v>1560</v>
      </c>
      <c r="O66" s="38">
        <f t="shared" si="0"/>
        <v>1002</v>
      </c>
      <c r="P66" s="38">
        <v>348</v>
      </c>
      <c r="Q66" s="38">
        <v>33</v>
      </c>
      <c r="R66" s="38">
        <v>177</v>
      </c>
      <c r="S66" s="38">
        <v>545</v>
      </c>
      <c r="T66" s="38">
        <v>72</v>
      </c>
      <c r="U66" s="38">
        <f t="shared" si="1"/>
        <v>3463</v>
      </c>
      <c r="V66">
        <v>944</v>
      </c>
      <c r="W66">
        <v>80</v>
      </c>
      <c r="X66">
        <v>28</v>
      </c>
      <c r="Y66">
        <v>53</v>
      </c>
      <c r="Z66">
        <v>665</v>
      </c>
      <c r="AA66">
        <v>603</v>
      </c>
      <c r="AB66">
        <v>3.75</v>
      </c>
      <c r="AC66">
        <v>5</v>
      </c>
      <c r="AD66">
        <v>17</v>
      </c>
      <c r="AE66">
        <v>51</v>
      </c>
      <c r="AF66" s="45">
        <f t="shared" ca="1" si="60"/>
        <v>6192</v>
      </c>
      <c r="AG66" s="45">
        <f t="shared" ca="1" si="2"/>
        <v>1528</v>
      </c>
      <c r="AH66" s="45">
        <f t="shared" ca="1" si="3"/>
        <v>947</v>
      </c>
      <c r="AI66" s="45">
        <f t="shared" ca="1" si="4"/>
        <v>304</v>
      </c>
      <c r="AJ66" s="45">
        <f t="shared" ca="1" si="5"/>
        <v>45</v>
      </c>
      <c r="AK66" s="45">
        <f t="shared" ca="1" si="6"/>
        <v>232</v>
      </c>
      <c r="AL66" s="45">
        <f t="shared" ca="1" si="7"/>
        <v>406</v>
      </c>
      <c r="AM66" s="45">
        <f t="shared" ca="1" si="8"/>
        <v>72</v>
      </c>
      <c r="AN66" s="45">
        <f t="shared" ca="1" si="9"/>
        <v>4186</v>
      </c>
      <c r="AO66">
        <v>4338</v>
      </c>
      <c r="AP66">
        <v>1339</v>
      </c>
      <c r="AQ66">
        <v>146</v>
      </c>
      <c r="AR66">
        <v>430</v>
      </c>
      <c r="AS66">
        <v>1157</v>
      </c>
      <c r="AT66">
        <v>104</v>
      </c>
      <c r="AU66">
        <v>140</v>
      </c>
      <c r="AV66">
        <v>0.98299999999999998</v>
      </c>
      <c r="AW66" s="1">
        <v>2008</v>
      </c>
      <c r="AX66" s="47" t="s">
        <v>148</v>
      </c>
      <c r="AY66" s="47">
        <f t="shared" si="10"/>
        <v>29700</v>
      </c>
      <c r="AZ66" s="49">
        <f t="shared" si="11"/>
        <v>165582</v>
      </c>
      <c r="BA66" s="49">
        <f t="shared" ref="BA66" si="63">SUMIF($B$2:$B$571,$B66,$O$2:$O$571)</f>
        <v>28592</v>
      </c>
      <c r="BB66" s="48">
        <f t="shared" si="12"/>
        <v>0.17267577393678057</v>
      </c>
    </row>
    <row r="67" spans="2:54" x14ac:dyDescent="0.2">
      <c r="B67" s="3">
        <v>2002</v>
      </c>
      <c r="C67" t="s">
        <v>48</v>
      </c>
      <c r="D67" t="s">
        <v>49</v>
      </c>
      <c r="E67">
        <v>2</v>
      </c>
      <c r="F67" t="s">
        <v>38</v>
      </c>
      <c r="G67" t="s">
        <v>38</v>
      </c>
      <c r="H67" t="s">
        <v>38</v>
      </c>
      <c r="I67" t="s">
        <v>38</v>
      </c>
      <c r="J67">
        <v>81</v>
      </c>
      <c r="K67">
        <v>81</v>
      </c>
      <c r="L67">
        <v>856</v>
      </c>
      <c r="M67" s="38">
        <v>5502</v>
      </c>
      <c r="N67" s="38">
        <v>1475</v>
      </c>
      <c r="O67" s="38">
        <f t="shared" ref="O67:O130" si="64">N67-(P67+Q67+R67)</f>
        <v>940</v>
      </c>
      <c r="P67" s="38">
        <v>289</v>
      </c>
      <c r="Q67" s="38">
        <v>29</v>
      </c>
      <c r="R67" s="38">
        <v>217</v>
      </c>
      <c r="S67" s="38">
        <v>555</v>
      </c>
      <c r="T67" s="38">
        <v>49</v>
      </c>
      <c r="U67" s="38">
        <f t="shared" ref="U67:U130" si="65">M67-(N67+S67+T67)</f>
        <v>3423</v>
      </c>
      <c r="V67">
        <v>952</v>
      </c>
      <c r="W67">
        <v>75</v>
      </c>
      <c r="X67">
        <v>31</v>
      </c>
      <c r="Y67">
        <v>53</v>
      </c>
      <c r="Z67">
        <v>798</v>
      </c>
      <c r="AA67">
        <v>716</v>
      </c>
      <c r="AB67">
        <v>4.53</v>
      </c>
      <c r="AC67">
        <v>7</v>
      </c>
      <c r="AD67">
        <v>7</v>
      </c>
      <c r="AE67">
        <v>35</v>
      </c>
      <c r="AF67" s="45">
        <f t="shared" ca="1" si="60"/>
        <v>6087</v>
      </c>
      <c r="AG67" s="45">
        <f t="shared" ref="AG67:AG130" ca="1" si="66">RANDBETWEEN(1300,1700)</f>
        <v>1419</v>
      </c>
      <c r="AH67" s="45">
        <f t="shared" ref="AH67:AH130" ca="1" si="67">AG67-(AI67+AJ67+AK67)</f>
        <v>862</v>
      </c>
      <c r="AI67" s="45">
        <f t="shared" ref="AI67:AI130" ca="1" si="68">RANDBETWEEN(219,400)</f>
        <v>297</v>
      </c>
      <c r="AJ67" s="45">
        <f t="shared" ref="AJ67:AJ130" ca="1" si="69">RANDBETWEEN(20,50)</f>
        <v>47</v>
      </c>
      <c r="AK67" s="45">
        <f t="shared" ref="AK67:AK130" ca="1" si="70">RANDBETWEEN(130,240)</f>
        <v>213</v>
      </c>
      <c r="AL67" s="45">
        <f t="shared" ref="AL67:AL130" ca="1" si="71">RANDBETWEEN(400,700)</f>
        <v>594</v>
      </c>
      <c r="AM67" s="45">
        <f t="shared" ref="AM67:AM130" ca="1" si="72">RANDBETWEEN(30,90)</f>
        <v>44</v>
      </c>
      <c r="AN67" s="45">
        <f t="shared" ref="AN67:AN130" ca="1" si="73">AF67-(AG67+AL67+AM67)</f>
        <v>4030</v>
      </c>
      <c r="AO67">
        <v>4269</v>
      </c>
      <c r="AP67">
        <v>1422</v>
      </c>
      <c r="AQ67">
        <v>190</v>
      </c>
      <c r="AR67">
        <v>528</v>
      </c>
      <c r="AS67">
        <v>945</v>
      </c>
      <c r="AT67">
        <v>97</v>
      </c>
      <c r="AU67">
        <v>157</v>
      </c>
      <c r="AV67">
        <v>0.98399999999999999</v>
      </c>
      <c r="AW67" s="1"/>
      <c r="AX67" s="47" t="s">
        <v>149</v>
      </c>
      <c r="AY67" s="47">
        <f t="shared" ref="AY67:AY130" si="74">SUM(O$2:O$31)</f>
        <v>29700</v>
      </c>
      <c r="AZ67" s="49">
        <f t="shared" ref="AZ67:AZ130" si="75">SUMIF($B$2:$B$571,$B67,$M$2:$M$571)</f>
        <v>165582</v>
      </c>
      <c r="BA67" s="49">
        <f t="shared" ref="BA67" si="76">SUMIF($B$2:$B$571,$B67,$P$2:$P$571)</f>
        <v>8700</v>
      </c>
      <c r="BB67" s="48">
        <f t="shared" ref="BB67:BB130" si="77">BA67/AZ67</f>
        <v>5.2541942964815014E-2</v>
      </c>
    </row>
    <row r="68" spans="2:54" x14ac:dyDescent="0.2">
      <c r="B68" s="3">
        <v>2002</v>
      </c>
      <c r="C68" t="s">
        <v>50</v>
      </c>
      <c r="D68" t="s">
        <v>51</v>
      </c>
      <c r="E68">
        <v>5</v>
      </c>
      <c r="F68" t="s">
        <v>38</v>
      </c>
      <c r="G68" t="s">
        <v>38</v>
      </c>
      <c r="H68" t="s">
        <v>38</v>
      </c>
      <c r="I68" t="s">
        <v>38</v>
      </c>
      <c r="J68">
        <v>67</v>
      </c>
      <c r="K68">
        <v>95</v>
      </c>
      <c r="L68">
        <v>706</v>
      </c>
      <c r="M68" s="38">
        <v>5496</v>
      </c>
      <c r="N68" s="38">
        <v>1351</v>
      </c>
      <c r="O68" s="38">
        <f t="shared" si="64"/>
        <v>863</v>
      </c>
      <c r="P68" s="38">
        <v>259</v>
      </c>
      <c r="Q68" s="38">
        <v>29</v>
      </c>
      <c r="R68" s="38">
        <v>200</v>
      </c>
      <c r="S68" s="38">
        <v>585</v>
      </c>
      <c r="T68" s="38">
        <v>44</v>
      </c>
      <c r="U68" s="38">
        <f t="shared" si="65"/>
        <v>3516</v>
      </c>
      <c r="V68">
        <v>1269</v>
      </c>
      <c r="W68">
        <v>63</v>
      </c>
      <c r="X68">
        <v>21</v>
      </c>
      <c r="Y68">
        <v>39</v>
      </c>
      <c r="Z68">
        <v>759</v>
      </c>
      <c r="AA68">
        <v>687</v>
      </c>
      <c r="AB68">
        <v>4.29</v>
      </c>
      <c r="AC68">
        <v>11</v>
      </c>
      <c r="AD68">
        <v>9</v>
      </c>
      <c r="AE68">
        <v>23</v>
      </c>
      <c r="AF68" s="45">
        <f t="shared" ca="1" si="60"/>
        <v>6310</v>
      </c>
      <c r="AG68" s="45">
        <f t="shared" ca="1" si="66"/>
        <v>1547</v>
      </c>
      <c r="AH68" s="45">
        <f t="shared" ca="1" si="67"/>
        <v>1104</v>
      </c>
      <c r="AI68" s="45">
        <f t="shared" ca="1" si="68"/>
        <v>278</v>
      </c>
      <c r="AJ68" s="45">
        <f t="shared" ca="1" si="69"/>
        <v>34</v>
      </c>
      <c r="AK68" s="45">
        <f t="shared" ca="1" si="70"/>
        <v>131</v>
      </c>
      <c r="AL68" s="45">
        <f t="shared" ca="1" si="71"/>
        <v>440</v>
      </c>
      <c r="AM68" s="45">
        <f t="shared" ca="1" si="72"/>
        <v>57</v>
      </c>
      <c r="AN68" s="45">
        <f t="shared" ca="1" si="73"/>
        <v>4266</v>
      </c>
      <c r="AO68">
        <v>4324</v>
      </c>
      <c r="AP68">
        <v>1373</v>
      </c>
      <c r="AQ68">
        <v>167</v>
      </c>
      <c r="AR68">
        <v>606</v>
      </c>
      <c r="AS68">
        <v>1333</v>
      </c>
      <c r="AT68">
        <v>114</v>
      </c>
      <c r="AU68">
        <v>144</v>
      </c>
      <c r="AV68">
        <v>0.98099999999999998</v>
      </c>
      <c r="AW68" s="1"/>
      <c r="AX68" s="47" t="s">
        <v>150</v>
      </c>
      <c r="AY68" s="47">
        <f t="shared" si="74"/>
        <v>29700</v>
      </c>
      <c r="AZ68" s="49">
        <f t="shared" si="75"/>
        <v>165582</v>
      </c>
      <c r="BA68" s="49">
        <f t="shared" ref="BA68" si="78">SUMIF($B$2:$B$571,$B68,$Q$2:$Q$571)</f>
        <v>921</v>
      </c>
      <c r="BB68" s="48">
        <f t="shared" si="77"/>
        <v>5.5621987897235209E-3</v>
      </c>
    </row>
    <row r="69" spans="2:54" x14ac:dyDescent="0.2">
      <c r="B69" s="3">
        <v>2002</v>
      </c>
      <c r="C69" t="s">
        <v>52</v>
      </c>
      <c r="D69" t="s">
        <v>53</v>
      </c>
      <c r="E69">
        <v>3</v>
      </c>
      <c r="F69" t="s">
        <v>38</v>
      </c>
      <c r="G69" t="s">
        <v>38</v>
      </c>
      <c r="H69" t="s">
        <v>38</v>
      </c>
      <c r="I69" t="s">
        <v>38</v>
      </c>
      <c r="J69">
        <v>78</v>
      </c>
      <c r="K69">
        <v>84</v>
      </c>
      <c r="L69">
        <v>709</v>
      </c>
      <c r="M69" s="38">
        <v>5470</v>
      </c>
      <c r="N69" s="38">
        <v>1386</v>
      </c>
      <c r="O69" s="38">
        <f t="shared" si="64"/>
        <v>899</v>
      </c>
      <c r="P69" s="38">
        <v>297</v>
      </c>
      <c r="Q69" s="38">
        <v>21</v>
      </c>
      <c r="R69" s="38">
        <v>169</v>
      </c>
      <c r="S69" s="38">
        <v>583</v>
      </c>
      <c r="T69" s="38">
        <v>66</v>
      </c>
      <c r="U69" s="38">
        <f t="shared" si="65"/>
        <v>3435</v>
      </c>
      <c r="V69">
        <v>1188</v>
      </c>
      <c r="W69">
        <v>116</v>
      </c>
      <c r="X69">
        <v>52</v>
      </c>
      <c r="Y69">
        <v>40</v>
      </c>
      <c r="Z69">
        <v>774</v>
      </c>
      <c r="AA69">
        <v>690</v>
      </c>
      <c r="AB69">
        <v>4.2699999999999996</v>
      </c>
      <c r="AC69">
        <v>2</v>
      </c>
      <c r="AD69">
        <v>8</v>
      </c>
      <c r="AE69">
        <v>42</v>
      </c>
      <c r="AF69" s="45">
        <f t="shared" ca="1" si="60"/>
        <v>6272</v>
      </c>
      <c r="AG69" s="45">
        <f t="shared" ca="1" si="66"/>
        <v>1479</v>
      </c>
      <c r="AH69" s="45">
        <f t="shared" ca="1" si="67"/>
        <v>989</v>
      </c>
      <c r="AI69" s="45">
        <f t="shared" ca="1" si="68"/>
        <v>269</v>
      </c>
      <c r="AJ69" s="45">
        <f t="shared" ca="1" si="69"/>
        <v>30</v>
      </c>
      <c r="AK69" s="45">
        <f t="shared" ca="1" si="70"/>
        <v>191</v>
      </c>
      <c r="AL69" s="45">
        <f t="shared" ca="1" si="71"/>
        <v>646</v>
      </c>
      <c r="AM69" s="45">
        <f t="shared" ca="1" si="72"/>
        <v>80</v>
      </c>
      <c r="AN69" s="45">
        <f t="shared" ca="1" si="73"/>
        <v>4067</v>
      </c>
      <c r="AO69">
        <v>4361</v>
      </c>
      <c r="AP69">
        <v>1502</v>
      </c>
      <c r="AQ69">
        <v>173</v>
      </c>
      <c r="AR69">
        <v>550</v>
      </c>
      <c r="AS69">
        <v>980</v>
      </c>
      <c r="AT69">
        <v>120</v>
      </c>
      <c r="AU69">
        <v>169</v>
      </c>
      <c r="AV69">
        <v>0.98099999999999998</v>
      </c>
      <c r="AW69" s="1"/>
      <c r="AX69" s="47" t="s">
        <v>151</v>
      </c>
      <c r="AY69" s="47">
        <f t="shared" si="74"/>
        <v>29700</v>
      </c>
      <c r="AZ69" s="49">
        <f t="shared" si="75"/>
        <v>165582</v>
      </c>
      <c r="BA69" s="49">
        <f t="shared" ref="BA69" si="79">SUMIF($B$2:$B$571,$B69,$R$2:$R$571)</f>
        <v>5059</v>
      </c>
      <c r="BB69" s="48">
        <f t="shared" si="77"/>
        <v>3.0552837868850481E-2</v>
      </c>
    </row>
    <row r="70" spans="2:54" x14ac:dyDescent="0.2">
      <c r="B70" s="3">
        <v>2002</v>
      </c>
      <c r="C70" t="s">
        <v>54</v>
      </c>
      <c r="D70" t="s">
        <v>55</v>
      </c>
      <c r="E70">
        <v>3</v>
      </c>
      <c r="F70" t="s">
        <v>38</v>
      </c>
      <c r="G70" t="s">
        <v>38</v>
      </c>
      <c r="H70" t="s">
        <v>38</v>
      </c>
      <c r="I70" t="s">
        <v>38</v>
      </c>
      <c r="J70">
        <v>74</v>
      </c>
      <c r="K70">
        <v>88</v>
      </c>
      <c r="L70">
        <v>739</v>
      </c>
      <c r="M70" s="38">
        <v>5423</v>
      </c>
      <c r="N70" s="38">
        <v>1349</v>
      </c>
      <c r="O70" s="38">
        <f t="shared" si="64"/>
        <v>876</v>
      </c>
      <c r="P70" s="38">
        <v>255</v>
      </c>
      <c r="Q70" s="38">
        <v>26</v>
      </c>
      <c r="R70" s="38">
        <v>192</v>
      </c>
      <c r="S70" s="38">
        <v>542</v>
      </c>
      <c r="T70" s="38">
        <v>56</v>
      </c>
      <c r="U70" s="38">
        <f t="shared" si="65"/>
        <v>3476</v>
      </c>
      <c r="V70">
        <v>1000</v>
      </c>
      <c r="W70">
        <v>52</v>
      </c>
      <c r="X70">
        <v>37</v>
      </c>
      <c r="Y70">
        <v>39</v>
      </c>
      <c r="Z70">
        <v>837</v>
      </c>
      <c r="AA70">
        <v>777</v>
      </c>
      <c r="AB70">
        <v>4.91</v>
      </c>
      <c r="AC70">
        <v>9</v>
      </c>
      <c r="AD70">
        <v>4</v>
      </c>
      <c r="AE70">
        <v>34</v>
      </c>
      <c r="AF70" s="45">
        <f t="shared" ca="1" si="60"/>
        <v>6394</v>
      </c>
      <c r="AG70" s="45">
        <f t="shared" ca="1" si="66"/>
        <v>1363</v>
      </c>
      <c r="AH70" s="45">
        <f t="shared" ca="1" si="67"/>
        <v>743</v>
      </c>
      <c r="AI70" s="45">
        <f t="shared" ca="1" si="68"/>
        <v>350</v>
      </c>
      <c r="AJ70" s="45">
        <f t="shared" ca="1" si="69"/>
        <v>31</v>
      </c>
      <c r="AK70" s="45">
        <f t="shared" ca="1" si="70"/>
        <v>239</v>
      </c>
      <c r="AL70" s="45">
        <f t="shared" ca="1" si="71"/>
        <v>687</v>
      </c>
      <c r="AM70" s="45">
        <f t="shared" ca="1" si="72"/>
        <v>46</v>
      </c>
      <c r="AN70" s="45">
        <f t="shared" ca="1" si="73"/>
        <v>4298</v>
      </c>
      <c r="AO70">
        <v>4274</v>
      </c>
      <c r="AP70">
        <v>1508</v>
      </c>
      <c r="AQ70">
        <v>142</v>
      </c>
      <c r="AR70">
        <v>603</v>
      </c>
      <c r="AS70">
        <v>1058</v>
      </c>
      <c r="AT70">
        <v>113</v>
      </c>
      <c r="AU70">
        <v>161</v>
      </c>
      <c r="AV70">
        <v>0.98099999999999998</v>
      </c>
      <c r="AW70" s="1"/>
      <c r="AX70" s="47" t="s">
        <v>152</v>
      </c>
      <c r="AY70" s="47">
        <f t="shared" si="74"/>
        <v>29700</v>
      </c>
      <c r="AZ70" s="49">
        <f t="shared" si="75"/>
        <v>165582</v>
      </c>
      <c r="BA70" s="49">
        <f t="shared" ref="BA70" si="80">SUMIF($B$2:$B$571,$B70,$S$2:$S$571)</f>
        <v>16246</v>
      </c>
      <c r="BB70" s="48">
        <f t="shared" si="77"/>
        <v>9.8114529357055724E-2</v>
      </c>
    </row>
    <row r="71" spans="2:54" x14ac:dyDescent="0.2">
      <c r="B71" s="3">
        <v>2002</v>
      </c>
      <c r="C71" t="s">
        <v>56</v>
      </c>
      <c r="D71" t="s">
        <v>57</v>
      </c>
      <c r="E71">
        <v>4</v>
      </c>
      <c r="F71" t="s">
        <v>38</v>
      </c>
      <c r="G71" t="s">
        <v>38</v>
      </c>
      <c r="H71" t="s">
        <v>38</v>
      </c>
      <c r="I71" t="s">
        <v>38</v>
      </c>
      <c r="J71">
        <v>73</v>
      </c>
      <c r="K71">
        <v>89</v>
      </c>
      <c r="L71">
        <v>778</v>
      </c>
      <c r="M71" s="38">
        <v>5512</v>
      </c>
      <c r="N71" s="38">
        <v>1508</v>
      </c>
      <c r="O71" s="38">
        <f t="shared" si="64"/>
        <v>1032</v>
      </c>
      <c r="P71" s="38">
        <v>283</v>
      </c>
      <c r="Q71" s="38">
        <v>41</v>
      </c>
      <c r="R71" s="38">
        <v>152</v>
      </c>
      <c r="S71" s="38">
        <v>497</v>
      </c>
      <c r="T71" s="38">
        <v>56</v>
      </c>
      <c r="U71" s="38">
        <f t="shared" si="65"/>
        <v>3451</v>
      </c>
      <c r="V71">
        <v>1043</v>
      </c>
      <c r="W71">
        <v>103</v>
      </c>
      <c r="X71">
        <v>53</v>
      </c>
      <c r="Y71">
        <v>50</v>
      </c>
      <c r="Z71">
        <v>898</v>
      </c>
      <c r="AA71">
        <v>825</v>
      </c>
      <c r="AB71">
        <v>5.2</v>
      </c>
      <c r="AC71">
        <v>1</v>
      </c>
      <c r="AD71">
        <v>8</v>
      </c>
      <c r="AE71">
        <v>43</v>
      </c>
      <c r="AF71" s="45">
        <f t="shared" ca="1" si="60"/>
        <v>6402</v>
      </c>
      <c r="AG71" s="45">
        <f t="shared" ca="1" si="66"/>
        <v>1448</v>
      </c>
      <c r="AH71" s="45">
        <f t="shared" ca="1" si="67"/>
        <v>905</v>
      </c>
      <c r="AI71" s="45">
        <f t="shared" ca="1" si="68"/>
        <v>362</v>
      </c>
      <c r="AJ71" s="45">
        <f t="shared" ca="1" si="69"/>
        <v>50</v>
      </c>
      <c r="AK71" s="45">
        <f t="shared" ca="1" si="70"/>
        <v>131</v>
      </c>
      <c r="AL71" s="45">
        <f t="shared" ca="1" si="71"/>
        <v>449</v>
      </c>
      <c r="AM71" s="45">
        <f t="shared" ca="1" si="72"/>
        <v>41</v>
      </c>
      <c r="AN71" s="45">
        <f t="shared" ca="1" si="73"/>
        <v>4464</v>
      </c>
      <c r="AO71">
        <v>4280</v>
      </c>
      <c r="AP71">
        <v>1554</v>
      </c>
      <c r="AQ71">
        <v>225</v>
      </c>
      <c r="AR71">
        <v>582</v>
      </c>
      <c r="AS71">
        <v>920</v>
      </c>
      <c r="AT71">
        <v>112</v>
      </c>
      <c r="AU71">
        <v>158</v>
      </c>
      <c r="AV71">
        <v>0.98199999999999998</v>
      </c>
      <c r="AW71" s="1"/>
      <c r="AX71" s="47" t="s">
        <v>153</v>
      </c>
      <c r="AY71" s="47">
        <f t="shared" si="74"/>
        <v>29700</v>
      </c>
      <c r="AZ71" s="49">
        <f t="shared" si="75"/>
        <v>165582</v>
      </c>
      <c r="BA71" s="49">
        <f t="shared" ref="BA71" si="81">SUMIF($B$2:$B$571,$B71,$T$2:$T$571)</f>
        <v>1746</v>
      </c>
      <c r="BB71" s="48">
        <f t="shared" si="77"/>
        <v>1.0544624415697359E-2</v>
      </c>
    </row>
    <row r="72" spans="2:54" x14ac:dyDescent="0.2">
      <c r="B72" s="3">
        <v>2002</v>
      </c>
      <c r="C72" t="s">
        <v>58</v>
      </c>
      <c r="D72" t="s">
        <v>59</v>
      </c>
      <c r="E72">
        <v>5</v>
      </c>
      <c r="F72" t="s">
        <v>38</v>
      </c>
      <c r="G72" t="s">
        <v>38</v>
      </c>
      <c r="H72" t="s">
        <v>38</v>
      </c>
      <c r="I72" t="s">
        <v>38</v>
      </c>
      <c r="J72">
        <v>55</v>
      </c>
      <c r="K72">
        <v>106</v>
      </c>
      <c r="L72">
        <v>575</v>
      </c>
      <c r="M72" s="38">
        <v>5406</v>
      </c>
      <c r="N72" s="38">
        <v>1340</v>
      </c>
      <c r="O72" s="38">
        <f t="shared" si="64"/>
        <v>914</v>
      </c>
      <c r="P72" s="38">
        <v>265</v>
      </c>
      <c r="Q72" s="38">
        <v>37</v>
      </c>
      <c r="R72" s="38">
        <v>124</v>
      </c>
      <c r="S72" s="38">
        <v>363</v>
      </c>
      <c r="T72" s="38">
        <v>64</v>
      </c>
      <c r="U72" s="38">
        <f t="shared" si="65"/>
        <v>3639</v>
      </c>
      <c r="V72">
        <v>1035</v>
      </c>
      <c r="W72">
        <v>65</v>
      </c>
      <c r="X72">
        <v>44</v>
      </c>
      <c r="Y72">
        <v>57</v>
      </c>
      <c r="Z72">
        <v>864</v>
      </c>
      <c r="AA72">
        <v>773</v>
      </c>
      <c r="AB72">
        <v>4.92</v>
      </c>
      <c r="AC72">
        <v>11</v>
      </c>
      <c r="AD72">
        <v>7</v>
      </c>
      <c r="AE72">
        <v>33</v>
      </c>
      <c r="AF72" s="45">
        <f t="shared" ca="1" si="60"/>
        <v>6091</v>
      </c>
      <c r="AG72" s="45">
        <f t="shared" ca="1" si="66"/>
        <v>1528</v>
      </c>
      <c r="AH72" s="45">
        <f t="shared" ca="1" si="67"/>
        <v>1016</v>
      </c>
      <c r="AI72" s="45">
        <f t="shared" ca="1" si="68"/>
        <v>315</v>
      </c>
      <c r="AJ72" s="45">
        <f t="shared" ca="1" si="69"/>
        <v>39</v>
      </c>
      <c r="AK72" s="45">
        <f t="shared" ca="1" si="70"/>
        <v>158</v>
      </c>
      <c r="AL72" s="45">
        <f t="shared" ca="1" si="71"/>
        <v>553</v>
      </c>
      <c r="AM72" s="45">
        <f t="shared" ca="1" si="72"/>
        <v>30</v>
      </c>
      <c r="AN72" s="45">
        <f t="shared" ca="1" si="73"/>
        <v>3980</v>
      </c>
      <c r="AO72">
        <v>4242</v>
      </c>
      <c r="AP72">
        <v>1593</v>
      </c>
      <c r="AQ72">
        <v>163</v>
      </c>
      <c r="AR72">
        <v>463</v>
      </c>
      <c r="AS72">
        <v>794</v>
      </c>
      <c r="AT72">
        <v>142</v>
      </c>
      <c r="AU72">
        <v>148</v>
      </c>
      <c r="AV72">
        <v>0.97699999999999998</v>
      </c>
      <c r="AW72" s="1"/>
      <c r="AX72" s="47" t="s">
        <v>154</v>
      </c>
      <c r="AY72" s="47">
        <f t="shared" si="74"/>
        <v>29700</v>
      </c>
      <c r="AZ72" s="49">
        <f t="shared" si="75"/>
        <v>165582</v>
      </c>
      <c r="BA72" s="49">
        <f t="shared" ref="BA72" si="82">SUMIF($B$2:$B$571,$B72,$U$2:$U$571)</f>
        <v>104318</v>
      </c>
      <c r="BB72" s="48">
        <f t="shared" si="77"/>
        <v>0.63000809266707736</v>
      </c>
    </row>
    <row r="73" spans="2:54" x14ac:dyDescent="0.2">
      <c r="B73" s="3">
        <v>2002</v>
      </c>
      <c r="C73" t="s">
        <v>60</v>
      </c>
      <c r="D73" t="s">
        <v>61</v>
      </c>
      <c r="E73">
        <v>4</v>
      </c>
      <c r="F73" t="s">
        <v>38</v>
      </c>
      <c r="G73" t="s">
        <v>38</v>
      </c>
      <c r="H73" t="s">
        <v>38</v>
      </c>
      <c r="I73" t="s">
        <v>38</v>
      </c>
      <c r="J73">
        <v>79</v>
      </c>
      <c r="K73">
        <v>83</v>
      </c>
      <c r="L73">
        <v>699</v>
      </c>
      <c r="M73" s="38">
        <v>5496</v>
      </c>
      <c r="N73" s="38">
        <v>1433</v>
      </c>
      <c r="O73" s="38">
        <f t="shared" si="64"/>
        <v>975</v>
      </c>
      <c r="P73" s="38">
        <v>280</v>
      </c>
      <c r="Q73" s="38">
        <v>32</v>
      </c>
      <c r="R73" s="38">
        <v>146</v>
      </c>
      <c r="S73" s="38">
        <v>595</v>
      </c>
      <c r="T73" s="38">
        <v>61</v>
      </c>
      <c r="U73" s="38">
        <f t="shared" si="65"/>
        <v>3407</v>
      </c>
      <c r="V73">
        <v>1130</v>
      </c>
      <c r="W73">
        <v>177</v>
      </c>
      <c r="X73">
        <v>73</v>
      </c>
      <c r="Y73">
        <v>49</v>
      </c>
      <c r="Z73">
        <v>763</v>
      </c>
      <c r="AA73">
        <v>706</v>
      </c>
      <c r="AB73">
        <v>4.3600000000000003</v>
      </c>
      <c r="AC73">
        <v>11</v>
      </c>
      <c r="AD73">
        <v>12</v>
      </c>
      <c r="AE73">
        <v>36</v>
      </c>
      <c r="AF73" s="45">
        <f t="shared" ca="1" si="60"/>
        <v>6276</v>
      </c>
      <c r="AG73" s="45">
        <f t="shared" ca="1" si="66"/>
        <v>1637</v>
      </c>
      <c r="AH73" s="45">
        <f t="shared" ca="1" si="67"/>
        <v>1112</v>
      </c>
      <c r="AI73" s="45">
        <f t="shared" ca="1" si="68"/>
        <v>284</v>
      </c>
      <c r="AJ73" s="45">
        <f t="shared" ca="1" si="69"/>
        <v>41</v>
      </c>
      <c r="AK73" s="45">
        <f t="shared" ca="1" si="70"/>
        <v>200</v>
      </c>
      <c r="AL73" s="45">
        <f t="shared" ca="1" si="71"/>
        <v>591</v>
      </c>
      <c r="AM73" s="45">
        <f t="shared" ca="1" si="72"/>
        <v>72</v>
      </c>
      <c r="AN73" s="45">
        <f t="shared" ca="1" si="73"/>
        <v>3976</v>
      </c>
      <c r="AO73">
        <v>4369</v>
      </c>
      <c r="AP73">
        <v>1449</v>
      </c>
      <c r="AQ73">
        <v>151</v>
      </c>
      <c r="AR73">
        <v>631</v>
      </c>
      <c r="AS73">
        <v>1104</v>
      </c>
      <c r="AT73">
        <v>106</v>
      </c>
      <c r="AU73">
        <v>163</v>
      </c>
      <c r="AV73">
        <v>0.98299999999999998</v>
      </c>
      <c r="AW73" s="1"/>
      <c r="AX73" s="47"/>
      <c r="AY73" s="47"/>
      <c r="AZ73" s="49"/>
      <c r="BA73" s="49"/>
      <c r="BB73" s="48"/>
    </row>
    <row r="74" spans="2:54" x14ac:dyDescent="0.2">
      <c r="B74" s="3">
        <v>2002</v>
      </c>
      <c r="C74" t="s">
        <v>62</v>
      </c>
      <c r="D74" t="s">
        <v>63</v>
      </c>
      <c r="E74">
        <v>2</v>
      </c>
      <c r="F74" t="s">
        <v>38</v>
      </c>
      <c r="G74" t="s">
        <v>38</v>
      </c>
      <c r="H74" t="s">
        <v>38</v>
      </c>
      <c r="I74" t="s">
        <v>38</v>
      </c>
      <c r="J74">
        <v>84</v>
      </c>
      <c r="K74">
        <v>78</v>
      </c>
      <c r="L74">
        <v>749</v>
      </c>
      <c r="M74" s="38">
        <v>5503</v>
      </c>
      <c r="N74" s="38">
        <v>1441</v>
      </c>
      <c r="O74" s="38">
        <f t="shared" si="64"/>
        <v>951</v>
      </c>
      <c r="P74" s="38">
        <v>291</v>
      </c>
      <c r="Q74" s="38">
        <v>32</v>
      </c>
      <c r="R74" s="38">
        <v>167</v>
      </c>
      <c r="S74" s="38">
        <v>589</v>
      </c>
      <c r="T74" s="38">
        <v>59</v>
      </c>
      <c r="U74" s="38">
        <f t="shared" si="65"/>
        <v>3414</v>
      </c>
      <c r="V74">
        <v>1120</v>
      </c>
      <c r="W74">
        <v>71</v>
      </c>
      <c r="X74">
        <v>27</v>
      </c>
      <c r="Y74">
        <v>37</v>
      </c>
      <c r="Z74">
        <v>695</v>
      </c>
      <c r="AA74">
        <v>642</v>
      </c>
      <c r="AB74">
        <v>4</v>
      </c>
      <c r="AC74">
        <v>2</v>
      </c>
      <c r="AD74">
        <v>11</v>
      </c>
      <c r="AE74">
        <v>43</v>
      </c>
      <c r="AF74" s="45">
        <f t="shared" ca="1" si="60"/>
        <v>6189</v>
      </c>
      <c r="AG74" s="45">
        <f t="shared" ca="1" si="66"/>
        <v>1534</v>
      </c>
      <c r="AH74" s="45">
        <f t="shared" ca="1" si="67"/>
        <v>1046</v>
      </c>
      <c r="AI74" s="45">
        <f t="shared" ca="1" si="68"/>
        <v>249</v>
      </c>
      <c r="AJ74" s="45">
        <f t="shared" ca="1" si="69"/>
        <v>37</v>
      </c>
      <c r="AK74" s="45">
        <f t="shared" ca="1" si="70"/>
        <v>202</v>
      </c>
      <c r="AL74" s="45">
        <f t="shared" ca="1" si="71"/>
        <v>513</v>
      </c>
      <c r="AM74" s="45">
        <f t="shared" ca="1" si="72"/>
        <v>30</v>
      </c>
      <c r="AN74" s="45">
        <f t="shared" ca="1" si="73"/>
        <v>4112</v>
      </c>
      <c r="AO74">
        <v>4335</v>
      </c>
      <c r="AP74">
        <v>1423</v>
      </c>
      <c r="AQ74">
        <v>151</v>
      </c>
      <c r="AR74">
        <v>546</v>
      </c>
      <c r="AS74">
        <v>1219</v>
      </c>
      <c r="AT74">
        <v>83</v>
      </c>
      <c r="AU74">
        <v>149</v>
      </c>
      <c r="AV74">
        <v>0.98599999999999999</v>
      </c>
      <c r="AW74" s="1">
        <v>2009</v>
      </c>
      <c r="AX74" s="47" t="s">
        <v>148</v>
      </c>
      <c r="AY74" s="47">
        <f t="shared" si="74"/>
        <v>29700</v>
      </c>
      <c r="AZ74" s="49">
        <f t="shared" si="75"/>
        <v>165582</v>
      </c>
      <c r="BA74" s="49">
        <f t="shared" ref="BA74" si="83">SUMIF($B$2:$B$571,$B74,$O$2:$O$571)</f>
        <v>28592</v>
      </c>
      <c r="BB74" s="48">
        <f t="shared" si="77"/>
        <v>0.17267577393678057</v>
      </c>
    </row>
    <row r="75" spans="2:54" x14ac:dyDescent="0.2">
      <c r="B75" s="3">
        <v>2002</v>
      </c>
      <c r="C75" t="s">
        <v>64</v>
      </c>
      <c r="D75" t="s">
        <v>65</v>
      </c>
      <c r="E75">
        <v>4</v>
      </c>
      <c r="F75" t="s">
        <v>38</v>
      </c>
      <c r="G75" t="s">
        <v>38</v>
      </c>
      <c r="H75" t="s">
        <v>38</v>
      </c>
      <c r="I75" t="s">
        <v>38</v>
      </c>
      <c r="J75">
        <v>62</v>
      </c>
      <c r="K75">
        <v>100</v>
      </c>
      <c r="L75">
        <v>737</v>
      </c>
      <c r="M75" s="38">
        <v>5535</v>
      </c>
      <c r="N75" s="38">
        <v>1415</v>
      </c>
      <c r="O75" s="38">
        <f t="shared" si="64"/>
        <v>948</v>
      </c>
      <c r="P75" s="38">
        <v>285</v>
      </c>
      <c r="Q75" s="38">
        <v>42</v>
      </c>
      <c r="R75" s="38">
        <v>140</v>
      </c>
      <c r="S75" s="38">
        <v>524</v>
      </c>
      <c r="T75" s="38">
        <v>52</v>
      </c>
      <c r="U75" s="38">
        <f t="shared" si="65"/>
        <v>3544</v>
      </c>
      <c r="V75">
        <v>921</v>
      </c>
      <c r="W75">
        <v>140</v>
      </c>
      <c r="X75">
        <v>65</v>
      </c>
      <c r="Y75">
        <v>51</v>
      </c>
      <c r="Z75">
        <v>891</v>
      </c>
      <c r="AA75">
        <v>834</v>
      </c>
      <c r="AB75">
        <v>5.21</v>
      </c>
      <c r="AC75">
        <v>12</v>
      </c>
      <c r="AD75">
        <v>6</v>
      </c>
      <c r="AE75">
        <v>30</v>
      </c>
      <c r="AF75" s="45">
        <f t="shared" ca="1" si="60"/>
        <v>6464</v>
      </c>
      <c r="AG75" s="45">
        <f t="shared" ca="1" si="66"/>
        <v>1515</v>
      </c>
      <c r="AH75" s="45">
        <f t="shared" ca="1" si="67"/>
        <v>972</v>
      </c>
      <c r="AI75" s="45">
        <f t="shared" ca="1" si="68"/>
        <v>286</v>
      </c>
      <c r="AJ75" s="45">
        <f t="shared" ca="1" si="69"/>
        <v>24</v>
      </c>
      <c r="AK75" s="45">
        <f t="shared" ca="1" si="70"/>
        <v>233</v>
      </c>
      <c r="AL75" s="45">
        <f t="shared" ca="1" si="71"/>
        <v>543</v>
      </c>
      <c r="AM75" s="45">
        <f t="shared" ca="1" si="72"/>
        <v>50</v>
      </c>
      <c r="AN75" s="45">
        <f t="shared" ca="1" si="73"/>
        <v>4356</v>
      </c>
      <c r="AO75">
        <v>4323</v>
      </c>
      <c r="AP75">
        <v>1587</v>
      </c>
      <c r="AQ75">
        <v>212</v>
      </c>
      <c r="AR75">
        <v>572</v>
      </c>
      <c r="AS75">
        <v>909</v>
      </c>
      <c r="AT75">
        <v>130</v>
      </c>
      <c r="AU75">
        <v>153</v>
      </c>
      <c r="AV75">
        <v>0.97899999999999998</v>
      </c>
      <c r="AW75" s="1"/>
      <c r="AX75" s="47" t="s">
        <v>149</v>
      </c>
      <c r="AY75" s="47">
        <f t="shared" si="74"/>
        <v>29700</v>
      </c>
      <c r="AZ75" s="49">
        <f t="shared" si="75"/>
        <v>165582</v>
      </c>
      <c r="BA75" s="49">
        <f t="shared" ref="BA75" si="84">SUMIF($B$2:$B$571,$B75,$P$2:$P$571)</f>
        <v>8700</v>
      </c>
      <c r="BB75" s="48">
        <f t="shared" si="77"/>
        <v>5.2541942964815014E-2</v>
      </c>
    </row>
    <row r="76" spans="2:54" x14ac:dyDescent="0.2">
      <c r="B76" s="3">
        <v>2002</v>
      </c>
      <c r="C76" t="s">
        <v>66</v>
      </c>
      <c r="D76" t="s">
        <v>67</v>
      </c>
      <c r="E76">
        <v>3</v>
      </c>
      <c r="F76" t="s">
        <v>38</v>
      </c>
      <c r="G76" t="s">
        <v>38</v>
      </c>
      <c r="H76" t="s">
        <v>38</v>
      </c>
      <c r="I76" t="s">
        <v>38</v>
      </c>
      <c r="J76">
        <v>92</v>
      </c>
      <c r="K76">
        <v>70</v>
      </c>
      <c r="L76">
        <v>713</v>
      </c>
      <c r="M76" s="38">
        <v>5554</v>
      </c>
      <c r="N76" s="38">
        <v>1464</v>
      </c>
      <c r="O76" s="38">
        <f t="shared" si="64"/>
        <v>994</v>
      </c>
      <c r="P76" s="38">
        <v>286</v>
      </c>
      <c r="Q76" s="38">
        <v>29</v>
      </c>
      <c r="R76" s="38">
        <v>155</v>
      </c>
      <c r="S76" s="38">
        <v>428</v>
      </c>
      <c r="T76" s="38">
        <v>53</v>
      </c>
      <c r="U76" s="38">
        <f t="shared" si="65"/>
        <v>3609</v>
      </c>
      <c r="V76">
        <v>940</v>
      </c>
      <c r="W76">
        <v>96</v>
      </c>
      <c r="X76">
        <v>37</v>
      </c>
      <c r="Y76">
        <v>44</v>
      </c>
      <c r="Z76">
        <v>643</v>
      </c>
      <c r="AA76">
        <v>598</v>
      </c>
      <c r="AB76">
        <v>3.69</v>
      </c>
      <c r="AC76">
        <v>4</v>
      </c>
      <c r="AD76">
        <v>15</v>
      </c>
      <c r="AE76">
        <v>56</v>
      </c>
      <c r="AF76" s="45">
        <f t="shared" ca="1" si="60"/>
        <v>6275</v>
      </c>
      <c r="AG76" s="45">
        <f t="shared" ca="1" si="66"/>
        <v>1383</v>
      </c>
      <c r="AH76" s="45">
        <f t="shared" ca="1" si="67"/>
        <v>770</v>
      </c>
      <c r="AI76" s="45">
        <f t="shared" ca="1" si="68"/>
        <v>366</v>
      </c>
      <c r="AJ76" s="45">
        <f t="shared" ca="1" si="69"/>
        <v>46</v>
      </c>
      <c r="AK76" s="45">
        <f t="shared" ca="1" si="70"/>
        <v>201</v>
      </c>
      <c r="AL76" s="45">
        <f t="shared" ca="1" si="71"/>
        <v>589</v>
      </c>
      <c r="AM76" s="45">
        <f t="shared" ca="1" si="72"/>
        <v>66</v>
      </c>
      <c r="AN76" s="45">
        <f t="shared" ca="1" si="73"/>
        <v>4237</v>
      </c>
      <c r="AO76">
        <v>4373</v>
      </c>
      <c r="AP76">
        <v>1311</v>
      </c>
      <c r="AQ76">
        <v>165</v>
      </c>
      <c r="AR76">
        <v>555</v>
      </c>
      <c r="AS76">
        <v>1132</v>
      </c>
      <c r="AT76">
        <v>90</v>
      </c>
      <c r="AU76">
        <v>134</v>
      </c>
      <c r="AV76">
        <v>0.98499999999999999</v>
      </c>
      <c r="AW76" s="1"/>
      <c r="AX76" s="47" t="s">
        <v>150</v>
      </c>
      <c r="AY76" s="47">
        <f t="shared" si="74"/>
        <v>29700</v>
      </c>
      <c r="AZ76" s="49">
        <f t="shared" si="75"/>
        <v>165582</v>
      </c>
      <c r="BA76" s="49">
        <f t="shared" ref="BA76" si="85">SUMIF($B$2:$B$571,$B76,$Q$2:$Q$571)</f>
        <v>921</v>
      </c>
      <c r="BB76" s="48">
        <f t="shared" si="77"/>
        <v>5.5621987897235209E-3</v>
      </c>
    </row>
    <row r="77" spans="2:54" x14ac:dyDescent="0.2">
      <c r="B77" s="3">
        <v>2002</v>
      </c>
      <c r="C77" t="s">
        <v>68</v>
      </c>
      <c r="D77" t="s">
        <v>69</v>
      </c>
      <c r="E77">
        <v>6</v>
      </c>
      <c r="F77" t="s">
        <v>38</v>
      </c>
      <c r="G77" t="s">
        <v>38</v>
      </c>
      <c r="H77" t="s">
        <v>38</v>
      </c>
      <c r="I77" t="s">
        <v>38</v>
      </c>
      <c r="J77">
        <v>56</v>
      </c>
      <c r="K77">
        <v>106</v>
      </c>
      <c r="L77">
        <v>627</v>
      </c>
      <c r="M77" s="38">
        <v>5415</v>
      </c>
      <c r="N77" s="38">
        <v>1369</v>
      </c>
      <c r="O77" s="38">
        <f t="shared" si="64"/>
        <v>932</v>
      </c>
      <c r="P77" s="38">
        <v>269</v>
      </c>
      <c r="Q77" s="38">
        <v>29</v>
      </c>
      <c r="R77" s="38">
        <v>139</v>
      </c>
      <c r="S77" s="38">
        <v>500</v>
      </c>
      <c r="T77" s="38">
        <v>55</v>
      </c>
      <c r="U77" s="38">
        <f t="shared" si="65"/>
        <v>3491</v>
      </c>
      <c r="V77">
        <v>1125</v>
      </c>
      <c r="W77">
        <v>94</v>
      </c>
      <c r="X77">
        <v>50</v>
      </c>
      <c r="Y77">
        <v>34</v>
      </c>
      <c r="Z77">
        <v>821</v>
      </c>
      <c r="AA77">
        <v>752</v>
      </c>
      <c r="AB77">
        <v>4.7300000000000004</v>
      </c>
      <c r="AC77">
        <v>7</v>
      </c>
      <c r="AD77">
        <v>4</v>
      </c>
      <c r="AE77">
        <v>32</v>
      </c>
      <c r="AF77" s="45">
        <f t="shared" ca="1" si="60"/>
        <v>6293</v>
      </c>
      <c r="AG77" s="45">
        <f t="shared" ca="1" si="66"/>
        <v>1689</v>
      </c>
      <c r="AH77" s="45">
        <f t="shared" ca="1" si="67"/>
        <v>1246</v>
      </c>
      <c r="AI77" s="45">
        <f t="shared" ca="1" si="68"/>
        <v>254</v>
      </c>
      <c r="AJ77" s="45">
        <f t="shared" ca="1" si="69"/>
        <v>43</v>
      </c>
      <c r="AK77" s="45">
        <f t="shared" ca="1" si="70"/>
        <v>146</v>
      </c>
      <c r="AL77" s="45">
        <f t="shared" ca="1" si="71"/>
        <v>481</v>
      </c>
      <c r="AM77" s="45">
        <f t="shared" ca="1" si="72"/>
        <v>33</v>
      </c>
      <c r="AN77" s="45">
        <f t="shared" ca="1" si="73"/>
        <v>4090</v>
      </c>
      <c r="AO77">
        <v>4297</v>
      </c>
      <c r="AP77">
        <v>1468</v>
      </c>
      <c r="AQ77">
        <v>199</v>
      </c>
      <c r="AR77">
        <v>666</v>
      </c>
      <c r="AS77">
        <v>1026</v>
      </c>
      <c r="AT77">
        <v>103</v>
      </c>
      <c r="AU77">
        <v>154</v>
      </c>
      <c r="AV77">
        <v>0.98299999999999998</v>
      </c>
      <c r="AW77" s="1"/>
      <c r="AX77" s="47" t="s">
        <v>151</v>
      </c>
      <c r="AY77" s="47">
        <f t="shared" si="74"/>
        <v>29700</v>
      </c>
      <c r="AZ77" s="49">
        <f t="shared" si="75"/>
        <v>165582</v>
      </c>
      <c r="BA77" s="49">
        <f t="shared" ref="BA77" si="86">SUMIF($B$2:$B$571,$B77,$R$2:$R$571)</f>
        <v>5059</v>
      </c>
      <c r="BB77" s="48">
        <f t="shared" si="77"/>
        <v>3.0552837868850481E-2</v>
      </c>
    </row>
    <row r="78" spans="2:54" x14ac:dyDescent="0.2">
      <c r="B78" s="3">
        <v>2002</v>
      </c>
      <c r="C78" t="s">
        <v>70</v>
      </c>
      <c r="D78" t="s">
        <v>71</v>
      </c>
      <c r="E78">
        <v>1</v>
      </c>
      <c r="F78" t="s">
        <v>43</v>
      </c>
      <c r="G78" t="s">
        <v>38</v>
      </c>
      <c r="H78" t="s">
        <v>38</v>
      </c>
      <c r="I78" t="s">
        <v>38</v>
      </c>
      <c r="J78">
        <v>94</v>
      </c>
      <c r="K78">
        <v>67</v>
      </c>
      <c r="L78">
        <v>768</v>
      </c>
      <c r="M78" s="38">
        <v>5582</v>
      </c>
      <c r="N78" s="38">
        <v>1518</v>
      </c>
      <c r="O78" s="38">
        <f t="shared" si="64"/>
        <v>967</v>
      </c>
      <c r="P78" s="38">
        <v>348</v>
      </c>
      <c r="Q78" s="38">
        <v>36</v>
      </c>
      <c r="R78" s="38">
        <v>167</v>
      </c>
      <c r="S78" s="38">
        <v>472</v>
      </c>
      <c r="T78" s="38">
        <v>56</v>
      </c>
      <c r="U78" s="38">
        <f t="shared" si="65"/>
        <v>3536</v>
      </c>
      <c r="V78">
        <v>1089</v>
      </c>
      <c r="W78">
        <v>79</v>
      </c>
      <c r="X78">
        <v>62</v>
      </c>
      <c r="Y78">
        <v>52</v>
      </c>
      <c r="Z78">
        <v>712</v>
      </c>
      <c r="AA78">
        <v>662</v>
      </c>
      <c r="AB78">
        <v>4.12</v>
      </c>
      <c r="AC78">
        <v>8</v>
      </c>
      <c r="AD78">
        <v>9</v>
      </c>
      <c r="AE78">
        <v>47</v>
      </c>
      <c r="AF78" s="45">
        <f t="shared" ca="1" si="60"/>
        <v>6375</v>
      </c>
      <c r="AG78" s="45">
        <f t="shared" ca="1" si="66"/>
        <v>1659</v>
      </c>
      <c r="AH78" s="45">
        <f t="shared" ca="1" si="67"/>
        <v>1212</v>
      </c>
      <c r="AI78" s="45">
        <f t="shared" ca="1" si="68"/>
        <v>233</v>
      </c>
      <c r="AJ78" s="45">
        <f t="shared" ca="1" si="69"/>
        <v>47</v>
      </c>
      <c r="AK78" s="45">
        <f t="shared" ca="1" si="70"/>
        <v>167</v>
      </c>
      <c r="AL78" s="45">
        <f t="shared" ca="1" si="71"/>
        <v>540</v>
      </c>
      <c r="AM78" s="45">
        <f t="shared" ca="1" si="72"/>
        <v>59</v>
      </c>
      <c r="AN78" s="45">
        <f t="shared" ca="1" si="73"/>
        <v>4117</v>
      </c>
      <c r="AO78">
        <v>4334</v>
      </c>
      <c r="AP78">
        <v>1454</v>
      </c>
      <c r="AQ78">
        <v>184</v>
      </c>
      <c r="AR78">
        <v>439</v>
      </c>
      <c r="AS78">
        <v>1026</v>
      </c>
      <c r="AT78">
        <v>74</v>
      </c>
      <c r="AU78">
        <v>124</v>
      </c>
      <c r="AV78">
        <v>0.98699999999999999</v>
      </c>
      <c r="AW78" s="1"/>
      <c r="AX78" s="47" t="s">
        <v>152</v>
      </c>
      <c r="AY78" s="47">
        <f t="shared" si="74"/>
        <v>29700</v>
      </c>
      <c r="AZ78" s="49">
        <f t="shared" si="75"/>
        <v>165582</v>
      </c>
      <c r="BA78" s="49">
        <f t="shared" ref="BA78" si="87">SUMIF($B$2:$B$571,$B78,$S$2:$S$571)</f>
        <v>16246</v>
      </c>
      <c r="BB78" s="48">
        <f t="shared" si="77"/>
        <v>9.8114529357055724E-2</v>
      </c>
    </row>
    <row r="79" spans="2:54" x14ac:dyDescent="0.2">
      <c r="B79" s="3">
        <v>2002</v>
      </c>
      <c r="C79" t="s">
        <v>72</v>
      </c>
      <c r="D79" t="s">
        <v>73</v>
      </c>
      <c r="E79">
        <v>2</v>
      </c>
      <c r="F79" t="s">
        <v>38</v>
      </c>
      <c r="G79" t="s">
        <v>38</v>
      </c>
      <c r="H79" t="s">
        <v>38</v>
      </c>
      <c r="I79" t="s">
        <v>38</v>
      </c>
      <c r="J79">
        <v>83</v>
      </c>
      <c r="K79">
        <v>79</v>
      </c>
      <c r="L79">
        <v>735</v>
      </c>
      <c r="M79" s="38">
        <v>5479</v>
      </c>
      <c r="N79" s="38">
        <v>1432</v>
      </c>
      <c r="O79" s="38">
        <f t="shared" si="64"/>
        <v>934</v>
      </c>
      <c r="P79" s="38">
        <v>300</v>
      </c>
      <c r="Q79" s="38">
        <v>36</v>
      </c>
      <c r="R79" s="38">
        <v>162</v>
      </c>
      <c r="S79" s="38">
        <v>575</v>
      </c>
      <c r="T79" s="38">
        <v>46</v>
      </c>
      <c r="U79" s="38">
        <f t="shared" si="65"/>
        <v>3426</v>
      </c>
      <c r="V79">
        <v>1104</v>
      </c>
      <c r="W79">
        <v>118</v>
      </c>
      <c r="X79">
        <v>64</v>
      </c>
      <c r="Y79">
        <v>42</v>
      </c>
      <c r="Z79">
        <v>718</v>
      </c>
      <c r="AA79">
        <v>641</v>
      </c>
      <c r="AB79">
        <v>3.97</v>
      </c>
      <c r="AC79">
        <v>9</v>
      </c>
      <c r="AD79">
        <v>3</v>
      </c>
      <c r="AE79">
        <v>39</v>
      </c>
      <c r="AF79" s="45">
        <f t="shared" ca="1" si="60"/>
        <v>6261</v>
      </c>
      <c r="AG79" s="45">
        <f t="shared" ca="1" si="66"/>
        <v>1605</v>
      </c>
      <c r="AH79" s="45">
        <f t="shared" ca="1" si="67"/>
        <v>1031</v>
      </c>
      <c r="AI79" s="45">
        <f t="shared" ca="1" si="68"/>
        <v>363</v>
      </c>
      <c r="AJ79" s="45">
        <f t="shared" ca="1" si="69"/>
        <v>27</v>
      </c>
      <c r="AK79" s="45">
        <f t="shared" ca="1" si="70"/>
        <v>184</v>
      </c>
      <c r="AL79" s="45">
        <f t="shared" ca="1" si="71"/>
        <v>507</v>
      </c>
      <c r="AM79" s="45">
        <f t="shared" ca="1" si="72"/>
        <v>44</v>
      </c>
      <c r="AN79" s="45">
        <f t="shared" ca="1" si="73"/>
        <v>4105</v>
      </c>
      <c r="AO79">
        <v>4359</v>
      </c>
      <c r="AP79">
        <v>1475</v>
      </c>
      <c r="AQ79">
        <v>165</v>
      </c>
      <c r="AR79">
        <v>508</v>
      </c>
      <c r="AS79">
        <v>1088</v>
      </c>
      <c r="AT79">
        <v>139</v>
      </c>
      <c r="AU79">
        <v>160</v>
      </c>
      <c r="AV79">
        <v>0.97799999999999998</v>
      </c>
      <c r="AW79" s="1"/>
      <c r="AX79" s="47" t="s">
        <v>153</v>
      </c>
      <c r="AY79" s="47">
        <f t="shared" si="74"/>
        <v>29700</v>
      </c>
      <c r="AZ79" s="49">
        <f t="shared" si="75"/>
        <v>165582</v>
      </c>
      <c r="BA79" s="49">
        <f t="shared" ref="BA79" si="88">SUMIF($B$2:$B$571,$B79,$T$2:$T$571)</f>
        <v>1746</v>
      </c>
      <c r="BB79" s="48">
        <f t="shared" si="77"/>
        <v>1.0544624415697359E-2</v>
      </c>
    </row>
    <row r="80" spans="2:54" x14ac:dyDescent="0.2">
      <c r="B80" s="3">
        <v>2002</v>
      </c>
      <c r="C80" t="s">
        <v>74</v>
      </c>
      <c r="D80" t="s">
        <v>75</v>
      </c>
      <c r="E80">
        <v>1</v>
      </c>
      <c r="F80" t="s">
        <v>43</v>
      </c>
      <c r="G80" t="s">
        <v>38</v>
      </c>
      <c r="H80" t="s">
        <v>38</v>
      </c>
      <c r="I80" t="s">
        <v>38</v>
      </c>
      <c r="J80">
        <v>103</v>
      </c>
      <c r="K80">
        <v>58</v>
      </c>
      <c r="L80">
        <v>897</v>
      </c>
      <c r="M80" s="38">
        <v>5601</v>
      </c>
      <c r="N80" s="38">
        <v>1540</v>
      </c>
      <c r="O80" s="38">
        <f t="shared" si="64"/>
        <v>991</v>
      </c>
      <c r="P80" s="38">
        <v>314</v>
      </c>
      <c r="Q80" s="38">
        <v>12</v>
      </c>
      <c r="R80" s="38">
        <v>223</v>
      </c>
      <c r="S80" s="38">
        <v>640</v>
      </c>
      <c r="T80" s="38">
        <v>72</v>
      </c>
      <c r="U80" s="38">
        <f t="shared" si="65"/>
        <v>3349</v>
      </c>
      <c r="V80">
        <v>1171</v>
      </c>
      <c r="W80">
        <v>100</v>
      </c>
      <c r="X80">
        <v>38</v>
      </c>
      <c r="Y80">
        <v>41</v>
      </c>
      <c r="Z80">
        <v>697</v>
      </c>
      <c r="AA80">
        <v>625</v>
      </c>
      <c r="AB80">
        <v>3.87</v>
      </c>
      <c r="AC80">
        <v>9</v>
      </c>
      <c r="AD80">
        <v>11</v>
      </c>
      <c r="AE80">
        <v>53</v>
      </c>
      <c r="AF80" s="45">
        <f t="shared" ca="1" si="60"/>
        <v>6266</v>
      </c>
      <c r="AG80" s="45">
        <f t="shared" ca="1" si="66"/>
        <v>1323</v>
      </c>
      <c r="AH80" s="45">
        <f t="shared" ca="1" si="67"/>
        <v>747</v>
      </c>
      <c r="AI80" s="45">
        <f t="shared" ca="1" si="68"/>
        <v>295</v>
      </c>
      <c r="AJ80" s="45">
        <f t="shared" ca="1" si="69"/>
        <v>49</v>
      </c>
      <c r="AK80" s="45">
        <f t="shared" ca="1" si="70"/>
        <v>232</v>
      </c>
      <c r="AL80" s="45">
        <f t="shared" ca="1" si="71"/>
        <v>468</v>
      </c>
      <c r="AM80" s="45">
        <f t="shared" ca="1" si="72"/>
        <v>86</v>
      </c>
      <c r="AN80" s="45">
        <f t="shared" ca="1" si="73"/>
        <v>4389</v>
      </c>
      <c r="AO80">
        <v>4356</v>
      </c>
      <c r="AP80">
        <v>1441</v>
      </c>
      <c r="AQ80">
        <v>144</v>
      </c>
      <c r="AR80">
        <v>403</v>
      </c>
      <c r="AS80">
        <v>1135</v>
      </c>
      <c r="AT80">
        <v>127</v>
      </c>
      <c r="AU80">
        <v>117</v>
      </c>
      <c r="AV80">
        <v>0.97899999999999998</v>
      </c>
      <c r="AW80" s="1"/>
      <c r="AX80" s="47" t="s">
        <v>154</v>
      </c>
      <c r="AY80" s="47">
        <f t="shared" si="74"/>
        <v>29700</v>
      </c>
      <c r="AZ80" s="49">
        <f t="shared" si="75"/>
        <v>165582</v>
      </c>
      <c r="BA80" s="49">
        <f t="shared" ref="BA80" si="89">SUMIF($B$2:$B$571,$B80,$U$2:$U$571)</f>
        <v>104318</v>
      </c>
      <c r="BB80" s="48">
        <f t="shared" si="77"/>
        <v>0.63000809266707736</v>
      </c>
    </row>
    <row r="81" spans="2:54" x14ac:dyDescent="0.2">
      <c r="B81" s="3">
        <v>2002</v>
      </c>
      <c r="C81" t="s">
        <v>76</v>
      </c>
      <c r="D81" t="s">
        <v>77</v>
      </c>
      <c r="E81">
        <v>5</v>
      </c>
      <c r="F81" t="s">
        <v>38</v>
      </c>
      <c r="G81" t="s">
        <v>38</v>
      </c>
      <c r="H81" t="s">
        <v>38</v>
      </c>
      <c r="I81" t="s">
        <v>38</v>
      </c>
      <c r="J81">
        <v>75</v>
      </c>
      <c r="K81">
        <v>86</v>
      </c>
      <c r="L81">
        <v>690</v>
      </c>
      <c r="M81" s="38">
        <v>5496</v>
      </c>
      <c r="N81" s="38">
        <v>1409</v>
      </c>
      <c r="O81" s="38">
        <f t="shared" si="64"/>
        <v>989</v>
      </c>
      <c r="P81" s="38">
        <v>238</v>
      </c>
      <c r="Q81" s="38">
        <v>22</v>
      </c>
      <c r="R81" s="38">
        <v>160</v>
      </c>
      <c r="S81" s="38">
        <v>486</v>
      </c>
      <c r="T81" s="38">
        <v>63</v>
      </c>
      <c r="U81" s="38">
        <f t="shared" si="65"/>
        <v>3538</v>
      </c>
      <c r="V81">
        <v>1044</v>
      </c>
      <c r="W81">
        <v>87</v>
      </c>
      <c r="X81">
        <v>42</v>
      </c>
      <c r="Y81">
        <v>30</v>
      </c>
      <c r="Z81">
        <v>703</v>
      </c>
      <c r="AA81">
        <v>624</v>
      </c>
      <c r="AB81">
        <v>3.89</v>
      </c>
      <c r="AC81">
        <v>9</v>
      </c>
      <c r="AD81">
        <v>10</v>
      </c>
      <c r="AE81">
        <v>36</v>
      </c>
      <c r="AF81" s="45">
        <f t="shared" ca="1" si="60"/>
        <v>6467</v>
      </c>
      <c r="AG81" s="45">
        <f t="shared" ca="1" si="66"/>
        <v>1309</v>
      </c>
      <c r="AH81" s="45">
        <f t="shared" ca="1" si="67"/>
        <v>791</v>
      </c>
      <c r="AI81" s="45">
        <f t="shared" ca="1" si="68"/>
        <v>233</v>
      </c>
      <c r="AJ81" s="45">
        <f t="shared" ca="1" si="69"/>
        <v>46</v>
      </c>
      <c r="AK81" s="45">
        <f t="shared" ca="1" si="70"/>
        <v>239</v>
      </c>
      <c r="AL81" s="45">
        <f t="shared" ca="1" si="71"/>
        <v>656</v>
      </c>
      <c r="AM81" s="45">
        <f t="shared" ca="1" si="72"/>
        <v>67</v>
      </c>
      <c r="AN81" s="45">
        <f t="shared" ca="1" si="73"/>
        <v>4435</v>
      </c>
      <c r="AO81">
        <v>4328</v>
      </c>
      <c r="AP81">
        <v>1408</v>
      </c>
      <c r="AQ81">
        <v>163</v>
      </c>
      <c r="AR81">
        <v>543</v>
      </c>
      <c r="AS81">
        <v>1107</v>
      </c>
      <c r="AT81">
        <v>144</v>
      </c>
      <c r="AU81">
        <v>138</v>
      </c>
      <c r="AV81">
        <v>0.97599999999999998</v>
      </c>
      <c r="AW81" s="1"/>
      <c r="AX81" s="47" t="s">
        <v>155</v>
      </c>
      <c r="AY81" s="47">
        <f t="shared" si="74"/>
        <v>29700</v>
      </c>
      <c r="AZ81" s="49">
        <f t="shared" si="75"/>
        <v>165582</v>
      </c>
      <c r="BA81" s="49"/>
      <c r="BB81" s="48">
        <f t="shared" si="77"/>
        <v>0</v>
      </c>
    </row>
    <row r="82" spans="2:54" x14ac:dyDescent="0.2">
      <c r="B82" s="3">
        <v>2002</v>
      </c>
      <c r="C82" t="s">
        <v>78</v>
      </c>
      <c r="D82" t="s">
        <v>79</v>
      </c>
      <c r="E82">
        <v>1</v>
      </c>
      <c r="F82" t="s">
        <v>43</v>
      </c>
      <c r="G82" t="s">
        <v>38</v>
      </c>
      <c r="H82" t="s">
        <v>38</v>
      </c>
      <c r="I82" t="s">
        <v>38</v>
      </c>
      <c r="J82">
        <v>103</v>
      </c>
      <c r="K82">
        <v>59</v>
      </c>
      <c r="L82">
        <v>800</v>
      </c>
      <c r="M82" s="38">
        <v>5558</v>
      </c>
      <c r="N82" s="38">
        <v>1450</v>
      </c>
      <c r="O82" s="38">
        <f t="shared" si="64"/>
        <v>938</v>
      </c>
      <c r="P82" s="38">
        <v>279</v>
      </c>
      <c r="Q82" s="38">
        <v>28</v>
      </c>
      <c r="R82" s="38">
        <v>205</v>
      </c>
      <c r="S82" s="38">
        <v>609</v>
      </c>
      <c r="T82" s="38">
        <v>68</v>
      </c>
      <c r="U82" s="38">
        <f t="shared" si="65"/>
        <v>3431</v>
      </c>
      <c r="V82">
        <v>1008</v>
      </c>
      <c r="W82">
        <v>46</v>
      </c>
      <c r="X82">
        <v>20</v>
      </c>
      <c r="Y82">
        <v>36</v>
      </c>
      <c r="Z82">
        <v>654</v>
      </c>
      <c r="AA82">
        <v>593</v>
      </c>
      <c r="AB82">
        <v>3.68</v>
      </c>
      <c r="AC82">
        <v>9</v>
      </c>
      <c r="AD82">
        <v>19</v>
      </c>
      <c r="AE82">
        <v>48</v>
      </c>
      <c r="AF82" s="45">
        <f t="shared" ca="1" si="60"/>
        <v>6273</v>
      </c>
      <c r="AG82" s="45">
        <f t="shared" ca="1" si="66"/>
        <v>1480</v>
      </c>
      <c r="AH82" s="45">
        <f t="shared" ca="1" si="67"/>
        <v>1009</v>
      </c>
      <c r="AI82" s="45">
        <f t="shared" ca="1" si="68"/>
        <v>305</v>
      </c>
      <c r="AJ82" s="45">
        <f t="shared" ca="1" si="69"/>
        <v>30</v>
      </c>
      <c r="AK82" s="45">
        <f t="shared" ca="1" si="70"/>
        <v>136</v>
      </c>
      <c r="AL82" s="45">
        <f t="shared" ca="1" si="71"/>
        <v>466</v>
      </c>
      <c r="AM82" s="45">
        <f t="shared" ca="1" si="72"/>
        <v>59</v>
      </c>
      <c r="AN82" s="45">
        <f t="shared" ca="1" si="73"/>
        <v>4268</v>
      </c>
      <c r="AO82">
        <v>4356</v>
      </c>
      <c r="AP82">
        <v>1391</v>
      </c>
      <c r="AQ82">
        <v>135</v>
      </c>
      <c r="AR82">
        <v>474</v>
      </c>
      <c r="AS82">
        <v>1021</v>
      </c>
      <c r="AT82">
        <v>102</v>
      </c>
      <c r="AU82">
        <v>144</v>
      </c>
      <c r="AV82">
        <v>0.98399999999999999</v>
      </c>
      <c r="AW82" s="1">
        <v>2010</v>
      </c>
      <c r="AX82" s="47" t="s">
        <v>148</v>
      </c>
      <c r="AY82" s="47">
        <f t="shared" si="74"/>
        <v>29700</v>
      </c>
      <c r="AZ82" s="49">
        <f t="shared" si="75"/>
        <v>165582</v>
      </c>
      <c r="BA82" s="49">
        <f t="shared" ref="BA82" si="90">SUMIF($B$2:$B$571,$B82,$O$2:$O$571)</f>
        <v>28592</v>
      </c>
      <c r="BB82" s="48">
        <f t="shared" si="77"/>
        <v>0.17267577393678057</v>
      </c>
    </row>
    <row r="83" spans="2:54" x14ac:dyDescent="0.2">
      <c r="B83" s="3">
        <v>2002</v>
      </c>
      <c r="C83" t="s">
        <v>80</v>
      </c>
      <c r="D83" t="s">
        <v>81</v>
      </c>
      <c r="E83">
        <v>3</v>
      </c>
      <c r="F83" t="s">
        <v>38</v>
      </c>
      <c r="G83" t="s">
        <v>38</v>
      </c>
      <c r="H83" t="s">
        <v>38</v>
      </c>
      <c r="I83" t="s">
        <v>38</v>
      </c>
      <c r="J83">
        <v>80</v>
      </c>
      <c r="K83">
        <v>81</v>
      </c>
      <c r="L83">
        <v>710</v>
      </c>
      <c r="M83" s="38">
        <v>5523</v>
      </c>
      <c r="N83" s="38">
        <v>1428</v>
      </c>
      <c r="O83" s="38">
        <f t="shared" si="64"/>
        <v>897</v>
      </c>
      <c r="P83" s="38">
        <v>325</v>
      </c>
      <c r="Q83" s="38">
        <v>41</v>
      </c>
      <c r="R83" s="38">
        <v>165</v>
      </c>
      <c r="S83" s="38">
        <v>640</v>
      </c>
      <c r="T83" s="38">
        <v>53</v>
      </c>
      <c r="U83" s="38">
        <f t="shared" si="65"/>
        <v>3402</v>
      </c>
      <c r="V83">
        <v>1095</v>
      </c>
      <c r="W83">
        <v>104</v>
      </c>
      <c r="X83">
        <v>43</v>
      </c>
      <c r="Y83">
        <v>39</v>
      </c>
      <c r="Z83">
        <v>724</v>
      </c>
      <c r="AA83">
        <v>671</v>
      </c>
      <c r="AB83">
        <v>4.17</v>
      </c>
      <c r="AC83">
        <v>5</v>
      </c>
      <c r="AD83">
        <v>9</v>
      </c>
      <c r="AE83">
        <v>47</v>
      </c>
      <c r="AF83" s="45">
        <f t="shared" ca="1" si="60"/>
        <v>6068</v>
      </c>
      <c r="AG83" s="45">
        <f t="shared" ca="1" si="66"/>
        <v>1596</v>
      </c>
      <c r="AH83" s="45">
        <f t="shared" ca="1" si="67"/>
        <v>1120</v>
      </c>
      <c r="AI83" s="45">
        <f t="shared" ca="1" si="68"/>
        <v>223</v>
      </c>
      <c r="AJ83" s="45">
        <f t="shared" ca="1" si="69"/>
        <v>38</v>
      </c>
      <c r="AK83" s="45">
        <f t="shared" ca="1" si="70"/>
        <v>215</v>
      </c>
      <c r="AL83" s="45">
        <f t="shared" ca="1" si="71"/>
        <v>411</v>
      </c>
      <c r="AM83" s="45">
        <f t="shared" ca="1" si="72"/>
        <v>76</v>
      </c>
      <c r="AN83" s="45">
        <f t="shared" ca="1" si="73"/>
        <v>3985</v>
      </c>
      <c r="AO83">
        <v>4349</v>
      </c>
      <c r="AP83">
        <v>1381</v>
      </c>
      <c r="AQ83">
        <v>153</v>
      </c>
      <c r="AR83">
        <v>570</v>
      </c>
      <c r="AS83">
        <v>1075</v>
      </c>
      <c r="AT83">
        <v>88</v>
      </c>
      <c r="AU83">
        <v>156</v>
      </c>
      <c r="AV83">
        <v>0.98599999999999999</v>
      </c>
      <c r="AW83" s="1"/>
      <c r="AX83" s="47" t="s">
        <v>149</v>
      </c>
      <c r="AY83" s="47">
        <f t="shared" si="74"/>
        <v>29700</v>
      </c>
      <c r="AZ83" s="49">
        <f t="shared" si="75"/>
        <v>165582</v>
      </c>
      <c r="BA83" s="49">
        <f t="shared" ref="BA83" si="91">SUMIF($B$2:$B$571,$B83,$P$2:$P$571)</f>
        <v>8700</v>
      </c>
      <c r="BB83" s="48">
        <f t="shared" si="77"/>
        <v>5.2541942964815014E-2</v>
      </c>
    </row>
    <row r="84" spans="2:54" x14ac:dyDescent="0.2">
      <c r="B84" s="3">
        <v>2002</v>
      </c>
      <c r="C84" t="s">
        <v>82</v>
      </c>
      <c r="D84" t="s">
        <v>83</v>
      </c>
      <c r="E84">
        <v>4</v>
      </c>
      <c r="F84" t="s">
        <v>38</v>
      </c>
      <c r="G84" t="s">
        <v>38</v>
      </c>
      <c r="H84" t="s">
        <v>38</v>
      </c>
      <c r="I84" t="s">
        <v>38</v>
      </c>
      <c r="J84">
        <v>72</v>
      </c>
      <c r="K84">
        <v>89</v>
      </c>
      <c r="L84">
        <v>641</v>
      </c>
      <c r="M84" s="38">
        <v>5330</v>
      </c>
      <c r="N84" s="38">
        <v>1300</v>
      </c>
      <c r="O84" s="38">
        <f t="shared" si="64"/>
        <v>875</v>
      </c>
      <c r="P84" s="38">
        <v>263</v>
      </c>
      <c r="Q84" s="38">
        <v>20</v>
      </c>
      <c r="R84" s="38">
        <v>142</v>
      </c>
      <c r="S84" s="38">
        <v>537</v>
      </c>
      <c r="T84" s="38">
        <v>73</v>
      </c>
      <c r="U84" s="38">
        <f t="shared" si="65"/>
        <v>3420</v>
      </c>
      <c r="V84">
        <v>1109</v>
      </c>
      <c r="W84">
        <v>86</v>
      </c>
      <c r="X84">
        <v>49</v>
      </c>
      <c r="Y84">
        <v>41</v>
      </c>
      <c r="Z84">
        <v>730</v>
      </c>
      <c r="AA84">
        <v>664</v>
      </c>
      <c r="AB84">
        <v>4.2300000000000004</v>
      </c>
      <c r="AC84">
        <v>2</v>
      </c>
      <c r="AD84">
        <v>7</v>
      </c>
      <c r="AE84">
        <v>47</v>
      </c>
      <c r="AF84" s="45">
        <f t="shared" ca="1" si="60"/>
        <v>6338</v>
      </c>
      <c r="AG84" s="45">
        <f t="shared" ca="1" si="66"/>
        <v>1490</v>
      </c>
      <c r="AH84" s="45">
        <f t="shared" ca="1" si="67"/>
        <v>1010</v>
      </c>
      <c r="AI84" s="45">
        <f t="shared" ca="1" si="68"/>
        <v>294</v>
      </c>
      <c r="AJ84" s="45">
        <f t="shared" ca="1" si="69"/>
        <v>49</v>
      </c>
      <c r="AK84" s="45">
        <f t="shared" ca="1" si="70"/>
        <v>137</v>
      </c>
      <c r="AL84" s="45">
        <f t="shared" ca="1" si="71"/>
        <v>699</v>
      </c>
      <c r="AM84" s="45">
        <f t="shared" ca="1" si="72"/>
        <v>37</v>
      </c>
      <c r="AN84" s="45">
        <f t="shared" ca="1" si="73"/>
        <v>4112</v>
      </c>
      <c r="AO84">
        <v>4238</v>
      </c>
      <c r="AP84">
        <v>1447</v>
      </c>
      <c r="AQ84">
        <v>163</v>
      </c>
      <c r="AR84">
        <v>572</v>
      </c>
      <c r="AS84">
        <v>920</v>
      </c>
      <c r="AT84">
        <v>115</v>
      </c>
      <c r="AU84">
        <v>177</v>
      </c>
      <c r="AV84">
        <v>0.98199999999999998</v>
      </c>
      <c r="AW84" s="1"/>
      <c r="AX84" s="47" t="s">
        <v>150</v>
      </c>
      <c r="AY84" s="47">
        <f t="shared" si="74"/>
        <v>29700</v>
      </c>
      <c r="AZ84" s="49">
        <f t="shared" si="75"/>
        <v>165582</v>
      </c>
      <c r="BA84" s="49">
        <f t="shared" ref="BA84" si="92">SUMIF($B$2:$B$571,$B84,$Q$2:$Q$571)</f>
        <v>921</v>
      </c>
      <c r="BB84" s="48">
        <f t="shared" si="77"/>
        <v>5.5621987897235209E-3</v>
      </c>
    </row>
    <row r="85" spans="2:54" x14ac:dyDescent="0.2">
      <c r="B85" s="3">
        <v>2002</v>
      </c>
      <c r="C85" t="s">
        <v>84</v>
      </c>
      <c r="D85" t="s">
        <v>85</v>
      </c>
      <c r="E85">
        <v>5</v>
      </c>
      <c r="F85" t="s">
        <v>38</v>
      </c>
      <c r="G85" t="s">
        <v>38</v>
      </c>
      <c r="H85" t="s">
        <v>38</v>
      </c>
      <c r="I85" t="s">
        <v>38</v>
      </c>
      <c r="J85">
        <v>66</v>
      </c>
      <c r="K85">
        <v>96</v>
      </c>
      <c r="L85">
        <v>662</v>
      </c>
      <c r="M85" s="38">
        <v>5515</v>
      </c>
      <c r="N85" s="38">
        <v>1393</v>
      </c>
      <c r="O85" s="38">
        <f t="shared" si="64"/>
        <v>985</v>
      </c>
      <c r="P85" s="38">
        <v>243</v>
      </c>
      <c r="Q85" s="38">
        <v>29</v>
      </c>
      <c r="R85" s="38">
        <v>136</v>
      </c>
      <c r="S85" s="38">
        <v>547</v>
      </c>
      <c r="T85" s="38">
        <v>30</v>
      </c>
      <c r="U85" s="38">
        <f t="shared" si="65"/>
        <v>3545</v>
      </c>
      <c r="V85">
        <v>1062</v>
      </c>
      <c r="W85">
        <v>71</v>
      </c>
      <c r="X85">
        <v>44</v>
      </c>
      <c r="Y85">
        <v>41</v>
      </c>
      <c r="Z85">
        <v>815</v>
      </c>
      <c r="AA85">
        <v>737</v>
      </c>
      <c r="AB85">
        <v>4.62</v>
      </c>
      <c r="AC85">
        <v>5</v>
      </c>
      <c r="AD85">
        <v>10</v>
      </c>
      <c r="AE85">
        <v>40</v>
      </c>
      <c r="AF85" s="45">
        <f t="shared" ca="1" si="60"/>
        <v>6365</v>
      </c>
      <c r="AG85" s="45">
        <f t="shared" ca="1" si="66"/>
        <v>1491</v>
      </c>
      <c r="AH85" s="45">
        <f t="shared" ca="1" si="67"/>
        <v>918</v>
      </c>
      <c r="AI85" s="45">
        <f t="shared" ca="1" si="68"/>
        <v>352</v>
      </c>
      <c r="AJ85" s="45">
        <f t="shared" ca="1" si="69"/>
        <v>31</v>
      </c>
      <c r="AK85" s="45">
        <f t="shared" ca="1" si="70"/>
        <v>190</v>
      </c>
      <c r="AL85" s="45">
        <f t="shared" ca="1" si="71"/>
        <v>470</v>
      </c>
      <c r="AM85" s="45">
        <f t="shared" ca="1" si="72"/>
        <v>41</v>
      </c>
      <c r="AN85" s="45">
        <f t="shared" ca="1" si="73"/>
        <v>4363</v>
      </c>
      <c r="AO85">
        <v>4309</v>
      </c>
      <c r="AP85">
        <v>1522</v>
      </c>
      <c r="AQ85">
        <v>177</v>
      </c>
      <c r="AR85">
        <v>582</v>
      </c>
      <c r="AS85">
        <v>1108</v>
      </c>
      <c r="AT85">
        <v>128</v>
      </c>
      <c r="AU85">
        <v>162</v>
      </c>
      <c r="AV85">
        <v>0.97899999999999998</v>
      </c>
      <c r="AW85" s="1"/>
      <c r="AX85" s="47" t="s">
        <v>151</v>
      </c>
      <c r="AY85" s="47">
        <f t="shared" si="74"/>
        <v>29700</v>
      </c>
      <c r="AZ85" s="49">
        <f t="shared" si="75"/>
        <v>165582</v>
      </c>
      <c r="BA85" s="49">
        <f t="shared" ref="BA85" si="93">SUMIF($B$2:$B$571,$B85,$R$2:$R$571)</f>
        <v>5059</v>
      </c>
      <c r="BB85" s="48">
        <f t="shared" si="77"/>
        <v>3.0552837868850481E-2</v>
      </c>
    </row>
    <row r="86" spans="2:54" x14ac:dyDescent="0.2">
      <c r="B86" s="3">
        <v>2002</v>
      </c>
      <c r="C86" t="s">
        <v>86</v>
      </c>
      <c r="D86" t="s">
        <v>87</v>
      </c>
      <c r="E86">
        <v>3</v>
      </c>
      <c r="F86" t="s">
        <v>38</v>
      </c>
      <c r="G86" t="s">
        <v>38</v>
      </c>
      <c r="H86" t="s">
        <v>38</v>
      </c>
      <c r="I86" t="s">
        <v>38</v>
      </c>
      <c r="J86">
        <v>93</v>
      </c>
      <c r="K86">
        <v>69</v>
      </c>
      <c r="L86">
        <v>814</v>
      </c>
      <c r="M86" s="38">
        <v>5569</v>
      </c>
      <c r="N86" s="38">
        <v>1531</v>
      </c>
      <c r="O86" s="38">
        <f t="shared" si="64"/>
        <v>1063</v>
      </c>
      <c r="P86" s="38">
        <v>285</v>
      </c>
      <c r="Q86" s="38">
        <v>31</v>
      </c>
      <c r="R86" s="38">
        <v>152</v>
      </c>
      <c r="S86" s="38">
        <v>629</v>
      </c>
      <c r="T86" s="38">
        <v>51</v>
      </c>
      <c r="U86" s="38">
        <f t="shared" si="65"/>
        <v>3358</v>
      </c>
      <c r="V86">
        <v>1003</v>
      </c>
      <c r="W86">
        <v>137</v>
      </c>
      <c r="X86">
        <v>58</v>
      </c>
      <c r="Y86">
        <v>72</v>
      </c>
      <c r="Z86">
        <v>699</v>
      </c>
      <c r="AA86">
        <v>654</v>
      </c>
      <c r="AB86">
        <v>4.07</v>
      </c>
      <c r="AC86">
        <v>8</v>
      </c>
      <c r="AD86">
        <v>12</v>
      </c>
      <c r="AE86">
        <v>43</v>
      </c>
      <c r="AF86" s="45">
        <f t="shared" ca="1" si="60"/>
        <v>6099</v>
      </c>
      <c r="AG86" s="45">
        <f t="shared" ca="1" si="66"/>
        <v>1527</v>
      </c>
      <c r="AH86" s="45">
        <f t="shared" ca="1" si="67"/>
        <v>941</v>
      </c>
      <c r="AI86" s="45">
        <f t="shared" ca="1" si="68"/>
        <v>342</v>
      </c>
      <c r="AJ86" s="45">
        <f t="shared" ca="1" si="69"/>
        <v>20</v>
      </c>
      <c r="AK86" s="45">
        <f t="shared" ca="1" si="70"/>
        <v>224</v>
      </c>
      <c r="AL86" s="45">
        <f t="shared" ca="1" si="71"/>
        <v>436</v>
      </c>
      <c r="AM86" s="45">
        <f t="shared" ca="1" si="72"/>
        <v>88</v>
      </c>
      <c r="AN86" s="45">
        <f t="shared" ca="1" si="73"/>
        <v>4048</v>
      </c>
      <c r="AO86">
        <v>4336</v>
      </c>
      <c r="AP86">
        <v>1422</v>
      </c>
      <c r="AQ86">
        <v>178</v>
      </c>
      <c r="AR86">
        <v>441</v>
      </c>
      <c r="AS86">
        <v>1063</v>
      </c>
      <c r="AT86">
        <v>88</v>
      </c>
      <c r="AU86">
        <v>134</v>
      </c>
      <c r="AV86">
        <v>0.98499999999999999</v>
      </c>
      <c r="AW86" s="1"/>
      <c r="AX86" s="47" t="s">
        <v>152</v>
      </c>
      <c r="AY86" s="47">
        <f t="shared" si="74"/>
        <v>29700</v>
      </c>
      <c r="AZ86" s="49">
        <f t="shared" si="75"/>
        <v>165582</v>
      </c>
      <c r="BA86" s="49">
        <f t="shared" ref="BA86" si="94">SUMIF($B$2:$B$571,$B86,$S$2:$S$571)</f>
        <v>16246</v>
      </c>
      <c r="BB86" s="48">
        <f t="shared" si="77"/>
        <v>9.8114529357055724E-2</v>
      </c>
    </row>
    <row r="87" spans="2:54" x14ac:dyDescent="0.2">
      <c r="B87" s="3">
        <v>2002</v>
      </c>
      <c r="C87" t="s">
        <v>88</v>
      </c>
      <c r="D87" t="s">
        <v>89</v>
      </c>
      <c r="E87">
        <v>2</v>
      </c>
      <c r="F87" t="s">
        <v>38</v>
      </c>
      <c r="G87" t="s">
        <v>43</v>
      </c>
      <c r="H87" t="s">
        <v>43</v>
      </c>
      <c r="I87" t="s">
        <v>38</v>
      </c>
      <c r="J87">
        <v>95</v>
      </c>
      <c r="K87">
        <v>66</v>
      </c>
      <c r="L87">
        <v>783</v>
      </c>
      <c r="M87" s="38">
        <v>5497</v>
      </c>
      <c r="N87" s="38">
        <v>1465</v>
      </c>
      <c r="O87" s="38">
        <f t="shared" si="64"/>
        <v>932</v>
      </c>
      <c r="P87" s="38">
        <v>300</v>
      </c>
      <c r="Q87" s="38">
        <v>35</v>
      </c>
      <c r="R87" s="38">
        <v>198</v>
      </c>
      <c r="S87" s="38">
        <v>616</v>
      </c>
      <c r="T87" s="38">
        <v>65</v>
      </c>
      <c r="U87" s="38">
        <f t="shared" si="65"/>
        <v>3351</v>
      </c>
      <c r="V87">
        <v>961</v>
      </c>
      <c r="W87">
        <v>74</v>
      </c>
      <c r="X87">
        <v>21</v>
      </c>
      <c r="Y87">
        <v>52</v>
      </c>
      <c r="Z87">
        <v>616</v>
      </c>
      <c r="AA87">
        <v>566</v>
      </c>
      <c r="AB87">
        <v>3.54</v>
      </c>
      <c r="AC87">
        <v>10</v>
      </c>
      <c r="AD87">
        <v>13</v>
      </c>
      <c r="AE87">
        <v>43</v>
      </c>
      <c r="AF87" s="45">
        <f t="shared" ca="1" si="60"/>
        <v>6445</v>
      </c>
      <c r="AG87" s="45">
        <f t="shared" ca="1" si="66"/>
        <v>1480</v>
      </c>
      <c r="AH87" s="45">
        <f t="shared" ca="1" si="67"/>
        <v>955</v>
      </c>
      <c r="AI87" s="45">
        <f t="shared" ca="1" si="68"/>
        <v>358</v>
      </c>
      <c r="AJ87" s="45">
        <f t="shared" ca="1" si="69"/>
        <v>22</v>
      </c>
      <c r="AK87" s="45">
        <f t="shared" ca="1" si="70"/>
        <v>145</v>
      </c>
      <c r="AL87" s="45">
        <f t="shared" ca="1" si="71"/>
        <v>410</v>
      </c>
      <c r="AM87" s="45">
        <f t="shared" ca="1" si="72"/>
        <v>34</v>
      </c>
      <c r="AN87" s="45">
        <f t="shared" ca="1" si="73"/>
        <v>4521</v>
      </c>
      <c r="AO87">
        <v>4312</v>
      </c>
      <c r="AP87">
        <v>1349</v>
      </c>
      <c r="AQ87">
        <v>116</v>
      </c>
      <c r="AR87">
        <v>523</v>
      </c>
      <c r="AS87">
        <v>992</v>
      </c>
      <c r="AT87">
        <v>90</v>
      </c>
      <c r="AU87">
        <v>166</v>
      </c>
      <c r="AV87">
        <v>0.98499999999999999</v>
      </c>
      <c r="AW87" s="1"/>
      <c r="AX87" s="47" t="s">
        <v>153</v>
      </c>
      <c r="AY87" s="47">
        <f t="shared" si="74"/>
        <v>29700</v>
      </c>
      <c r="AZ87" s="49">
        <f t="shared" si="75"/>
        <v>165582</v>
      </c>
      <c r="BA87" s="49">
        <f t="shared" ref="BA87" si="95">SUMIF($B$2:$B$571,$B87,$T$2:$T$571)</f>
        <v>1746</v>
      </c>
      <c r="BB87" s="48">
        <f t="shared" si="77"/>
        <v>1.0544624415697359E-2</v>
      </c>
    </row>
    <row r="88" spans="2:54" x14ac:dyDescent="0.2">
      <c r="B88" s="3">
        <v>2002</v>
      </c>
      <c r="C88" t="s">
        <v>90</v>
      </c>
      <c r="D88" t="s">
        <v>91</v>
      </c>
      <c r="E88">
        <v>1</v>
      </c>
      <c r="F88" t="s">
        <v>43</v>
      </c>
      <c r="G88" t="s">
        <v>38</v>
      </c>
      <c r="H88" t="s">
        <v>38</v>
      </c>
      <c r="I88" t="s">
        <v>38</v>
      </c>
      <c r="J88">
        <v>97</v>
      </c>
      <c r="K88">
        <v>65</v>
      </c>
      <c r="L88">
        <v>787</v>
      </c>
      <c r="M88" s="38">
        <v>5505</v>
      </c>
      <c r="N88" s="38">
        <v>1475</v>
      </c>
      <c r="O88" s="38">
        <f t="shared" si="64"/>
        <v>989</v>
      </c>
      <c r="P88" s="38">
        <v>285</v>
      </c>
      <c r="Q88" s="38">
        <v>26</v>
      </c>
      <c r="R88" s="38">
        <v>175</v>
      </c>
      <c r="S88" s="38">
        <v>542</v>
      </c>
      <c r="T88" s="38">
        <v>67</v>
      </c>
      <c r="U88" s="38">
        <f t="shared" si="65"/>
        <v>3421</v>
      </c>
      <c r="V88">
        <v>927</v>
      </c>
      <c r="W88">
        <v>86</v>
      </c>
      <c r="X88">
        <v>42</v>
      </c>
      <c r="Y88">
        <v>49</v>
      </c>
      <c r="Z88">
        <v>648</v>
      </c>
      <c r="AA88">
        <v>595</v>
      </c>
      <c r="AB88">
        <v>3.7</v>
      </c>
      <c r="AC88">
        <v>4</v>
      </c>
      <c r="AD88">
        <v>9</v>
      </c>
      <c r="AE88">
        <v>42</v>
      </c>
      <c r="AF88" s="45">
        <f t="shared" ca="1" si="60"/>
        <v>6408</v>
      </c>
      <c r="AG88" s="45">
        <f t="shared" ca="1" si="66"/>
        <v>1368</v>
      </c>
      <c r="AH88" s="45">
        <f t="shared" ca="1" si="67"/>
        <v>766</v>
      </c>
      <c r="AI88" s="45">
        <f t="shared" ca="1" si="68"/>
        <v>400</v>
      </c>
      <c r="AJ88" s="45">
        <f t="shared" ca="1" si="69"/>
        <v>21</v>
      </c>
      <c r="AK88" s="45">
        <f t="shared" ca="1" si="70"/>
        <v>181</v>
      </c>
      <c r="AL88" s="45">
        <f t="shared" ca="1" si="71"/>
        <v>495</v>
      </c>
      <c r="AM88" s="45">
        <f t="shared" ca="1" si="72"/>
        <v>54</v>
      </c>
      <c r="AN88" s="45">
        <f t="shared" ca="1" si="73"/>
        <v>4491</v>
      </c>
      <c r="AO88">
        <v>4339</v>
      </c>
      <c r="AP88">
        <v>1355</v>
      </c>
      <c r="AQ88">
        <v>141</v>
      </c>
      <c r="AR88">
        <v>547</v>
      </c>
      <c r="AS88">
        <v>1009</v>
      </c>
      <c r="AT88">
        <v>103</v>
      </c>
      <c r="AU88">
        <v>168</v>
      </c>
      <c r="AV88">
        <v>0.98299999999999998</v>
      </c>
      <c r="AW88" s="1"/>
      <c r="AX88" s="47" t="s">
        <v>154</v>
      </c>
      <c r="AY88" s="47">
        <f t="shared" si="74"/>
        <v>29700</v>
      </c>
      <c r="AZ88" s="49">
        <f t="shared" si="75"/>
        <v>165582</v>
      </c>
      <c r="BA88" s="49">
        <f t="shared" ref="BA88" si="96">SUMIF($B$2:$B$571,$B88,$U$2:$U$571)</f>
        <v>104318</v>
      </c>
      <c r="BB88" s="48">
        <f t="shared" si="77"/>
        <v>0.63000809266707736</v>
      </c>
    </row>
    <row r="89" spans="2:54" x14ac:dyDescent="0.2">
      <c r="B89" s="3">
        <v>2002</v>
      </c>
      <c r="C89" t="s">
        <v>92</v>
      </c>
      <c r="D89" t="s">
        <v>93</v>
      </c>
      <c r="E89">
        <v>5</v>
      </c>
      <c r="F89" t="s">
        <v>38</v>
      </c>
      <c r="G89" t="s">
        <v>38</v>
      </c>
      <c r="H89" t="s">
        <v>38</v>
      </c>
      <c r="I89" t="s">
        <v>38</v>
      </c>
      <c r="J89">
        <v>55</v>
      </c>
      <c r="K89">
        <v>106</v>
      </c>
      <c r="L89">
        <v>673</v>
      </c>
      <c r="M89" s="38">
        <v>5604</v>
      </c>
      <c r="N89" s="38">
        <v>1418</v>
      </c>
      <c r="O89" s="38">
        <f t="shared" si="64"/>
        <v>953</v>
      </c>
      <c r="P89" s="38">
        <v>297</v>
      </c>
      <c r="Q89" s="38">
        <v>35</v>
      </c>
      <c r="R89" s="38">
        <v>133</v>
      </c>
      <c r="S89" s="38">
        <v>456</v>
      </c>
      <c r="T89" s="38">
        <v>58</v>
      </c>
      <c r="U89" s="38">
        <f t="shared" si="65"/>
        <v>3672</v>
      </c>
      <c r="V89">
        <v>1115</v>
      </c>
      <c r="W89">
        <v>102</v>
      </c>
      <c r="X89">
        <v>45</v>
      </c>
      <c r="Y89">
        <v>36</v>
      </c>
      <c r="Z89">
        <v>918</v>
      </c>
      <c r="AA89">
        <v>846</v>
      </c>
      <c r="AB89">
        <v>5.29</v>
      </c>
      <c r="AC89">
        <v>12</v>
      </c>
      <c r="AD89">
        <v>3</v>
      </c>
      <c r="AE89">
        <v>25</v>
      </c>
      <c r="AF89" s="45">
        <f t="shared" ca="1" si="60"/>
        <v>6156</v>
      </c>
      <c r="AG89" s="45">
        <f t="shared" ca="1" si="66"/>
        <v>1611</v>
      </c>
      <c r="AH89" s="45">
        <f t="shared" ca="1" si="67"/>
        <v>1118</v>
      </c>
      <c r="AI89" s="45">
        <f t="shared" ca="1" si="68"/>
        <v>249</v>
      </c>
      <c r="AJ89" s="45">
        <f t="shared" ca="1" si="69"/>
        <v>46</v>
      </c>
      <c r="AK89" s="45">
        <f t="shared" ca="1" si="70"/>
        <v>198</v>
      </c>
      <c r="AL89" s="45">
        <f t="shared" ca="1" si="71"/>
        <v>434</v>
      </c>
      <c r="AM89" s="45">
        <f t="shared" ca="1" si="72"/>
        <v>34</v>
      </c>
      <c r="AN89" s="45">
        <f t="shared" ca="1" si="73"/>
        <v>4077</v>
      </c>
      <c r="AO89">
        <v>4321</v>
      </c>
      <c r="AP89">
        <v>1567</v>
      </c>
      <c r="AQ89">
        <v>215</v>
      </c>
      <c r="AR89">
        <v>620</v>
      </c>
      <c r="AS89">
        <v>925</v>
      </c>
      <c r="AT89">
        <v>126</v>
      </c>
      <c r="AU89">
        <v>168</v>
      </c>
      <c r="AV89">
        <v>0.97899999999999998</v>
      </c>
      <c r="AW89" s="1"/>
      <c r="AX89" s="47"/>
      <c r="AY89" s="47"/>
      <c r="AZ89" s="49"/>
      <c r="BA89" s="49"/>
      <c r="BB89" s="48"/>
    </row>
    <row r="90" spans="2:54" x14ac:dyDescent="0.2">
      <c r="B90" s="3">
        <v>2002</v>
      </c>
      <c r="C90" t="s">
        <v>94</v>
      </c>
      <c r="D90" t="s">
        <v>95</v>
      </c>
      <c r="E90">
        <v>4</v>
      </c>
      <c r="F90" t="s">
        <v>38</v>
      </c>
      <c r="G90" t="s">
        <v>38</v>
      </c>
      <c r="H90" t="s">
        <v>38</v>
      </c>
      <c r="I90" t="s">
        <v>38</v>
      </c>
      <c r="J90">
        <v>72</v>
      </c>
      <c r="K90">
        <v>90</v>
      </c>
      <c r="L90">
        <v>843</v>
      </c>
      <c r="M90" s="38">
        <v>5618</v>
      </c>
      <c r="N90" s="38">
        <v>1510</v>
      </c>
      <c r="O90" s="38">
        <f t="shared" si="64"/>
        <v>949</v>
      </c>
      <c r="P90" s="38">
        <v>304</v>
      </c>
      <c r="Q90" s="38">
        <v>27</v>
      </c>
      <c r="R90" s="38">
        <v>230</v>
      </c>
      <c r="S90" s="38">
        <v>554</v>
      </c>
      <c r="T90" s="38">
        <v>62</v>
      </c>
      <c r="U90" s="38">
        <f t="shared" si="65"/>
        <v>3492</v>
      </c>
      <c r="V90">
        <v>1055</v>
      </c>
      <c r="W90">
        <v>62</v>
      </c>
      <c r="X90">
        <v>34</v>
      </c>
      <c r="Y90">
        <v>50</v>
      </c>
      <c r="Z90">
        <v>882</v>
      </c>
      <c r="AA90">
        <v>824</v>
      </c>
      <c r="AB90">
        <v>5.15</v>
      </c>
      <c r="AC90">
        <v>4</v>
      </c>
      <c r="AD90">
        <v>4</v>
      </c>
      <c r="AE90">
        <v>33</v>
      </c>
      <c r="AF90" s="45">
        <f t="shared" ca="1" si="60"/>
        <v>6308</v>
      </c>
      <c r="AG90" s="45">
        <f t="shared" ca="1" si="66"/>
        <v>1529</v>
      </c>
      <c r="AH90" s="45">
        <f t="shared" ca="1" si="67"/>
        <v>974</v>
      </c>
      <c r="AI90" s="45">
        <f t="shared" ca="1" si="68"/>
        <v>381</v>
      </c>
      <c r="AJ90" s="45">
        <f t="shared" ca="1" si="69"/>
        <v>35</v>
      </c>
      <c r="AK90" s="45">
        <f t="shared" ca="1" si="70"/>
        <v>139</v>
      </c>
      <c r="AL90" s="45">
        <f t="shared" ca="1" si="71"/>
        <v>687</v>
      </c>
      <c r="AM90" s="45">
        <f t="shared" ca="1" si="72"/>
        <v>84</v>
      </c>
      <c r="AN90" s="45">
        <f t="shared" ca="1" si="73"/>
        <v>4008</v>
      </c>
      <c r="AO90">
        <v>4319</v>
      </c>
      <c r="AP90">
        <v>1528</v>
      </c>
      <c r="AQ90">
        <v>194</v>
      </c>
      <c r="AR90">
        <v>669</v>
      </c>
      <c r="AS90">
        <v>1030</v>
      </c>
      <c r="AT90">
        <v>99</v>
      </c>
      <c r="AU90">
        <v>152</v>
      </c>
      <c r="AV90">
        <v>0.98399999999999999</v>
      </c>
      <c r="AW90" s="1">
        <v>2011</v>
      </c>
      <c r="AX90" s="47" t="s">
        <v>148</v>
      </c>
      <c r="AY90" s="47">
        <f t="shared" si="74"/>
        <v>29700</v>
      </c>
      <c r="AZ90" s="49">
        <f t="shared" si="75"/>
        <v>165582</v>
      </c>
      <c r="BA90" s="49">
        <f t="shared" ref="BA90" si="97">SUMIF($B$2:$B$571,$B90,$O$2:$O$571)</f>
        <v>28592</v>
      </c>
      <c r="BB90" s="48">
        <f t="shared" si="77"/>
        <v>0.17267577393678057</v>
      </c>
    </row>
    <row r="91" spans="2:54" x14ac:dyDescent="0.2">
      <c r="B91" s="3">
        <v>2002</v>
      </c>
      <c r="C91" t="s">
        <v>96</v>
      </c>
      <c r="D91" t="s">
        <v>97</v>
      </c>
      <c r="E91">
        <v>3</v>
      </c>
      <c r="F91" t="s">
        <v>38</v>
      </c>
      <c r="G91" t="s">
        <v>38</v>
      </c>
      <c r="H91" t="s">
        <v>38</v>
      </c>
      <c r="I91" t="s">
        <v>38</v>
      </c>
      <c r="J91">
        <v>78</v>
      </c>
      <c r="K91">
        <v>84</v>
      </c>
      <c r="L91">
        <v>813</v>
      </c>
      <c r="M91" s="38">
        <v>5581</v>
      </c>
      <c r="N91" s="38">
        <v>1457</v>
      </c>
      <c r="O91" s="38">
        <f t="shared" si="64"/>
        <v>927</v>
      </c>
      <c r="P91" s="38">
        <v>305</v>
      </c>
      <c r="Q91" s="38">
        <v>38</v>
      </c>
      <c r="R91" s="38">
        <v>187</v>
      </c>
      <c r="S91" s="38">
        <v>522</v>
      </c>
      <c r="T91" s="38">
        <v>53</v>
      </c>
      <c r="U91" s="38">
        <f t="shared" si="65"/>
        <v>3549</v>
      </c>
      <c r="V91">
        <v>1142</v>
      </c>
      <c r="W91">
        <v>71</v>
      </c>
      <c r="X91">
        <v>18</v>
      </c>
      <c r="Y91">
        <v>57</v>
      </c>
      <c r="Z91">
        <v>828</v>
      </c>
      <c r="AA91">
        <v>767</v>
      </c>
      <c r="AB91">
        <v>4.8</v>
      </c>
      <c r="AC91">
        <v>6</v>
      </c>
      <c r="AD91">
        <v>6</v>
      </c>
      <c r="AE91">
        <v>41</v>
      </c>
      <c r="AF91" s="45">
        <f t="shared" ca="1" si="60"/>
        <v>6356</v>
      </c>
      <c r="AG91" s="45">
        <f t="shared" ca="1" si="66"/>
        <v>1684</v>
      </c>
      <c r="AH91" s="45">
        <f t="shared" ca="1" si="67"/>
        <v>1196</v>
      </c>
      <c r="AI91" s="45">
        <f t="shared" ca="1" si="68"/>
        <v>239</v>
      </c>
      <c r="AJ91" s="45">
        <f t="shared" ca="1" si="69"/>
        <v>26</v>
      </c>
      <c r="AK91" s="45">
        <f t="shared" ca="1" si="70"/>
        <v>223</v>
      </c>
      <c r="AL91" s="45">
        <f t="shared" ca="1" si="71"/>
        <v>696</v>
      </c>
      <c r="AM91" s="45">
        <f t="shared" ca="1" si="72"/>
        <v>48</v>
      </c>
      <c r="AN91" s="45">
        <f t="shared" ca="1" si="73"/>
        <v>3928</v>
      </c>
      <c r="AO91">
        <v>4315</v>
      </c>
      <c r="AP91">
        <v>1504</v>
      </c>
      <c r="AQ91">
        <v>177</v>
      </c>
      <c r="AR91">
        <v>590</v>
      </c>
      <c r="AS91">
        <v>991</v>
      </c>
      <c r="AT91">
        <v>107</v>
      </c>
      <c r="AU91">
        <v>159</v>
      </c>
      <c r="AV91">
        <v>0.98199999999999998</v>
      </c>
      <c r="AW91" s="1"/>
      <c r="AX91" s="47" t="s">
        <v>149</v>
      </c>
      <c r="AY91" s="47">
        <f t="shared" si="74"/>
        <v>29700</v>
      </c>
      <c r="AZ91" s="49">
        <f t="shared" si="75"/>
        <v>165582</v>
      </c>
      <c r="BA91" s="49">
        <f t="shared" ref="BA91" si="98">SUMIF($B$2:$B$571,$B91,$P$2:$P$571)</f>
        <v>8700</v>
      </c>
      <c r="BB91" s="48">
        <f t="shared" si="77"/>
        <v>5.2541942964815014E-2</v>
      </c>
    </row>
    <row r="92" spans="2:54" x14ac:dyDescent="0.2">
      <c r="B92" s="3">
        <v>2003</v>
      </c>
      <c r="C92" t="s">
        <v>36</v>
      </c>
      <c r="D92" t="s">
        <v>37</v>
      </c>
      <c r="E92">
        <v>3</v>
      </c>
      <c r="F92" t="s">
        <v>38</v>
      </c>
      <c r="G92" t="s">
        <v>38</v>
      </c>
      <c r="H92" t="s">
        <v>38</v>
      </c>
      <c r="I92" t="s">
        <v>38</v>
      </c>
      <c r="J92">
        <v>77</v>
      </c>
      <c r="K92">
        <v>85</v>
      </c>
      <c r="L92">
        <v>736</v>
      </c>
      <c r="M92" s="38">
        <v>5487</v>
      </c>
      <c r="N92" s="38">
        <v>1473</v>
      </c>
      <c r="O92" s="38">
        <f t="shared" si="64"/>
        <v>1014</v>
      </c>
      <c r="P92" s="38">
        <v>276</v>
      </c>
      <c r="Q92" s="38">
        <v>33</v>
      </c>
      <c r="R92" s="38">
        <v>150</v>
      </c>
      <c r="S92" s="38">
        <v>476</v>
      </c>
      <c r="T92" s="38">
        <v>56</v>
      </c>
      <c r="U92" s="38">
        <f t="shared" si="65"/>
        <v>3482</v>
      </c>
      <c r="V92">
        <v>838</v>
      </c>
      <c r="W92">
        <v>129</v>
      </c>
      <c r="X92">
        <v>61</v>
      </c>
      <c r="Y92">
        <v>50</v>
      </c>
      <c r="Z92">
        <v>743</v>
      </c>
      <c r="AA92">
        <v>680</v>
      </c>
      <c r="AB92">
        <v>4.28</v>
      </c>
      <c r="AC92">
        <v>5</v>
      </c>
      <c r="AD92">
        <v>9</v>
      </c>
      <c r="AE92">
        <v>39</v>
      </c>
      <c r="AF92" s="45">
        <f t="shared" ca="1" si="60"/>
        <v>6286</v>
      </c>
      <c r="AG92" s="45">
        <f t="shared" ca="1" si="66"/>
        <v>1517</v>
      </c>
      <c r="AH92" s="45">
        <f t="shared" ca="1" si="67"/>
        <v>1089</v>
      </c>
      <c r="AI92" s="45">
        <f t="shared" ca="1" si="68"/>
        <v>265</v>
      </c>
      <c r="AJ92" s="45">
        <f t="shared" ca="1" si="69"/>
        <v>22</v>
      </c>
      <c r="AK92" s="45">
        <f t="shared" ca="1" si="70"/>
        <v>141</v>
      </c>
      <c r="AL92" s="45">
        <f t="shared" ca="1" si="71"/>
        <v>583</v>
      </c>
      <c r="AM92" s="45">
        <f t="shared" ca="1" si="72"/>
        <v>54</v>
      </c>
      <c r="AN92" s="45">
        <f t="shared" ca="1" si="73"/>
        <v>4132</v>
      </c>
      <c r="AO92">
        <v>4294</v>
      </c>
      <c r="AP92">
        <v>1444</v>
      </c>
      <c r="AQ92">
        <v>190</v>
      </c>
      <c r="AR92">
        <v>486</v>
      </c>
      <c r="AS92">
        <v>980</v>
      </c>
      <c r="AT92">
        <v>105</v>
      </c>
      <c r="AU92">
        <v>138</v>
      </c>
      <c r="AV92">
        <v>0.98199999999999998</v>
      </c>
      <c r="AW92" s="1"/>
      <c r="AX92" s="47" t="s">
        <v>150</v>
      </c>
      <c r="AY92" s="47">
        <f t="shared" si="74"/>
        <v>29700</v>
      </c>
      <c r="AZ92" s="49">
        <f t="shared" si="75"/>
        <v>166737</v>
      </c>
      <c r="BA92" s="49">
        <f t="shared" ref="BA92" si="99">SUMIF($B$2:$B$571,$B92,$Q$2:$Q$571)</f>
        <v>934</v>
      </c>
      <c r="BB92" s="48">
        <f t="shared" si="77"/>
        <v>5.6016361095617652E-3</v>
      </c>
    </row>
    <row r="93" spans="2:54" x14ac:dyDescent="0.2">
      <c r="B93" s="3">
        <v>2003</v>
      </c>
      <c r="C93" t="s">
        <v>39</v>
      </c>
      <c r="D93" t="s">
        <v>40</v>
      </c>
      <c r="E93">
        <v>3</v>
      </c>
      <c r="F93" t="s">
        <v>38</v>
      </c>
      <c r="G93" t="s">
        <v>38</v>
      </c>
      <c r="H93" t="s">
        <v>38</v>
      </c>
      <c r="I93" t="s">
        <v>38</v>
      </c>
      <c r="J93">
        <v>84</v>
      </c>
      <c r="K93">
        <v>78</v>
      </c>
      <c r="L93">
        <v>717</v>
      </c>
      <c r="M93" s="38">
        <v>5570</v>
      </c>
      <c r="N93" s="38">
        <v>1467</v>
      </c>
      <c r="O93" s="38">
        <f t="shared" si="64"/>
        <v>965</v>
      </c>
      <c r="P93" s="38">
        <v>303</v>
      </c>
      <c r="Q93" s="38">
        <v>47</v>
      </c>
      <c r="R93" s="38">
        <v>152</v>
      </c>
      <c r="S93" s="38">
        <v>531</v>
      </c>
      <c r="T93" s="38">
        <v>45</v>
      </c>
      <c r="U93" s="38">
        <f t="shared" si="65"/>
        <v>3527</v>
      </c>
      <c r="V93">
        <v>1006</v>
      </c>
      <c r="W93">
        <v>76</v>
      </c>
      <c r="X93">
        <v>38</v>
      </c>
      <c r="Y93">
        <v>52</v>
      </c>
      <c r="Z93">
        <v>685</v>
      </c>
      <c r="AA93">
        <v>621</v>
      </c>
      <c r="AB93">
        <v>3.84</v>
      </c>
      <c r="AC93">
        <v>7</v>
      </c>
      <c r="AD93">
        <v>11</v>
      </c>
      <c r="AE93">
        <v>42</v>
      </c>
      <c r="AF93" s="45">
        <f t="shared" ca="1" si="60"/>
        <v>6281</v>
      </c>
      <c r="AG93" s="45">
        <f t="shared" ca="1" si="66"/>
        <v>1475</v>
      </c>
      <c r="AH93" s="45">
        <f t="shared" ca="1" si="67"/>
        <v>911</v>
      </c>
      <c r="AI93" s="45">
        <f t="shared" ca="1" si="68"/>
        <v>347</v>
      </c>
      <c r="AJ93" s="45">
        <f t="shared" ca="1" si="69"/>
        <v>42</v>
      </c>
      <c r="AK93" s="45">
        <f t="shared" ca="1" si="70"/>
        <v>175</v>
      </c>
      <c r="AL93" s="45">
        <f t="shared" ca="1" si="71"/>
        <v>588</v>
      </c>
      <c r="AM93" s="45">
        <f t="shared" ca="1" si="72"/>
        <v>86</v>
      </c>
      <c r="AN93" s="45">
        <f t="shared" ca="1" si="73"/>
        <v>4132</v>
      </c>
      <c r="AO93">
        <v>4365</v>
      </c>
      <c r="AP93">
        <v>1379</v>
      </c>
      <c r="AQ93">
        <v>150</v>
      </c>
      <c r="AR93">
        <v>526</v>
      </c>
      <c r="AS93">
        <v>1291</v>
      </c>
      <c r="AT93">
        <v>107</v>
      </c>
      <c r="AU93">
        <v>132</v>
      </c>
      <c r="AV93">
        <v>0.98299999999999998</v>
      </c>
      <c r="AW93" s="1"/>
      <c r="AX93" s="47" t="s">
        <v>151</v>
      </c>
      <c r="AY93" s="47">
        <f t="shared" si="74"/>
        <v>29700</v>
      </c>
      <c r="AZ93" s="49">
        <f t="shared" si="75"/>
        <v>166737</v>
      </c>
      <c r="BA93" s="49">
        <f t="shared" ref="BA93" si="100">SUMIF($B$2:$B$571,$B93,$R$2:$R$571)</f>
        <v>5207</v>
      </c>
      <c r="BB93" s="48">
        <f t="shared" si="77"/>
        <v>3.1228821437353439E-2</v>
      </c>
    </row>
    <row r="94" spans="2:54" x14ac:dyDescent="0.2">
      <c r="B94" s="3">
        <v>2003</v>
      </c>
      <c r="C94" t="s">
        <v>41</v>
      </c>
      <c r="D94" t="s">
        <v>42</v>
      </c>
      <c r="E94">
        <v>1</v>
      </c>
      <c r="F94" t="s">
        <v>43</v>
      </c>
      <c r="G94" t="s">
        <v>38</v>
      </c>
      <c r="H94" t="s">
        <v>38</v>
      </c>
      <c r="I94" t="s">
        <v>38</v>
      </c>
      <c r="J94">
        <v>101</v>
      </c>
      <c r="K94">
        <v>61</v>
      </c>
      <c r="L94">
        <v>907</v>
      </c>
      <c r="M94" s="38">
        <v>5670</v>
      </c>
      <c r="N94" s="38">
        <v>1608</v>
      </c>
      <c r="O94" s="38">
        <f t="shared" si="64"/>
        <v>1021</v>
      </c>
      <c r="P94" s="38">
        <v>321</v>
      </c>
      <c r="Q94" s="38">
        <v>31</v>
      </c>
      <c r="R94" s="38">
        <v>235</v>
      </c>
      <c r="S94" s="38">
        <v>545</v>
      </c>
      <c r="T94" s="38">
        <v>49</v>
      </c>
      <c r="U94" s="38">
        <f t="shared" si="65"/>
        <v>3468</v>
      </c>
      <c r="V94">
        <v>933</v>
      </c>
      <c r="W94">
        <v>68</v>
      </c>
      <c r="X94">
        <v>22</v>
      </c>
      <c r="Y94">
        <v>49</v>
      </c>
      <c r="Z94">
        <v>740</v>
      </c>
      <c r="AA94">
        <v>663</v>
      </c>
      <c r="AB94">
        <v>4.0999999999999996</v>
      </c>
      <c r="AC94">
        <v>4</v>
      </c>
      <c r="AD94">
        <v>7</v>
      </c>
      <c r="AE94">
        <v>51</v>
      </c>
      <c r="AF94" s="45">
        <f t="shared" ca="1" si="60"/>
        <v>6423</v>
      </c>
      <c r="AG94" s="45">
        <f t="shared" ca="1" si="66"/>
        <v>1448</v>
      </c>
      <c r="AH94" s="45">
        <f t="shared" ca="1" si="67"/>
        <v>822</v>
      </c>
      <c r="AI94" s="45">
        <f t="shared" ca="1" si="68"/>
        <v>356</v>
      </c>
      <c r="AJ94" s="45">
        <f t="shared" ca="1" si="69"/>
        <v>38</v>
      </c>
      <c r="AK94" s="45">
        <f t="shared" ca="1" si="70"/>
        <v>232</v>
      </c>
      <c r="AL94" s="45">
        <f t="shared" ca="1" si="71"/>
        <v>465</v>
      </c>
      <c r="AM94" s="45">
        <f t="shared" ca="1" si="72"/>
        <v>62</v>
      </c>
      <c r="AN94" s="45">
        <f t="shared" ca="1" si="73"/>
        <v>4448</v>
      </c>
      <c r="AO94">
        <v>4369</v>
      </c>
      <c r="AP94">
        <v>1425</v>
      </c>
      <c r="AQ94">
        <v>147</v>
      </c>
      <c r="AR94">
        <v>555</v>
      </c>
      <c r="AS94">
        <v>992</v>
      </c>
      <c r="AT94">
        <v>121</v>
      </c>
      <c r="AU94">
        <v>166</v>
      </c>
      <c r="AV94">
        <v>0.98099999999999998</v>
      </c>
      <c r="AW94" s="1"/>
      <c r="AX94" s="47" t="s">
        <v>152</v>
      </c>
      <c r="AY94" s="47">
        <f t="shared" si="74"/>
        <v>29700</v>
      </c>
      <c r="AZ94" s="49">
        <f t="shared" si="75"/>
        <v>166737</v>
      </c>
      <c r="BA94" s="49">
        <f t="shared" ref="BA94" si="101">SUMIF($B$2:$B$571,$B94,$S$2:$S$571)</f>
        <v>15889</v>
      </c>
      <c r="BB94" s="48">
        <f t="shared" si="77"/>
        <v>9.5293786022298585E-2</v>
      </c>
    </row>
    <row r="95" spans="2:54" x14ac:dyDescent="0.2">
      <c r="B95" s="3">
        <v>2003</v>
      </c>
      <c r="C95" t="s">
        <v>44</v>
      </c>
      <c r="D95" t="s">
        <v>45</v>
      </c>
      <c r="E95">
        <v>4</v>
      </c>
      <c r="F95" t="s">
        <v>38</v>
      </c>
      <c r="G95" t="s">
        <v>38</v>
      </c>
      <c r="H95" t="s">
        <v>38</v>
      </c>
      <c r="I95" t="s">
        <v>38</v>
      </c>
      <c r="J95">
        <v>71</v>
      </c>
      <c r="K95">
        <v>91</v>
      </c>
      <c r="L95">
        <v>743</v>
      </c>
      <c r="M95" s="38">
        <v>5665</v>
      </c>
      <c r="N95" s="38">
        <v>1516</v>
      </c>
      <c r="O95" s="38">
        <f t="shared" si="64"/>
        <v>1063</v>
      </c>
      <c r="P95" s="38">
        <v>277</v>
      </c>
      <c r="Q95" s="38">
        <v>24</v>
      </c>
      <c r="R95" s="38">
        <v>152</v>
      </c>
      <c r="S95" s="38">
        <v>431</v>
      </c>
      <c r="T95" s="38">
        <v>54</v>
      </c>
      <c r="U95" s="38">
        <f t="shared" si="65"/>
        <v>3664</v>
      </c>
      <c r="V95">
        <v>902</v>
      </c>
      <c r="W95">
        <v>89</v>
      </c>
      <c r="X95">
        <v>36</v>
      </c>
      <c r="Y95">
        <v>40</v>
      </c>
      <c r="Z95">
        <v>820</v>
      </c>
      <c r="AA95">
        <v>767</v>
      </c>
      <c r="AB95">
        <v>4.76</v>
      </c>
      <c r="AC95">
        <v>9</v>
      </c>
      <c r="AD95">
        <v>3</v>
      </c>
      <c r="AE95">
        <v>41</v>
      </c>
      <c r="AF95" s="45">
        <f t="shared" ca="1" si="60"/>
        <v>6380</v>
      </c>
      <c r="AG95" s="45">
        <f t="shared" ca="1" si="66"/>
        <v>1378</v>
      </c>
      <c r="AH95" s="45">
        <f t="shared" ca="1" si="67"/>
        <v>749</v>
      </c>
      <c r="AI95" s="45">
        <f t="shared" ca="1" si="68"/>
        <v>342</v>
      </c>
      <c r="AJ95" s="45">
        <f t="shared" ca="1" si="69"/>
        <v>50</v>
      </c>
      <c r="AK95" s="45">
        <f t="shared" ca="1" si="70"/>
        <v>237</v>
      </c>
      <c r="AL95" s="45">
        <f t="shared" ca="1" si="71"/>
        <v>573</v>
      </c>
      <c r="AM95" s="45">
        <f t="shared" ca="1" si="72"/>
        <v>33</v>
      </c>
      <c r="AN95" s="45">
        <f t="shared" ca="1" si="73"/>
        <v>4396</v>
      </c>
      <c r="AO95">
        <v>4349</v>
      </c>
      <c r="AP95">
        <v>1579</v>
      </c>
      <c r="AQ95">
        <v>198</v>
      </c>
      <c r="AR95">
        <v>526</v>
      </c>
      <c r="AS95">
        <v>981</v>
      </c>
      <c r="AT95">
        <v>105</v>
      </c>
      <c r="AU95">
        <v>164</v>
      </c>
      <c r="AV95">
        <v>0.98299999999999998</v>
      </c>
      <c r="AW95" s="1"/>
      <c r="AX95" s="47" t="s">
        <v>153</v>
      </c>
      <c r="AY95" s="47">
        <f t="shared" si="74"/>
        <v>29700</v>
      </c>
      <c r="AZ95" s="49">
        <f t="shared" si="75"/>
        <v>166737</v>
      </c>
      <c r="BA95" s="49">
        <f t="shared" ref="BA95" si="102">SUMIF($B$2:$B$571,$B95,$T$2:$T$571)</f>
        <v>1849</v>
      </c>
      <c r="BB95" s="48">
        <f t="shared" si="77"/>
        <v>1.1089320306830517E-2</v>
      </c>
    </row>
    <row r="96" spans="2:54" x14ac:dyDescent="0.2">
      <c r="B96" s="3">
        <v>2003</v>
      </c>
      <c r="C96" t="s">
        <v>46</v>
      </c>
      <c r="D96" t="s">
        <v>47</v>
      </c>
      <c r="E96">
        <v>2</v>
      </c>
      <c r="F96" t="s">
        <v>38</v>
      </c>
      <c r="G96" t="s">
        <v>43</v>
      </c>
      <c r="H96" t="s">
        <v>38</v>
      </c>
      <c r="I96" t="s">
        <v>38</v>
      </c>
      <c r="J96">
        <v>95</v>
      </c>
      <c r="K96">
        <v>67</v>
      </c>
      <c r="L96">
        <v>961</v>
      </c>
      <c r="M96" s="38">
        <v>5769</v>
      </c>
      <c r="N96" s="38">
        <v>1667</v>
      </c>
      <c r="O96" s="38">
        <f t="shared" si="64"/>
        <v>1018</v>
      </c>
      <c r="P96" s="38">
        <v>371</v>
      </c>
      <c r="Q96" s="38">
        <v>40</v>
      </c>
      <c r="R96" s="38">
        <v>238</v>
      </c>
      <c r="S96" s="38">
        <v>620</v>
      </c>
      <c r="T96" s="38">
        <v>53</v>
      </c>
      <c r="U96" s="38">
        <f t="shared" si="65"/>
        <v>3429</v>
      </c>
      <c r="V96">
        <v>943</v>
      </c>
      <c r="W96">
        <v>88</v>
      </c>
      <c r="X96">
        <v>35</v>
      </c>
      <c r="Y96">
        <v>64</v>
      </c>
      <c r="Z96">
        <v>809</v>
      </c>
      <c r="AA96">
        <v>729</v>
      </c>
      <c r="AB96">
        <v>4.4800000000000004</v>
      </c>
      <c r="AC96">
        <v>5</v>
      </c>
      <c r="AD96">
        <v>6</v>
      </c>
      <c r="AE96">
        <v>36</v>
      </c>
      <c r="AF96" s="45">
        <f t="shared" ca="1" si="60"/>
        <v>6458</v>
      </c>
      <c r="AG96" s="45">
        <f t="shared" ca="1" si="66"/>
        <v>1630</v>
      </c>
      <c r="AH96" s="45">
        <f t="shared" ca="1" si="67"/>
        <v>1192</v>
      </c>
      <c r="AI96" s="45">
        <f t="shared" ca="1" si="68"/>
        <v>231</v>
      </c>
      <c r="AJ96" s="45">
        <f t="shared" ca="1" si="69"/>
        <v>49</v>
      </c>
      <c r="AK96" s="45">
        <f t="shared" ca="1" si="70"/>
        <v>158</v>
      </c>
      <c r="AL96" s="45">
        <f t="shared" ca="1" si="71"/>
        <v>405</v>
      </c>
      <c r="AM96" s="45">
        <f t="shared" ca="1" si="72"/>
        <v>44</v>
      </c>
      <c r="AN96" s="45">
        <f t="shared" ca="1" si="73"/>
        <v>4379</v>
      </c>
      <c r="AO96">
        <v>4394</v>
      </c>
      <c r="AP96">
        <v>1503</v>
      </c>
      <c r="AQ96">
        <v>153</v>
      </c>
      <c r="AR96">
        <v>488</v>
      </c>
      <c r="AS96">
        <v>1141</v>
      </c>
      <c r="AT96">
        <v>113</v>
      </c>
      <c r="AU96">
        <v>130</v>
      </c>
      <c r="AV96">
        <v>0.98199999999999998</v>
      </c>
      <c r="AW96" s="1"/>
      <c r="AX96" s="47" t="s">
        <v>154</v>
      </c>
      <c r="AY96" s="47">
        <f t="shared" si="74"/>
        <v>29700</v>
      </c>
      <c r="AZ96" s="49">
        <f t="shared" si="75"/>
        <v>166737</v>
      </c>
      <c r="BA96" s="49">
        <f t="shared" ref="BA96" si="103">SUMIF($B$2:$B$571,$B96,$U$2:$U$571)</f>
        <v>104942</v>
      </c>
      <c r="BB96" s="48">
        <f t="shared" si="77"/>
        <v>0.62938639893964743</v>
      </c>
    </row>
    <row r="97" spans="2:54" x14ac:dyDescent="0.2">
      <c r="B97" s="3">
        <v>2003</v>
      </c>
      <c r="C97" t="s">
        <v>48</v>
      </c>
      <c r="D97" t="s">
        <v>49</v>
      </c>
      <c r="E97">
        <v>2</v>
      </c>
      <c r="F97" t="s">
        <v>38</v>
      </c>
      <c r="G97" t="s">
        <v>38</v>
      </c>
      <c r="H97" t="s">
        <v>38</v>
      </c>
      <c r="I97" t="s">
        <v>38</v>
      </c>
      <c r="J97">
        <v>86</v>
      </c>
      <c r="K97">
        <v>76</v>
      </c>
      <c r="L97">
        <v>791</v>
      </c>
      <c r="M97" s="38">
        <v>5487</v>
      </c>
      <c r="N97" s="38">
        <v>1445</v>
      </c>
      <c r="O97" s="38">
        <f t="shared" si="64"/>
        <v>903</v>
      </c>
      <c r="P97" s="38">
        <v>303</v>
      </c>
      <c r="Q97" s="38">
        <v>19</v>
      </c>
      <c r="R97" s="38">
        <v>220</v>
      </c>
      <c r="S97" s="38">
        <v>519</v>
      </c>
      <c r="T97" s="38">
        <v>58</v>
      </c>
      <c r="U97" s="38">
        <f t="shared" si="65"/>
        <v>3465</v>
      </c>
      <c r="V97">
        <v>916</v>
      </c>
      <c r="W97">
        <v>77</v>
      </c>
      <c r="X97">
        <v>29</v>
      </c>
      <c r="Y97">
        <v>41</v>
      </c>
      <c r="Z97">
        <v>715</v>
      </c>
      <c r="AA97">
        <v>663</v>
      </c>
      <c r="AB97">
        <v>4.17</v>
      </c>
      <c r="AC97">
        <v>12</v>
      </c>
      <c r="AD97">
        <v>4</v>
      </c>
      <c r="AE97">
        <v>36</v>
      </c>
      <c r="AF97" s="45">
        <f t="shared" ca="1" si="60"/>
        <v>6284</v>
      </c>
      <c r="AG97" s="45">
        <f t="shared" ca="1" si="66"/>
        <v>1590</v>
      </c>
      <c r="AH97" s="45">
        <f t="shared" ca="1" si="67"/>
        <v>1134</v>
      </c>
      <c r="AI97" s="45">
        <f t="shared" ca="1" si="68"/>
        <v>261</v>
      </c>
      <c r="AJ97" s="45">
        <f t="shared" ca="1" si="69"/>
        <v>27</v>
      </c>
      <c r="AK97" s="45">
        <f t="shared" ca="1" si="70"/>
        <v>168</v>
      </c>
      <c r="AL97" s="45">
        <f t="shared" ca="1" si="71"/>
        <v>686</v>
      </c>
      <c r="AM97" s="45">
        <f t="shared" ca="1" si="72"/>
        <v>80</v>
      </c>
      <c r="AN97" s="45">
        <f t="shared" ca="1" si="73"/>
        <v>3928</v>
      </c>
      <c r="AO97">
        <v>4293</v>
      </c>
      <c r="AP97">
        <v>1364</v>
      </c>
      <c r="AQ97">
        <v>162</v>
      </c>
      <c r="AR97">
        <v>518</v>
      </c>
      <c r="AS97">
        <v>1056</v>
      </c>
      <c r="AT97">
        <v>93</v>
      </c>
      <c r="AU97">
        <v>154</v>
      </c>
      <c r="AV97">
        <v>0.98399999999999999</v>
      </c>
      <c r="AW97" s="1"/>
      <c r="AX97" s="47" t="s">
        <v>155</v>
      </c>
      <c r="AY97" s="47">
        <f t="shared" si="74"/>
        <v>29700</v>
      </c>
      <c r="AZ97" s="49">
        <f t="shared" si="75"/>
        <v>166737</v>
      </c>
      <c r="BA97" s="49"/>
      <c r="BB97" s="48">
        <f t="shared" si="77"/>
        <v>0</v>
      </c>
    </row>
    <row r="98" spans="2:54" x14ac:dyDescent="0.2">
      <c r="B98" s="3">
        <v>2003</v>
      </c>
      <c r="C98" t="s">
        <v>50</v>
      </c>
      <c r="D98" t="s">
        <v>51</v>
      </c>
      <c r="E98">
        <v>1</v>
      </c>
      <c r="F98" t="s">
        <v>43</v>
      </c>
      <c r="G98" t="s">
        <v>38</v>
      </c>
      <c r="H98" t="s">
        <v>38</v>
      </c>
      <c r="I98" t="s">
        <v>38</v>
      </c>
      <c r="J98">
        <v>88</v>
      </c>
      <c r="K98">
        <v>74</v>
      </c>
      <c r="L98">
        <v>724</v>
      </c>
      <c r="M98" s="38">
        <v>5519</v>
      </c>
      <c r="N98" s="38">
        <v>1431</v>
      </c>
      <c r="O98" s="38">
        <f t="shared" si="64"/>
        <v>933</v>
      </c>
      <c r="P98" s="38">
        <v>302</v>
      </c>
      <c r="Q98" s="38">
        <v>24</v>
      </c>
      <c r="R98" s="38">
        <v>172</v>
      </c>
      <c r="S98" s="38">
        <v>492</v>
      </c>
      <c r="T98" s="38">
        <v>50</v>
      </c>
      <c r="U98" s="38">
        <f t="shared" si="65"/>
        <v>3546</v>
      </c>
      <c r="V98">
        <v>1158</v>
      </c>
      <c r="W98">
        <v>73</v>
      </c>
      <c r="X98">
        <v>31</v>
      </c>
      <c r="Y98">
        <v>46</v>
      </c>
      <c r="Z98">
        <v>683</v>
      </c>
      <c r="AA98">
        <v>619</v>
      </c>
      <c r="AB98">
        <v>3.83</v>
      </c>
      <c r="AC98">
        <v>13</v>
      </c>
      <c r="AD98">
        <v>14</v>
      </c>
      <c r="AE98">
        <v>36</v>
      </c>
      <c r="AF98" s="45">
        <f t="shared" ca="1" si="60"/>
        <v>6175</v>
      </c>
      <c r="AG98" s="45">
        <f t="shared" ca="1" si="66"/>
        <v>1686</v>
      </c>
      <c r="AH98" s="45">
        <f t="shared" ca="1" si="67"/>
        <v>1098</v>
      </c>
      <c r="AI98" s="45">
        <f t="shared" ca="1" si="68"/>
        <v>370</v>
      </c>
      <c r="AJ98" s="45">
        <f t="shared" ca="1" si="69"/>
        <v>22</v>
      </c>
      <c r="AK98" s="45">
        <f t="shared" ca="1" si="70"/>
        <v>196</v>
      </c>
      <c r="AL98" s="45">
        <f t="shared" ca="1" si="71"/>
        <v>508</v>
      </c>
      <c r="AM98" s="45">
        <f t="shared" ca="1" si="72"/>
        <v>75</v>
      </c>
      <c r="AN98" s="45">
        <f t="shared" ca="1" si="73"/>
        <v>3906</v>
      </c>
      <c r="AO98">
        <v>4369</v>
      </c>
      <c r="AP98">
        <v>1304</v>
      </c>
      <c r="AQ98">
        <v>143</v>
      </c>
      <c r="AR98">
        <v>617</v>
      </c>
      <c r="AS98">
        <v>1404</v>
      </c>
      <c r="AT98">
        <v>106</v>
      </c>
      <c r="AU98">
        <v>157</v>
      </c>
      <c r="AV98">
        <v>0.98299999999999998</v>
      </c>
      <c r="AW98" s="1">
        <v>2012</v>
      </c>
      <c r="AX98" s="47" t="s">
        <v>148</v>
      </c>
      <c r="AY98" s="47">
        <f t="shared" si="74"/>
        <v>29700</v>
      </c>
      <c r="AZ98" s="49">
        <f t="shared" si="75"/>
        <v>166737</v>
      </c>
      <c r="BA98" s="49">
        <f t="shared" ref="BA98" si="104">SUMIF($B$2:$B$571,$B98,$O$2:$O$571)</f>
        <v>29089</v>
      </c>
      <c r="BB98" s="48">
        <f t="shared" si="77"/>
        <v>0.17446037772060191</v>
      </c>
    </row>
    <row r="99" spans="2:54" x14ac:dyDescent="0.2">
      <c r="B99" s="3">
        <v>2003</v>
      </c>
      <c r="C99" t="s">
        <v>52</v>
      </c>
      <c r="D99" t="s">
        <v>53</v>
      </c>
      <c r="E99">
        <v>5</v>
      </c>
      <c r="F99" t="s">
        <v>38</v>
      </c>
      <c r="G99" t="s">
        <v>38</v>
      </c>
      <c r="H99" t="s">
        <v>38</v>
      </c>
      <c r="I99" t="s">
        <v>38</v>
      </c>
      <c r="J99">
        <v>69</v>
      </c>
      <c r="K99">
        <v>93</v>
      </c>
      <c r="L99">
        <v>694</v>
      </c>
      <c r="M99" s="38">
        <v>5509</v>
      </c>
      <c r="N99" s="38">
        <v>1349</v>
      </c>
      <c r="O99" s="38">
        <f t="shared" si="64"/>
        <v>907</v>
      </c>
      <c r="P99" s="38">
        <v>239</v>
      </c>
      <c r="Q99" s="38">
        <v>21</v>
      </c>
      <c r="R99" s="38">
        <v>182</v>
      </c>
      <c r="S99" s="38">
        <v>524</v>
      </c>
      <c r="T99" s="38">
        <v>79</v>
      </c>
      <c r="U99" s="38">
        <f t="shared" si="65"/>
        <v>3557</v>
      </c>
      <c r="V99">
        <v>1326</v>
      </c>
      <c r="W99">
        <v>80</v>
      </c>
      <c r="X99">
        <v>34</v>
      </c>
      <c r="Y99">
        <v>32</v>
      </c>
      <c r="Z99">
        <v>886</v>
      </c>
      <c r="AA99">
        <v>818</v>
      </c>
      <c r="AB99">
        <v>5.09</v>
      </c>
      <c r="AC99">
        <v>4</v>
      </c>
      <c r="AD99">
        <v>5</v>
      </c>
      <c r="AE99">
        <v>38</v>
      </c>
      <c r="AF99" s="45">
        <f t="shared" ca="1" si="60"/>
        <v>6259</v>
      </c>
      <c r="AG99" s="45">
        <f t="shared" ca="1" si="66"/>
        <v>1397</v>
      </c>
      <c r="AH99" s="45">
        <f t="shared" ca="1" si="67"/>
        <v>812</v>
      </c>
      <c r="AI99" s="45">
        <f t="shared" ca="1" si="68"/>
        <v>363</v>
      </c>
      <c r="AJ99" s="45">
        <f t="shared" ca="1" si="69"/>
        <v>50</v>
      </c>
      <c r="AK99" s="45">
        <f t="shared" ca="1" si="70"/>
        <v>172</v>
      </c>
      <c r="AL99" s="45">
        <f t="shared" ca="1" si="71"/>
        <v>635</v>
      </c>
      <c r="AM99" s="45">
        <f t="shared" ca="1" si="72"/>
        <v>61</v>
      </c>
      <c r="AN99" s="45">
        <f t="shared" ca="1" si="73"/>
        <v>4166</v>
      </c>
      <c r="AO99">
        <v>4339</v>
      </c>
      <c r="AP99">
        <v>1578</v>
      </c>
      <c r="AQ99">
        <v>209</v>
      </c>
      <c r="AR99">
        <v>590</v>
      </c>
      <c r="AS99">
        <v>932</v>
      </c>
      <c r="AT99">
        <v>141</v>
      </c>
      <c r="AU99">
        <v>152</v>
      </c>
      <c r="AV99">
        <v>0.97699999999999998</v>
      </c>
      <c r="AW99" s="1"/>
      <c r="AX99" s="47" t="s">
        <v>149</v>
      </c>
      <c r="AY99" s="47">
        <f t="shared" si="74"/>
        <v>29700</v>
      </c>
      <c r="AZ99" s="49">
        <f t="shared" si="75"/>
        <v>166737</v>
      </c>
      <c r="BA99" s="49">
        <f t="shared" ref="BA99" si="105">SUMIF($B$2:$B$571,$B99,$P$2:$P$571)</f>
        <v>8827</v>
      </c>
      <c r="BB99" s="48">
        <f t="shared" si="77"/>
        <v>5.2939659463706316E-2</v>
      </c>
    </row>
    <row r="100" spans="2:54" x14ac:dyDescent="0.2">
      <c r="B100" s="3">
        <v>2003</v>
      </c>
      <c r="C100" t="s">
        <v>54</v>
      </c>
      <c r="D100" t="s">
        <v>55</v>
      </c>
      <c r="E100">
        <v>4</v>
      </c>
      <c r="F100" t="s">
        <v>38</v>
      </c>
      <c r="G100" t="s">
        <v>38</v>
      </c>
      <c r="H100" t="s">
        <v>38</v>
      </c>
      <c r="I100" t="s">
        <v>38</v>
      </c>
      <c r="J100">
        <v>68</v>
      </c>
      <c r="K100">
        <v>94</v>
      </c>
      <c r="L100">
        <v>699</v>
      </c>
      <c r="M100" s="38">
        <v>5572</v>
      </c>
      <c r="N100" s="38">
        <v>1413</v>
      </c>
      <c r="O100" s="38">
        <f t="shared" si="64"/>
        <v>933</v>
      </c>
      <c r="P100" s="38">
        <v>296</v>
      </c>
      <c r="Q100" s="38">
        <v>26</v>
      </c>
      <c r="R100" s="38">
        <v>158</v>
      </c>
      <c r="S100" s="38">
        <v>466</v>
      </c>
      <c r="T100" s="38">
        <v>62</v>
      </c>
      <c r="U100" s="38">
        <f t="shared" si="65"/>
        <v>3631</v>
      </c>
      <c r="V100">
        <v>1062</v>
      </c>
      <c r="W100">
        <v>86</v>
      </c>
      <c r="X100">
        <v>61</v>
      </c>
      <c r="Y100">
        <v>41</v>
      </c>
      <c r="Z100">
        <v>778</v>
      </c>
      <c r="AA100">
        <v>682</v>
      </c>
      <c r="AB100">
        <v>4.21</v>
      </c>
      <c r="AC100">
        <v>5</v>
      </c>
      <c r="AD100">
        <v>7</v>
      </c>
      <c r="AE100">
        <v>34</v>
      </c>
      <c r="AF100" s="45">
        <f t="shared" ca="1" si="60"/>
        <v>6242</v>
      </c>
      <c r="AG100" s="45">
        <f t="shared" ca="1" si="66"/>
        <v>1646</v>
      </c>
      <c r="AH100" s="45">
        <f t="shared" ca="1" si="67"/>
        <v>1080</v>
      </c>
      <c r="AI100" s="45">
        <f t="shared" ca="1" si="68"/>
        <v>393</v>
      </c>
      <c r="AJ100" s="45">
        <f t="shared" ca="1" si="69"/>
        <v>43</v>
      </c>
      <c r="AK100" s="45">
        <f t="shared" ca="1" si="70"/>
        <v>130</v>
      </c>
      <c r="AL100" s="45">
        <f t="shared" ca="1" si="71"/>
        <v>641</v>
      </c>
      <c r="AM100" s="45">
        <f t="shared" ca="1" si="72"/>
        <v>85</v>
      </c>
      <c r="AN100" s="45">
        <f t="shared" ca="1" si="73"/>
        <v>3870</v>
      </c>
      <c r="AO100">
        <v>4378</v>
      </c>
      <c r="AP100">
        <v>1477</v>
      </c>
      <c r="AQ100">
        <v>179</v>
      </c>
      <c r="AR100">
        <v>501</v>
      </c>
      <c r="AS100">
        <v>943</v>
      </c>
      <c r="AT100">
        <v>126</v>
      </c>
      <c r="AU100">
        <v>178</v>
      </c>
      <c r="AV100">
        <v>0.98</v>
      </c>
      <c r="AW100" s="1"/>
      <c r="AX100" s="47" t="s">
        <v>150</v>
      </c>
      <c r="AY100" s="47">
        <f t="shared" si="74"/>
        <v>29700</v>
      </c>
      <c r="AZ100" s="49">
        <f t="shared" si="75"/>
        <v>166737</v>
      </c>
      <c r="BA100" s="49">
        <f t="shared" ref="BA100" si="106">SUMIF($B$2:$B$571,$B100,$Q$2:$Q$571)</f>
        <v>934</v>
      </c>
      <c r="BB100" s="48">
        <f t="shared" si="77"/>
        <v>5.6016361095617652E-3</v>
      </c>
    </row>
    <row r="101" spans="2:54" x14ac:dyDescent="0.2">
      <c r="B101" s="3">
        <v>2003</v>
      </c>
      <c r="C101" t="s">
        <v>56</v>
      </c>
      <c r="D101" t="s">
        <v>57</v>
      </c>
      <c r="E101">
        <v>4</v>
      </c>
      <c r="F101" t="s">
        <v>38</v>
      </c>
      <c r="G101" t="s">
        <v>38</v>
      </c>
      <c r="H101" t="s">
        <v>38</v>
      </c>
      <c r="I101" t="s">
        <v>38</v>
      </c>
      <c r="J101">
        <v>74</v>
      </c>
      <c r="K101">
        <v>88</v>
      </c>
      <c r="L101">
        <v>853</v>
      </c>
      <c r="M101" s="38">
        <v>5518</v>
      </c>
      <c r="N101" s="38">
        <v>1472</v>
      </c>
      <c r="O101" s="38">
        <f t="shared" si="64"/>
        <v>913</v>
      </c>
      <c r="P101" s="38">
        <v>330</v>
      </c>
      <c r="Q101" s="38">
        <v>31</v>
      </c>
      <c r="R101" s="38">
        <v>198</v>
      </c>
      <c r="S101" s="38">
        <v>619</v>
      </c>
      <c r="T101" s="38">
        <v>52</v>
      </c>
      <c r="U101" s="38">
        <f t="shared" si="65"/>
        <v>3375</v>
      </c>
      <c r="V101">
        <v>1134</v>
      </c>
      <c r="W101">
        <v>63</v>
      </c>
      <c r="X101">
        <v>37</v>
      </c>
      <c r="Y101">
        <v>38</v>
      </c>
      <c r="Z101">
        <v>892</v>
      </c>
      <c r="AA101">
        <v>821</v>
      </c>
      <c r="AB101">
        <v>5.2</v>
      </c>
      <c r="AC101">
        <v>3</v>
      </c>
      <c r="AD101">
        <v>4</v>
      </c>
      <c r="AE101">
        <v>34</v>
      </c>
      <c r="AF101" s="45">
        <f t="shared" ca="1" si="60"/>
        <v>6348</v>
      </c>
      <c r="AG101" s="45">
        <f t="shared" ca="1" si="66"/>
        <v>1589</v>
      </c>
      <c r="AH101" s="45">
        <f t="shared" ca="1" si="67"/>
        <v>1027</v>
      </c>
      <c r="AI101" s="45">
        <f t="shared" ca="1" si="68"/>
        <v>342</v>
      </c>
      <c r="AJ101" s="45">
        <f t="shared" ca="1" si="69"/>
        <v>49</v>
      </c>
      <c r="AK101" s="45">
        <f t="shared" ca="1" si="70"/>
        <v>171</v>
      </c>
      <c r="AL101" s="45">
        <f t="shared" ca="1" si="71"/>
        <v>630</v>
      </c>
      <c r="AM101" s="45">
        <f t="shared" ca="1" si="72"/>
        <v>67</v>
      </c>
      <c r="AN101" s="45">
        <f t="shared" ca="1" si="73"/>
        <v>4062</v>
      </c>
      <c r="AO101">
        <v>4260</v>
      </c>
      <c r="AP101">
        <v>1629</v>
      </c>
      <c r="AQ101">
        <v>200</v>
      </c>
      <c r="AR101">
        <v>552</v>
      </c>
      <c r="AS101">
        <v>866</v>
      </c>
      <c r="AT101">
        <v>116</v>
      </c>
      <c r="AU101">
        <v>165</v>
      </c>
      <c r="AV101">
        <v>0.98099999999999998</v>
      </c>
      <c r="AW101" s="1"/>
      <c r="AX101" s="47" t="s">
        <v>151</v>
      </c>
      <c r="AY101" s="47">
        <f t="shared" si="74"/>
        <v>29700</v>
      </c>
      <c r="AZ101" s="49">
        <f t="shared" si="75"/>
        <v>166737</v>
      </c>
      <c r="BA101" s="49">
        <f t="shared" ref="BA101" si="107">SUMIF($B$2:$B$571,$B101,$R$2:$R$571)</f>
        <v>5207</v>
      </c>
      <c r="BB101" s="48">
        <f t="shared" si="77"/>
        <v>3.1228821437353439E-2</v>
      </c>
    </row>
    <row r="102" spans="2:54" x14ac:dyDescent="0.2">
      <c r="B102" s="3">
        <v>2003</v>
      </c>
      <c r="C102" t="s">
        <v>58</v>
      </c>
      <c r="D102" t="s">
        <v>59</v>
      </c>
      <c r="E102">
        <v>5</v>
      </c>
      <c r="F102" t="s">
        <v>38</v>
      </c>
      <c r="G102" t="s">
        <v>38</v>
      </c>
      <c r="H102" t="s">
        <v>38</v>
      </c>
      <c r="I102" t="s">
        <v>38</v>
      </c>
      <c r="J102">
        <v>43</v>
      </c>
      <c r="K102">
        <v>119</v>
      </c>
      <c r="L102">
        <v>591</v>
      </c>
      <c r="M102" s="38">
        <v>5466</v>
      </c>
      <c r="N102" s="38">
        <v>1312</v>
      </c>
      <c r="O102" s="38">
        <f t="shared" si="64"/>
        <v>919</v>
      </c>
      <c r="P102" s="38">
        <v>201</v>
      </c>
      <c r="Q102" s="38">
        <v>39</v>
      </c>
      <c r="R102" s="38">
        <v>153</v>
      </c>
      <c r="S102" s="38">
        <v>443</v>
      </c>
      <c r="T102" s="38">
        <v>47</v>
      </c>
      <c r="U102" s="38">
        <f t="shared" si="65"/>
        <v>3664</v>
      </c>
      <c r="V102">
        <v>1099</v>
      </c>
      <c r="W102">
        <v>98</v>
      </c>
      <c r="X102">
        <v>63</v>
      </c>
      <c r="Y102">
        <v>49</v>
      </c>
      <c r="Z102">
        <v>928</v>
      </c>
      <c r="AA102">
        <v>847</v>
      </c>
      <c r="AB102">
        <v>5.3</v>
      </c>
      <c r="AC102">
        <v>3</v>
      </c>
      <c r="AD102">
        <v>5</v>
      </c>
      <c r="AE102">
        <v>27</v>
      </c>
      <c r="AF102" s="45">
        <f t="shared" ca="1" si="60"/>
        <v>6302</v>
      </c>
      <c r="AG102" s="45">
        <f t="shared" ca="1" si="66"/>
        <v>1435</v>
      </c>
      <c r="AH102" s="45">
        <f t="shared" ca="1" si="67"/>
        <v>1001</v>
      </c>
      <c r="AI102" s="45">
        <f t="shared" ca="1" si="68"/>
        <v>232</v>
      </c>
      <c r="AJ102" s="45">
        <f t="shared" ca="1" si="69"/>
        <v>24</v>
      </c>
      <c r="AK102" s="45">
        <f t="shared" ca="1" si="70"/>
        <v>178</v>
      </c>
      <c r="AL102" s="45">
        <f t="shared" ca="1" si="71"/>
        <v>611</v>
      </c>
      <c r="AM102" s="45">
        <f t="shared" ca="1" si="72"/>
        <v>35</v>
      </c>
      <c r="AN102" s="45">
        <f t="shared" ca="1" si="73"/>
        <v>4221</v>
      </c>
      <c r="AO102">
        <v>4316</v>
      </c>
      <c r="AP102">
        <v>1616</v>
      </c>
      <c r="AQ102">
        <v>195</v>
      </c>
      <c r="AR102">
        <v>557</v>
      </c>
      <c r="AS102">
        <v>764</v>
      </c>
      <c r="AT102">
        <v>138</v>
      </c>
      <c r="AU102">
        <v>194</v>
      </c>
      <c r="AV102">
        <v>0.97799999999999998</v>
      </c>
      <c r="AW102" s="1"/>
      <c r="AX102" s="47" t="s">
        <v>152</v>
      </c>
      <c r="AY102" s="47">
        <f t="shared" si="74"/>
        <v>29700</v>
      </c>
      <c r="AZ102" s="49">
        <f t="shared" si="75"/>
        <v>166737</v>
      </c>
      <c r="BA102" s="49">
        <f t="shared" ref="BA102" si="108">SUMIF($B$2:$B$571,$B102,$S$2:$S$571)</f>
        <v>15889</v>
      </c>
      <c r="BB102" s="48">
        <f t="shared" si="77"/>
        <v>9.5293786022298585E-2</v>
      </c>
    </row>
    <row r="103" spans="2:54" x14ac:dyDescent="0.2">
      <c r="B103" s="3">
        <v>2003</v>
      </c>
      <c r="C103" t="s">
        <v>60</v>
      </c>
      <c r="D103" t="s">
        <v>61</v>
      </c>
      <c r="E103">
        <v>2</v>
      </c>
      <c r="F103" t="s">
        <v>38</v>
      </c>
      <c r="G103" t="s">
        <v>43</v>
      </c>
      <c r="H103" t="s">
        <v>43</v>
      </c>
      <c r="I103" t="s">
        <v>43</v>
      </c>
      <c r="J103">
        <v>91</v>
      </c>
      <c r="K103">
        <v>71</v>
      </c>
      <c r="L103">
        <v>751</v>
      </c>
      <c r="M103" s="38">
        <v>5490</v>
      </c>
      <c r="N103" s="38">
        <v>1459</v>
      </c>
      <c r="O103" s="38">
        <f t="shared" si="64"/>
        <v>966</v>
      </c>
      <c r="P103" s="38">
        <v>292</v>
      </c>
      <c r="Q103" s="38">
        <v>44</v>
      </c>
      <c r="R103" s="38">
        <v>157</v>
      </c>
      <c r="S103" s="38">
        <v>515</v>
      </c>
      <c r="T103" s="38">
        <v>57</v>
      </c>
      <c r="U103" s="38">
        <f t="shared" si="65"/>
        <v>3459</v>
      </c>
      <c r="V103">
        <v>978</v>
      </c>
      <c r="W103">
        <v>150</v>
      </c>
      <c r="X103">
        <v>74</v>
      </c>
      <c r="Y103">
        <v>41</v>
      </c>
      <c r="Z103">
        <v>692</v>
      </c>
      <c r="AA103">
        <v>648</v>
      </c>
      <c r="AB103">
        <v>4.04</v>
      </c>
      <c r="AC103">
        <v>7</v>
      </c>
      <c r="AD103">
        <v>11</v>
      </c>
      <c r="AE103">
        <v>36</v>
      </c>
      <c r="AF103" s="45">
        <f t="shared" ca="1" si="60"/>
        <v>6272</v>
      </c>
      <c r="AG103" s="45">
        <f t="shared" ca="1" si="66"/>
        <v>1453</v>
      </c>
      <c r="AH103" s="45">
        <f t="shared" ca="1" si="67"/>
        <v>917</v>
      </c>
      <c r="AI103" s="45">
        <f t="shared" ca="1" si="68"/>
        <v>329</v>
      </c>
      <c r="AJ103" s="45">
        <f t="shared" ca="1" si="69"/>
        <v>24</v>
      </c>
      <c r="AK103" s="45">
        <f t="shared" ca="1" si="70"/>
        <v>183</v>
      </c>
      <c r="AL103" s="45">
        <f t="shared" ca="1" si="71"/>
        <v>598</v>
      </c>
      <c r="AM103" s="45">
        <f t="shared" ca="1" si="72"/>
        <v>44</v>
      </c>
      <c r="AN103" s="45">
        <f t="shared" ca="1" si="73"/>
        <v>4177</v>
      </c>
      <c r="AO103">
        <v>4336</v>
      </c>
      <c r="AP103">
        <v>1415</v>
      </c>
      <c r="AQ103">
        <v>128</v>
      </c>
      <c r="AR103">
        <v>530</v>
      </c>
      <c r="AS103">
        <v>1132</v>
      </c>
      <c r="AT103">
        <v>78</v>
      </c>
      <c r="AU103">
        <v>162</v>
      </c>
      <c r="AV103">
        <v>0.98699999999999999</v>
      </c>
      <c r="AW103" s="1"/>
      <c r="AX103" s="47" t="s">
        <v>153</v>
      </c>
      <c r="AY103" s="47">
        <f t="shared" si="74"/>
        <v>29700</v>
      </c>
      <c r="AZ103" s="49">
        <f t="shared" si="75"/>
        <v>166737</v>
      </c>
      <c r="BA103" s="49">
        <f t="shared" ref="BA103" si="109">SUMIF($B$2:$B$571,$B103,$T$2:$T$571)</f>
        <v>1849</v>
      </c>
      <c r="BB103" s="48">
        <f t="shared" si="77"/>
        <v>1.1089320306830517E-2</v>
      </c>
    </row>
    <row r="104" spans="2:54" x14ac:dyDescent="0.2">
      <c r="B104" s="3">
        <v>2003</v>
      </c>
      <c r="C104" t="s">
        <v>62</v>
      </c>
      <c r="D104" t="s">
        <v>63</v>
      </c>
      <c r="E104">
        <v>2</v>
      </c>
      <c r="F104" t="s">
        <v>38</v>
      </c>
      <c r="G104" t="s">
        <v>38</v>
      </c>
      <c r="H104" t="s">
        <v>38</v>
      </c>
      <c r="I104" t="s">
        <v>38</v>
      </c>
      <c r="J104">
        <v>87</v>
      </c>
      <c r="K104">
        <v>75</v>
      </c>
      <c r="L104">
        <v>805</v>
      </c>
      <c r="M104" s="38">
        <v>5583</v>
      </c>
      <c r="N104" s="38">
        <v>1466</v>
      </c>
      <c r="O104" s="38">
        <f t="shared" si="64"/>
        <v>937</v>
      </c>
      <c r="P104" s="38">
        <v>308</v>
      </c>
      <c r="Q104" s="38">
        <v>30</v>
      </c>
      <c r="R104" s="38">
        <v>191</v>
      </c>
      <c r="S104" s="38">
        <v>557</v>
      </c>
      <c r="T104" s="38">
        <v>81</v>
      </c>
      <c r="U104" s="38">
        <f t="shared" si="65"/>
        <v>3479</v>
      </c>
      <c r="V104">
        <v>1021</v>
      </c>
      <c r="W104">
        <v>66</v>
      </c>
      <c r="X104">
        <v>30</v>
      </c>
      <c r="Y104">
        <v>38</v>
      </c>
      <c r="Z104">
        <v>677</v>
      </c>
      <c r="AA104">
        <v>622</v>
      </c>
      <c r="AB104">
        <v>3.86</v>
      </c>
      <c r="AC104">
        <v>1</v>
      </c>
      <c r="AD104">
        <v>5</v>
      </c>
      <c r="AE104">
        <v>50</v>
      </c>
      <c r="AF104" s="45">
        <f t="shared" ca="1" si="60"/>
        <v>6245</v>
      </c>
      <c r="AG104" s="45">
        <f t="shared" ca="1" si="66"/>
        <v>1434</v>
      </c>
      <c r="AH104" s="45">
        <f t="shared" ca="1" si="67"/>
        <v>965</v>
      </c>
      <c r="AI104" s="45">
        <f t="shared" ca="1" si="68"/>
        <v>296</v>
      </c>
      <c r="AJ104" s="45">
        <f t="shared" ca="1" si="69"/>
        <v>20</v>
      </c>
      <c r="AK104" s="45">
        <f t="shared" ca="1" si="70"/>
        <v>153</v>
      </c>
      <c r="AL104" s="45">
        <f t="shared" ca="1" si="71"/>
        <v>459</v>
      </c>
      <c r="AM104" s="45">
        <f t="shared" ca="1" si="72"/>
        <v>34</v>
      </c>
      <c r="AN104" s="45">
        <f t="shared" ca="1" si="73"/>
        <v>4318</v>
      </c>
      <c r="AO104">
        <v>4350</v>
      </c>
      <c r="AP104">
        <v>1350</v>
      </c>
      <c r="AQ104">
        <v>161</v>
      </c>
      <c r="AR104">
        <v>565</v>
      </c>
      <c r="AS104">
        <v>1139</v>
      </c>
      <c r="AT104">
        <v>95</v>
      </c>
      <c r="AU104">
        <v>149</v>
      </c>
      <c r="AV104">
        <v>0.98499999999999999</v>
      </c>
      <c r="AW104" s="1"/>
      <c r="AX104" s="47" t="s">
        <v>154</v>
      </c>
      <c r="AY104" s="47">
        <f t="shared" si="74"/>
        <v>29700</v>
      </c>
      <c r="AZ104" s="49">
        <f t="shared" si="75"/>
        <v>166737</v>
      </c>
      <c r="BA104" s="49">
        <f t="shared" ref="BA104" si="110">SUMIF($B$2:$B$571,$B104,$U$2:$U$571)</f>
        <v>104942</v>
      </c>
      <c r="BB104" s="48">
        <f t="shared" si="77"/>
        <v>0.62938639893964743</v>
      </c>
    </row>
    <row r="105" spans="2:54" x14ac:dyDescent="0.2">
      <c r="B105" s="3">
        <v>2003</v>
      </c>
      <c r="C105" t="s">
        <v>64</v>
      </c>
      <c r="D105" t="s">
        <v>65</v>
      </c>
      <c r="E105">
        <v>3</v>
      </c>
      <c r="F105" t="s">
        <v>38</v>
      </c>
      <c r="G105" t="s">
        <v>38</v>
      </c>
      <c r="H105" t="s">
        <v>38</v>
      </c>
      <c r="I105" t="s">
        <v>38</v>
      </c>
      <c r="J105">
        <v>83</v>
      </c>
      <c r="K105">
        <v>79</v>
      </c>
      <c r="L105">
        <v>836</v>
      </c>
      <c r="M105" s="38">
        <v>5568</v>
      </c>
      <c r="N105" s="38">
        <v>1526</v>
      </c>
      <c r="O105" s="38">
        <f t="shared" si="64"/>
        <v>1037</v>
      </c>
      <c r="P105" s="38">
        <v>288</v>
      </c>
      <c r="Q105" s="38">
        <v>39</v>
      </c>
      <c r="R105" s="38">
        <v>162</v>
      </c>
      <c r="S105" s="38">
        <v>476</v>
      </c>
      <c r="T105" s="38">
        <v>75</v>
      </c>
      <c r="U105" s="38">
        <f t="shared" si="65"/>
        <v>3491</v>
      </c>
      <c r="V105">
        <v>926</v>
      </c>
      <c r="W105">
        <v>120</v>
      </c>
      <c r="X105">
        <v>42</v>
      </c>
      <c r="Y105">
        <v>57</v>
      </c>
      <c r="Z105">
        <v>867</v>
      </c>
      <c r="AA105">
        <v>808</v>
      </c>
      <c r="AB105">
        <v>5.05</v>
      </c>
      <c r="AC105">
        <v>7</v>
      </c>
      <c r="AD105">
        <v>10</v>
      </c>
      <c r="AE105">
        <v>36</v>
      </c>
      <c r="AF105" s="45">
        <f t="shared" ca="1" si="60"/>
        <v>6052</v>
      </c>
      <c r="AG105" s="45">
        <f t="shared" ca="1" si="66"/>
        <v>1564</v>
      </c>
      <c r="AH105" s="45">
        <f t="shared" ca="1" si="67"/>
        <v>1151</v>
      </c>
      <c r="AI105" s="45">
        <f t="shared" ca="1" si="68"/>
        <v>230</v>
      </c>
      <c r="AJ105" s="45">
        <f t="shared" ca="1" si="69"/>
        <v>21</v>
      </c>
      <c r="AK105" s="45">
        <f t="shared" ca="1" si="70"/>
        <v>162</v>
      </c>
      <c r="AL105" s="45">
        <f t="shared" ca="1" si="71"/>
        <v>442</v>
      </c>
      <c r="AM105" s="45">
        <f t="shared" ca="1" si="72"/>
        <v>81</v>
      </c>
      <c r="AN105" s="45">
        <f t="shared" ca="1" si="73"/>
        <v>3965</v>
      </c>
      <c r="AO105">
        <v>4316</v>
      </c>
      <c r="AP105">
        <v>1569</v>
      </c>
      <c r="AQ105">
        <v>190</v>
      </c>
      <c r="AR105">
        <v>566</v>
      </c>
      <c r="AS105">
        <v>865</v>
      </c>
      <c r="AT105">
        <v>108</v>
      </c>
      <c r="AU105">
        <v>143</v>
      </c>
      <c r="AV105">
        <v>0.98199999999999998</v>
      </c>
      <c r="AW105" s="1"/>
      <c r="AX105" s="47"/>
      <c r="AY105" s="47"/>
      <c r="AZ105" s="49"/>
      <c r="BA105" s="49"/>
      <c r="BB105" s="48"/>
    </row>
    <row r="106" spans="2:54" x14ac:dyDescent="0.2">
      <c r="B106" s="3">
        <v>2003</v>
      </c>
      <c r="C106" t="s">
        <v>66</v>
      </c>
      <c r="D106" t="s">
        <v>67</v>
      </c>
      <c r="E106">
        <v>2</v>
      </c>
      <c r="F106" t="s">
        <v>38</v>
      </c>
      <c r="G106" t="s">
        <v>38</v>
      </c>
      <c r="H106" t="s">
        <v>38</v>
      </c>
      <c r="I106" t="s">
        <v>38</v>
      </c>
      <c r="J106">
        <v>85</v>
      </c>
      <c r="K106">
        <v>77</v>
      </c>
      <c r="L106">
        <v>574</v>
      </c>
      <c r="M106" s="38">
        <v>5458</v>
      </c>
      <c r="N106" s="38">
        <v>1328</v>
      </c>
      <c r="O106" s="38">
        <f t="shared" si="64"/>
        <v>919</v>
      </c>
      <c r="P106" s="38">
        <v>260</v>
      </c>
      <c r="Q106" s="38">
        <v>25</v>
      </c>
      <c r="R106" s="38">
        <v>124</v>
      </c>
      <c r="S106" s="38">
        <v>407</v>
      </c>
      <c r="T106" s="38">
        <v>72</v>
      </c>
      <c r="U106" s="38">
        <f t="shared" si="65"/>
        <v>3651</v>
      </c>
      <c r="V106">
        <v>985</v>
      </c>
      <c r="W106">
        <v>80</v>
      </c>
      <c r="X106">
        <v>36</v>
      </c>
      <c r="Y106">
        <v>28</v>
      </c>
      <c r="Z106">
        <v>556</v>
      </c>
      <c r="AA106">
        <v>511</v>
      </c>
      <c r="AB106">
        <v>3.16</v>
      </c>
      <c r="AC106">
        <v>3</v>
      </c>
      <c r="AD106">
        <v>17</v>
      </c>
      <c r="AE106">
        <v>58</v>
      </c>
      <c r="AF106" s="45">
        <f t="shared" ca="1" si="60"/>
        <v>6147</v>
      </c>
      <c r="AG106" s="45">
        <f t="shared" ca="1" si="66"/>
        <v>1667</v>
      </c>
      <c r="AH106" s="45">
        <f t="shared" ca="1" si="67"/>
        <v>1173</v>
      </c>
      <c r="AI106" s="45">
        <f t="shared" ca="1" si="68"/>
        <v>243</v>
      </c>
      <c r="AJ106" s="45">
        <f t="shared" ca="1" si="69"/>
        <v>20</v>
      </c>
      <c r="AK106" s="45">
        <f t="shared" ca="1" si="70"/>
        <v>231</v>
      </c>
      <c r="AL106" s="45">
        <f t="shared" ca="1" si="71"/>
        <v>694</v>
      </c>
      <c r="AM106" s="45">
        <f t="shared" ca="1" si="72"/>
        <v>33</v>
      </c>
      <c r="AN106" s="45">
        <f t="shared" ca="1" si="73"/>
        <v>3753</v>
      </c>
      <c r="AO106">
        <v>4373</v>
      </c>
      <c r="AP106">
        <v>1254</v>
      </c>
      <c r="AQ106">
        <v>127</v>
      </c>
      <c r="AR106">
        <v>526</v>
      </c>
      <c r="AS106">
        <v>1289</v>
      </c>
      <c r="AT106">
        <v>119</v>
      </c>
      <c r="AU106">
        <v>164</v>
      </c>
      <c r="AV106">
        <v>0.98099999999999998</v>
      </c>
      <c r="AW106" s="1">
        <v>2013</v>
      </c>
      <c r="AX106" s="47" t="s">
        <v>148</v>
      </c>
      <c r="AY106" s="47">
        <f t="shared" si="74"/>
        <v>29700</v>
      </c>
      <c r="AZ106" s="49">
        <f t="shared" si="75"/>
        <v>166737</v>
      </c>
      <c r="BA106" s="49">
        <f t="shared" ref="BA106" si="111">SUMIF($B$2:$B$571,$B106,$O$2:$O$571)</f>
        <v>29089</v>
      </c>
      <c r="BB106" s="48">
        <f t="shared" si="77"/>
        <v>0.17446037772060191</v>
      </c>
    </row>
    <row r="107" spans="2:54" x14ac:dyDescent="0.2">
      <c r="B107" s="3">
        <v>2003</v>
      </c>
      <c r="C107" t="s">
        <v>68</v>
      </c>
      <c r="D107" t="s">
        <v>69</v>
      </c>
      <c r="E107">
        <v>6</v>
      </c>
      <c r="F107" t="s">
        <v>38</v>
      </c>
      <c r="G107" t="s">
        <v>38</v>
      </c>
      <c r="H107" t="s">
        <v>38</v>
      </c>
      <c r="I107" t="s">
        <v>38</v>
      </c>
      <c r="J107">
        <v>68</v>
      </c>
      <c r="K107">
        <v>94</v>
      </c>
      <c r="L107">
        <v>714</v>
      </c>
      <c r="M107" s="38">
        <v>5548</v>
      </c>
      <c r="N107" s="38">
        <v>1423</v>
      </c>
      <c r="O107" s="38">
        <f t="shared" si="64"/>
        <v>937</v>
      </c>
      <c r="P107" s="38">
        <v>266</v>
      </c>
      <c r="Q107" s="38">
        <v>24</v>
      </c>
      <c r="R107" s="38">
        <v>196</v>
      </c>
      <c r="S107" s="38">
        <v>547</v>
      </c>
      <c r="T107" s="38">
        <v>71</v>
      </c>
      <c r="U107" s="38">
        <f t="shared" si="65"/>
        <v>3507</v>
      </c>
      <c r="V107">
        <v>1221</v>
      </c>
      <c r="W107">
        <v>99</v>
      </c>
      <c r="X107">
        <v>39</v>
      </c>
      <c r="Y107">
        <v>40</v>
      </c>
      <c r="Z107">
        <v>873</v>
      </c>
      <c r="AA107">
        <v>810</v>
      </c>
      <c r="AB107">
        <v>5.0199999999999996</v>
      </c>
      <c r="AC107">
        <v>5</v>
      </c>
      <c r="AD107">
        <v>3</v>
      </c>
      <c r="AE107">
        <v>44</v>
      </c>
      <c r="AF107" s="45">
        <f t="shared" ca="1" si="60"/>
        <v>6254</v>
      </c>
      <c r="AG107" s="45">
        <f t="shared" ca="1" si="66"/>
        <v>1602</v>
      </c>
      <c r="AH107" s="45">
        <f t="shared" ca="1" si="67"/>
        <v>1154</v>
      </c>
      <c r="AI107" s="45">
        <f t="shared" ca="1" si="68"/>
        <v>273</v>
      </c>
      <c r="AJ107" s="45">
        <f t="shared" ca="1" si="69"/>
        <v>35</v>
      </c>
      <c r="AK107" s="45">
        <f t="shared" ca="1" si="70"/>
        <v>140</v>
      </c>
      <c r="AL107" s="45">
        <f t="shared" ca="1" si="71"/>
        <v>639</v>
      </c>
      <c r="AM107" s="45">
        <f t="shared" ca="1" si="72"/>
        <v>79</v>
      </c>
      <c r="AN107" s="45">
        <f t="shared" ca="1" si="73"/>
        <v>3934</v>
      </c>
      <c r="AO107">
        <v>4356</v>
      </c>
      <c r="AP107">
        <v>1590</v>
      </c>
      <c r="AQ107">
        <v>219</v>
      </c>
      <c r="AR107">
        <v>575</v>
      </c>
      <c r="AS107">
        <v>1034</v>
      </c>
      <c r="AT107">
        <v>114</v>
      </c>
      <c r="AU107">
        <v>142</v>
      </c>
      <c r="AV107">
        <v>0.98099999999999998</v>
      </c>
      <c r="AW107" s="1"/>
      <c r="AX107" s="47" t="s">
        <v>149</v>
      </c>
      <c r="AY107" s="47">
        <f t="shared" si="74"/>
        <v>29700</v>
      </c>
      <c r="AZ107" s="49">
        <f t="shared" si="75"/>
        <v>166737</v>
      </c>
      <c r="BA107" s="49">
        <f t="shared" ref="BA107" si="112">SUMIF($B$2:$B$571,$B107,$P$2:$P$571)</f>
        <v>8827</v>
      </c>
      <c r="BB107" s="48">
        <f t="shared" si="77"/>
        <v>5.2939659463706316E-2</v>
      </c>
    </row>
    <row r="108" spans="2:54" x14ac:dyDescent="0.2">
      <c r="B108" s="3">
        <v>2003</v>
      </c>
      <c r="C108" t="s">
        <v>70</v>
      </c>
      <c r="D108" t="s">
        <v>71</v>
      </c>
      <c r="E108">
        <v>1</v>
      </c>
      <c r="F108" t="s">
        <v>43</v>
      </c>
      <c r="G108" t="s">
        <v>38</v>
      </c>
      <c r="H108" t="s">
        <v>38</v>
      </c>
      <c r="I108" t="s">
        <v>38</v>
      </c>
      <c r="J108">
        <v>90</v>
      </c>
      <c r="K108">
        <v>72</v>
      </c>
      <c r="L108">
        <v>801</v>
      </c>
      <c r="M108" s="38">
        <v>5655</v>
      </c>
      <c r="N108" s="38">
        <v>1567</v>
      </c>
      <c r="O108" s="38">
        <f t="shared" si="64"/>
        <v>1049</v>
      </c>
      <c r="P108" s="38">
        <v>318</v>
      </c>
      <c r="Q108" s="38">
        <v>45</v>
      </c>
      <c r="R108" s="38">
        <v>155</v>
      </c>
      <c r="S108" s="38">
        <v>512</v>
      </c>
      <c r="T108" s="38">
        <v>63</v>
      </c>
      <c r="U108" s="38">
        <f t="shared" si="65"/>
        <v>3513</v>
      </c>
      <c r="V108">
        <v>1027</v>
      </c>
      <c r="W108">
        <v>94</v>
      </c>
      <c r="X108">
        <v>44</v>
      </c>
      <c r="Y108">
        <v>52</v>
      </c>
      <c r="Z108">
        <v>758</v>
      </c>
      <c r="AA108">
        <v>716</v>
      </c>
      <c r="AB108">
        <v>4.41</v>
      </c>
      <c r="AC108">
        <v>7</v>
      </c>
      <c r="AD108">
        <v>8</v>
      </c>
      <c r="AE108">
        <v>45</v>
      </c>
      <c r="AF108" s="45">
        <f t="shared" ca="1" si="60"/>
        <v>6125</v>
      </c>
      <c r="AG108" s="45">
        <f t="shared" ca="1" si="66"/>
        <v>1547</v>
      </c>
      <c r="AH108" s="45">
        <f t="shared" ca="1" si="67"/>
        <v>978</v>
      </c>
      <c r="AI108" s="45">
        <f t="shared" ca="1" si="68"/>
        <v>307</v>
      </c>
      <c r="AJ108" s="45">
        <f t="shared" ca="1" si="69"/>
        <v>27</v>
      </c>
      <c r="AK108" s="45">
        <f t="shared" ca="1" si="70"/>
        <v>235</v>
      </c>
      <c r="AL108" s="45">
        <f t="shared" ca="1" si="71"/>
        <v>511</v>
      </c>
      <c r="AM108" s="45">
        <f t="shared" ca="1" si="72"/>
        <v>54</v>
      </c>
      <c r="AN108" s="45">
        <f t="shared" ca="1" si="73"/>
        <v>4013</v>
      </c>
      <c r="AO108">
        <v>4386</v>
      </c>
      <c r="AP108">
        <v>1526</v>
      </c>
      <c r="AQ108">
        <v>187</v>
      </c>
      <c r="AR108">
        <v>402</v>
      </c>
      <c r="AS108">
        <v>997</v>
      </c>
      <c r="AT108">
        <v>87</v>
      </c>
      <c r="AU108">
        <v>114</v>
      </c>
      <c r="AV108">
        <v>0.98499999999999999</v>
      </c>
      <c r="AW108" s="1"/>
      <c r="AX108" s="47" t="s">
        <v>150</v>
      </c>
      <c r="AY108" s="47">
        <f t="shared" si="74"/>
        <v>29700</v>
      </c>
      <c r="AZ108" s="49">
        <f t="shared" si="75"/>
        <v>166737</v>
      </c>
      <c r="BA108" s="49">
        <f t="shared" ref="BA108" si="113">SUMIF($B$2:$B$571,$B108,$Q$2:$Q$571)</f>
        <v>934</v>
      </c>
      <c r="BB108" s="48">
        <f t="shared" si="77"/>
        <v>5.6016361095617652E-3</v>
      </c>
    </row>
    <row r="109" spans="2:54" x14ac:dyDescent="0.2">
      <c r="B109" s="3">
        <v>2003</v>
      </c>
      <c r="C109" t="s">
        <v>72</v>
      </c>
      <c r="D109" t="s">
        <v>73</v>
      </c>
      <c r="E109">
        <v>4</v>
      </c>
      <c r="F109" t="s">
        <v>38</v>
      </c>
      <c r="G109" t="s">
        <v>38</v>
      </c>
      <c r="H109" t="s">
        <v>38</v>
      </c>
      <c r="I109" t="s">
        <v>38</v>
      </c>
      <c r="J109">
        <v>83</v>
      </c>
      <c r="K109">
        <v>79</v>
      </c>
      <c r="L109">
        <v>711</v>
      </c>
      <c r="M109" s="38">
        <v>5437</v>
      </c>
      <c r="N109" s="38">
        <v>1404</v>
      </c>
      <c r="O109" s="38">
        <f t="shared" si="64"/>
        <v>941</v>
      </c>
      <c r="P109" s="38">
        <v>294</v>
      </c>
      <c r="Q109" s="38">
        <v>25</v>
      </c>
      <c r="R109" s="38">
        <v>144</v>
      </c>
      <c r="S109" s="38">
        <v>522</v>
      </c>
      <c r="T109" s="38">
        <v>45</v>
      </c>
      <c r="U109" s="38">
        <f t="shared" si="65"/>
        <v>3466</v>
      </c>
      <c r="V109">
        <v>990</v>
      </c>
      <c r="W109">
        <v>100</v>
      </c>
      <c r="X109">
        <v>39</v>
      </c>
      <c r="Y109">
        <v>40</v>
      </c>
      <c r="Z109">
        <v>716</v>
      </c>
      <c r="AA109">
        <v>640</v>
      </c>
      <c r="AB109">
        <v>4.01</v>
      </c>
      <c r="AC109">
        <v>15</v>
      </c>
      <c r="AD109">
        <v>10</v>
      </c>
      <c r="AE109">
        <v>42</v>
      </c>
      <c r="AF109" s="45">
        <f t="shared" ca="1" si="60"/>
        <v>6056</v>
      </c>
      <c r="AG109" s="45">
        <f t="shared" ca="1" si="66"/>
        <v>1576</v>
      </c>
      <c r="AH109" s="45">
        <f t="shared" ca="1" si="67"/>
        <v>990</v>
      </c>
      <c r="AI109" s="45">
        <f t="shared" ca="1" si="68"/>
        <v>397</v>
      </c>
      <c r="AJ109" s="45">
        <f t="shared" ca="1" si="69"/>
        <v>39</v>
      </c>
      <c r="AK109" s="45">
        <f t="shared" ca="1" si="70"/>
        <v>150</v>
      </c>
      <c r="AL109" s="45">
        <f t="shared" ca="1" si="71"/>
        <v>520</v>
      </c>
      <c r="AM109" s="45">
        <f t="shared" ca="1" si="72"/>
        <v>63</v>
      </c>
      <c r="AN109" s="45">
        <f t="shared" ca="1" si="73"/>
        <v>3897</v>
      </c>
      <c r="AO109">
        <v>4313</v>
      </c>
      <c r="AP109">
        <v>1467</v>
      </c>
      <c r="AQ109">
        <v>181</v>
      </c>
      <c r="AR109">
        <v>463</v>
      </c>
      <c r="AS109">
        <v>1028</v>
      </c>
      <c r="AT109">
        <v>102</v>
      </c>
      <c r="AU109">
        <v>152</v>
      </c>
      <c r="AV109">
        <v>0.98299999999999998</v>
      </c>
      <c r="AW109" s="1"/>
      <c r="AX109" s="47" t="s">
        <v>151</v>
      </c>
      <c r="AY109" s="47">
        <f t="shared" si="74"/>
        <v>29700</v>
      </c>
      <c r="AZ109" s="49">
        <f t="shared" si="75"/>
        <v>166737</v>
      </c>
      <c r="BA109" s="49">
        <f t="shared" ref="BA109" si="114">SUMIF($B$2:$B$571,$B109,$R$2:$R$571)</f>
        <v>5207</v>
      </c>
      <c r="BB109" s="48">
        <f t="shared" si="77"/>
        <v>3.1228821437353439E-2</v>
      </c>
    </row>
    <row r="110" spans="2:54" x14ac:dyDescent="0.2">
      <c r="B110" s="3">
        <v>2003</v>
      </c>
      <c r="C110" t="s">
        <v>74</v>
      </c>
      <c r="D110" t="s">
        <v>75</v>
      </c>
      <c r="E110">
        <v>1</v>
      </c>
      <c r="F110" t="s">
        <v>43</v>
      </c>
      <c r="G110" t="s">
        <v>38</v>
      </c>
      <c r="H110" t="s">
        <v>43</v>
      </c>
      <c r="I110" t="s">
        <v>38</v>
      </c>
      <c r="J110">
        <v>101</v>
      </c>
      <c r="K110">
        <v>61</v>
      </c>
      <c r="L110">
        <v>877</v>
      </c>
      <c r="M110" s="38">
        <v>5605</v>
      </c>
      <c r="N110" s="38">
        <v>1518</v>
      </c>
      <c r="O110" s="38">
        <f t="shared" si="64"/>
        <v>970</v>
      </c>
      <c r="P110" s="38">
        <v>304</v>
      </c>
      <c r="Q110" s="38">
        <v>14</v>
      </c>
      <c r="R110" s="38">
        <v>230</v>
      </c>
      <c r="S110" s="38">
        <v>684</v>
      </c>
      <c r="T110" s="38">
        <v>81</v>
      </c>
      <c r="U110" s="38">
        <f t="shared" si="65"/>
        <v>3322</v>
      </c>
      <c r="V110">
        <v>1042</v>
      </c>
      <c r="W110">
        <v>98</v>
      </c>
      <c r="X110">
        <v>33</v>
      </c>
      <c r="Y110">
        <v>35</v>
      </c>
      <c r="Z110">
        <v>716</v>
      </c>
      <c r="AA110">
        <v>653</v>
      </c>
      <c r="AB110">
        <v>4.0199999999999996</v>
      </c>
      <c r="AC110">
        <v>8</v>
      </c>
      <c r="AD110">
        <v>12</v>
      </c>
      <c r="AE110">
        <v>49</v>
      </c>
      <c r="AF110" s="45">
        <f t="shared" ca="1" si="60"/>
        <v>6193</v>
      </c>
      <c r="AG110" s="45">
        <f t="shared" ca="1" si="66"/>
        <v>1455</v>
      </c>
      <c r="AH110" s="45">
        <f t="shared" ca="1" si="67"/>
        <v>954</v>
      </c>
      <c r="AI110" s="45">
        <f t="shared" ca="1" si="68"/>
        <v>284</v>
      </c>
      <c r="AJ110" s="45">
        <f t="shared" ca="1" si="69"/>
        <v>26</v>
      </c>
      <c r="AK110" s="45">
        <f t="shared" ca="1" si="70"/>
        <v>191</v>
      </c>
      <c r="AL110" s="45">
        <f t="shared" ca="1" si="71"/>
        <v>687</v>
      </c>
      <c r="AM110" s="45">
        <f t="shared" ca="1" si="72"/>
        <v>43</v>
      </c>
      <c r="AN110" s="45">
        <f t="shared" ca="1" si="73"/>
        <v>4008</v>
      </c>
      <c r="AO110">
        <v>4386</v>
      </c>
      <c r="AP110">
        <v>1512</v>
      </c>
      <c r="AQ110">
        <v>145</v>
      </c>
      <c r="AR110">
        <v>375</v>
      </c>
      <c r="AS110">
        <v>1119</v>
      </c>
      <c r="AT110">
        <v>114</v>
      </c>
      <c r="AU110">
        <v>126</v>
      </c>
      <c r="AV110">
        <v>0.98099999999999998</v>
      </c>
      <c r="AW110" s="1"/>
      <c r="AX110" s="47" t="s">
        <v>152</v>
      </c>
      <c r="AY110" s="47">
        <f t="shared" si="74"/>
        <v>29700</v>
      </c>
      <c r="AZ110" s="49">
        <f t="shared" si="75"/>
        <v>166737</v>
      </c>
      <c r="BA110" s="49">
        <f t="shared" ref="BA110" si="115">SUMIF($B$2:$B$571,$B110,$S$2:$S$571)</f>
        <v>15889</v>
      </c>
      <c r="BB110" s="48">
        <f t="shared" si="77"/>
        <v>9.5293786022298585E-2</v>
      </c>
    </row>
    <row r="111" spans="2:54" x14ac:dyDescent="0.2">
      <c r="B111" s="3">
        <v>2003</v>
      </c>
      <c r="C111" t="s">
        <v>76</v>
      </c>
      <c r="D111" t="s">
        <v>77</v>
      </c>
      <c r="E111">
        <v>5</v>
      </c>
      <c r="F111" t="s">
        <v>38</v>
      </c>
      <c r="G111" t="s">
        <v>38</v>
      </c>
      <c r="H111" t="s">
        <v>38</v>
      </c>
      <c r="I111" t="s">
        <v>38</v>
      </c>
      <c r="J111">
        <v>66</v>
      </c>
      <c r="K111">
        <v>95</v>
      </c>
      <c r="L111">
        <v>642</v>
      </c>
      <c r="M111" s="38">
        <v>5341</v>
      </c>
      <c r="N111" s="38">
        <v>1317</v>
      </c>
      <c r="O111" s="38">
        <f t="shared" si="64"/>
        <v>907</v>
      </c>
      <c r="P111" s="38">
        <v>262</v>
      </c>
      <c r="Q111" s="38">
        <v>24</v>
      </c>
      <c r="R111" s="38">
        <v>124</v>
      </c>
      <c r="S111" s="38">
        <v>489</v>
      </c>
      <c r="T111" s="38">
        <v>54</v>
      </c>
      <c r="U111" s="38">
        <f t="shared" si="65"/>
        <v>3481</v>
      </c>
      <c r="V111">
        <v>1035</v>
      </c>
      <c r="W111">
        <v>70</v>
      </c>
      <c r="X111">
        <v>31</v>
      </c>
      <c r="Y111">
        <v>45</v>
      </c>
      <c r="Z111">
        <v>754</v>
      </c>
      <c r="AA111">
        <v>704</v>
      </c>
      <c r="AB111">
        <v>4.4800000000000004</v>
      </c>
      <c r="AC111">
        <v>3</v>
      </c>
      <c r="AD111">
        <v>10</v>
      </c>
      <c r="AE111">
        <v>38</v>
      </c>
      <c r="AF111" s="45">
        <f t="shared" ca="1" si="60"/>
        <v>6301</v>
      </c>
      <c r="AG111" s="45">
        <f t="shared" ca="1" si="66"/>
        <v>1542</v>
      </c>
      <c r="AH111" s="45">
        <f t="shared" ca="1" si="67"/>
        <v>1059</v>
      </c>
      <c r="AI111" s="45">
        <f t="shared" ca="1" si="68"/>
        <v>219</v>
      </c>
      <c r="AJ111" s="45">
        <f t="shared" ca="1" si="69"/>
        <v>43</v>
      </c>
      <c r="AK111" s="45">
        <f t="shared" ca="1" si="70"/>
        <v>221</v>
      </c>
      <c r="AL111" s="45">
        <f t="shared" ca="1" si="71"/>
        <v>563</v>
      </c>
      <c r="AM111" s="45">
        <f t="shared" ca="1" si="72"/>
        <v>81</v>
      </c>
      <c r="AN111" s="45">
        <f t="shared" ca="1" si="73"/>
        <v>4115</v>
      </c>
      <c r="AO111">
        <v>4240</v>
      </c>
      <c r="AP111">
        <v>1497</v>
      </c>
      <c r="AQ111">
        <v>168</v>
      </c>
      <c r="AR111">
        <v>576</v>
      </c>
      <c r="AS111">
        <v>907</v>
      </c>
      <c r="AT111">
        <v>118</v>
      </c>
      <c r="AU111">
        <v>158</v>
      </c>
      <c r="AV111">
        <v>0.98</v>
      </c>
      <c r="AW111" s="1"/>
      <c r="AX111" s="47" t="s">
        <v>153</v>
      </c>
      <c r="AY111" s="47">
        <f t="shared" si="74"/>
        <v>29700</v>
      </c>
      <c r="AZ111" s="49">
        <f t="shared" si="75"/>
        <v>166737</v>
      </c>
      <c r="BA111" s="49">
        <f t="shared" ref="BA111" si="116">SUMIF($B$2:$B$571,$B111,$T$2:$T$571)</f>
        <v>1849</v>
      </c>
      <c r="BB111" s="48">
        <f t="shared" si="77"/>
        <v>1.1089320306830517E-2</v>
      </c>
    </row>
    <row r="112" spans="2:54" x14ac:dyDescent="0.2">
      <c r="B112" s="3">
        <v>2003</v>
      </c>
      <c r="C112" t="s">
        <v>78</v>
      </c>
      <c r="D112" t="s">
        <v>79</v>
      </c>
      <c r="E112">
        <v>1</v>
      </c>
      <c r="F112" t="s">
        <v>43</v>
      </c>
      <c r="G112" t="s">
        <v>38</v>
      </c>
      <c r="H112" t="s">
        <v>38</v>
      </c>
      <c r="I112" t="s">
        <v>38</v>
      </c>
      <c r="J112">
        <v>96</v>
      </c>
      <c r="K112">
        <v>66</v>
      </c>
      <c r="L112">
        <v>768</v>
      </c>
      <c r="M112" s="38">
        <v>5497</v>
      </c>
      <c r="N112" s="38">
        <v>1398</v>
      </c>
      <c r="O112" s="38">
        <f t="shared" si="64"/>
        <v>881</v>
      </c>
      <c r="P112" s="38">
        <v>317</v>
      </c>
      <c r="Q112" s="38">
        <v>24</v>
      </c>
      <c r="R112" s="38">
        <v>176</v>
      </c>
      <c r="S112" s="38">
        <v>556</v>
      </c>
      <c r="T112" s="38">
        <v>59</v>
      </c>
      <c r="U112" s="38">
        <f t="shared" si="65"/>
        <v>3484</v>
      </c>
      <c r="V112">
        <v>898</v>
      </c>
      <c r="W112">
        <v>48</v>
      </c>
      <c r="X112">
        <v>14</v>
      </c>
      <c r="Y112">
        <v>53</v>
      </c>
      <c r="Z112">
        <v>643</v>
      </c>
      <c r="AA112">
        <v>582</v>
      </c>
      <c r="AB112">
        <v>3.63</v>
      </c>
      <c r="AC112">
        <v>16</v>
      </c>
      <c r="AD112">
        <v>14</v>
      </c>
      <c r="AE112">
        <v>48</v>
      </c>
      <c r="AF112" s="45">
        <f t="shared" ca="1" si="60"/>
        <v>6273</v>
      </c>
      <c r="AG112" s="45">
        <f t="shared" ca="1" si="66"/>
        <v>1453</v>
      </c>
      <c r="AH112" s="45">
        <f t="shared" ca="1" si="67"/>
        <v>916</v>
      </c>
      <c r="AI112" s="45">
        <f t="shared" ca="1" si="68"/>
        <v>327</v>
      </c>
      <c r="AJ112" s="45">
        <f t="shared" ca="1" si="69"/>
        <v>25</v>
      </c>
      <c r="AK112" s="45">
        <f t="shared" ca="1" si="70"/>
        <v>185</v>
      </c>
      <c r="AL112" s="45">
        <f t="shared" ca="1" si="71"/>
        <v>582</v>
      </c>
      <c r="AM112" s="45">
        <f t="shared" ca="1" si="72"/>
        <v>43</v>
      </c>
      <c r="AN112" s="45">
        <f t="shared" ca="1" si="73"/>
        <v>4195</v>
      </c>
      <c r="AO112">
        <v>4325</v>
      </c>
      <c r="AP112">
        <v>1336</v>
      </c>
      <c r="AQ112">
        <v>140</v>
      </c>
      <c r="AR112">
        <v>499</v>
      </c>
      <c r="AS112">
        <v>1018</v>
      </c>
      <c r="AT112">
        <v>107</v>
      </c>
      <c r="AU112">
        <v>145</v>
      </c>
      <c r="AV112">
        <v>0.98299999999999998</v>
      </c>
      <c r="AW112" s="1"/>
      <c r="AX112" s="47" t="s">
        <v>154</v>
      </c>
      <c r="AY112" s="47">
        <f t="shared" si="74"/>
        <v>29700</v>
      </c>
      <c r="AZ112" s="49">
        <f t="shared" si="75"/>
        <v>166737</v>
      </c>
      <c r="BA112" s="49">
        <f t="shared" ref="BA112" si="117">SUMIF($B$2:$B$571,$B112,$U$2:$U$571)</f>
        <v>104942</v>
      </c>
      <c r="BB112" s="48">
        <f t="shared" si="77"/>
        <v>0.62938639893964743</v>
      </c>
    </row>
    <row r="113" spans="2:54" x14ac:dyDescent="0.2">
      <c r="B113" s="3">
        <v>2003</v>
      </c>
      <c r="C113" t="s">
        <v>80</v>
      </c>
      <c r="D113" t="s">
        <v>81</v>
      </c>
      <c r="E113">
        <v>3</v>
      </c>
      <c r="F113" t="s">
        <v>38</v>
      </c>
      <c r="G113" t="s">
        <v>38</v>
      </c>
      <c r="H113" t="s">
        <v>38</v>
      </c>
      <c r="I113" t="s">
        <v>38</v>
      </c>
      <c r="J113">
        <v>86</v>
      </c>
      <c r="K113">
        <v>76</v>
      </c>
      <c r="L113">
        <v>791</v>
      </c>
      <c r="M113" s="38">
        <v>5543</v>
      </c>
      <c r="N113" s="38">
        <v>1448</v>
      </c>
      <c r="O113" s="38">
        <f t="shared" si="64"/>
        <v>930</v>
      </c>
      <c r="P113" s="38">
        <v>325</v>
      </c>
      <c r="Q113" s="38">
        <v>27</v>
      </c>
      <c r="R113" s="38">
        <v>166</v>
      </c>
      <c r="S113" s="38">
        <v>651</v>
      </c>
      <c r="T113" s="38">
        <v>55</v>
      </c>
      <c r="U113" s="38">
        <f t="shared" si="65"/>
        <v>3389</v>
      </c>
      <c r="V113">
        <v>1155</v>
      </c>
      <c r="W113">
        <v>72</v>
      </c>
      <c r="X113">
        <v>29</v>
      </c>
      <c r="Y113">
        <v>38</v>
      </c>
      <c r="Z113">
        <v>697</v>
      </c>
      <c r="AA113">
        <v>648</v>
      </c>
      <c r="AB113">
        <v>4.04</v>
      </c>
      <c r="AC113">
        <v>9</v>
      </c>
      <c r="AD113">
        <v>13</v>
      </c>
      <c r="AE113">
        <v>33</v>
      </c>
      <c r="AF113" s="45">
        <f t="shared" ca="1" si="60"/>
        <v>6132</v>
      </c>
      <c r="AG113" s="45">
        <f t="shared" ca="1" si="66"/>
        <v>1468</v>
      </c>
      <c r="AH113" s="45">
        <f t="shared" ca="1" si="67"/>
        <v>1027</v>
      </c>
      <c r="AI113" s="45">
        <f t="shared" ca="1" si="68"/>
        <v>227</v>
      </c>
      <c r="AJ113" s="45">
        <f t="shared" ca="1" si="69"/>
        <v>44</v>
      </c>
      <c r="AK113" s="45">
        <f t="shared" ca="1" si="70"/>
        <v>170</v>
      </c>
      <c r="AL113" s="45">
        <f t="shared" ca="1" si="71"/>
        <v>687</v>
      </c>
      <c r="AM113" s="45">
        <f t="shared" ca="1" si="72"/>
        <v>58</v>
      </c>
      <c r="AN113" s="45">
        <f t="shared" ca="1" si="73"/>
        <v>3919</v>
      </c>
      <c r="AO113">
        <v>4331</v>
      </c>
      <c r="AP113">
        <v>1386</v>
      </c>
      <c r="AQ113">
        <v>142</v>
      </c>
      <c r="AR113">
        <v>536</v>
      </c>
      <c r="AS113">
        <v>1060</v>
      </c>
      <c r="AT113">
        <v>97</v>
      </c>
      <c r="AU113">
        <v>146</v>
      </c>
      <c r="AV113">
        <v>0.98399999999999999</v>
      </c>
      <c r="AW113" s="1"/>
      <c r="AX113" s="47"/>
      <c r="AY113" s="47"/>
      <c r="AZ113" s="49"/>
      <c r="BA113" s="49"/>
      <c r="BB113" s="48"/>
    </row>
    <row r="114" spans="2:54" x14ac:dyDescent="0.2">
      <c r="B114" s="3">
        <v>2003</v>
      </c>
      <c r="C114" t="s">
        <v>82</v>
      </c>
      <c r="D114" t="s">
        <v>83</v>
      </c>
      <c r="E114">
        <v>4</v>
      </c>
      <c r="F114" t="s">
        <v>38</v>
      </c>
      <c r="G114" t="s">
        <v>38</v>
      </c>
      <c r="H114" t="s">
        <v>38</v>
      </c>
      <c r="I114" t="s">
        <v>38</v>
      </c>
      <c r="J114">
        <v>75</v>
      </c>
      <c r="K114">
        <v>87</v>
      </c>
      <c r="L114">
        <v>753</v>
      </c>
      <c r="M114" s="38">
        <v>5581</v>
      </c>
      <c r="N114" s="38">
        <v>1492</v>
      </c>
      <c r="O114" s="38">
        <f t="shared" si="64"/>
        <v>1009</v>
      </c>
      <c r="P114" s="38">
        <v>275</v>
      </c>
      <c r="Q114" s="38">
        <v>45</v>
      </c>
      <c r="R114" s="38">
        <v>163</v>
      </c>
      <c r="S114" s="38">
        <v>529</v>
      </c>
      <c r="T114" s="38">
        <v>87</v>
      </c>
      <c r="U114" s="38">
        <f t="shared" si="65"/>
        <v>3473</v>
      </c>
      <c r="V114">
        <v>1049</v>
      </c>
      <c r="W114">
        <v>86</v>
      </c>
      <c r="X114">
        <v>37</v>
      </c>
      <c r="Y114">
        <v>38</v>
      </c>
      <c r="Z114">
        <v>801</v>
      </c>
      <c r="AA114">
        <v>744</v>
      </c>
      <c r="AB114">
        <v>4.6399999999999997</v>
      </c>
      <c r="AC114">
        <v>7</v>
      </c>
      <c r="AD114">
        <v>10</v>
      </c>
      <c r="AE114">
        <v>44</v>
      </c>
      <c r="AF114" s="45">
        <f t="shared" ca="1" si="60"/>
        <v>6085</v>
      </c>
      <c r="AG114" s="45">
        <f t="shared" ca="1" si="66"/>
        <v>1362</v>
      </c>
      <c r="AH114" s="45">
        <f t="shared" ca="1" si="67"/>
        <v>788</v>
      </c>
      <c r="AI114" s="45">
        <f t="shared" ca="1" si="68"/>
        <v>331</v>
      </c>
      <c r="AJ114" s="45">
        <f t="shared" ca="1" si="69"/>
        <v>25</v>
      </c>
      <c r="AK114" s="45">
        <f t="shared" ca="1" si="70"/>
        <v>218</v>
      </c>
      <c r="AL114" s="45">
        <f t="shared" ca="1" si="71"/>
        <v>697</v>
      </c>
      <c r="AM114" s="45">
        <f t="shared" ca="1" si="72"/>
        <v>82</v>
      </c>
      <c r="AN114" s="45">
        <f t="shared" ca="1" si="73"/>
        <v>3944</v>
      </c>
      <c r="AO114">
        <v>4333</v>
      </c>
      <c r="AP114">
        <v>1527</v>
      </c>
      <c r="AQ114">
        <v>178</v>
      </c>
      <c r="AR114">
        <v>502</v>
      </c>
      <c r="AS114">
        <v>926</v>
      </c>
      <c r="AT114">
        <v>123</v>
      </c>
      <c r="AU114">
        <v>159</v>
      </c>
      <c r="AV114">
        <v>0.98</v>
      </c>
      <c r="AW114" s="1">
        <v>2014</v>
      </c>
      <c r="AX114" s="47" t="s">
        <v>148</v>
      </c>
      <c r="AY114" s="47">
        <f t="shared" si="74"/>
        <v>29700</v>
      </c>
      <c r="AZ114" s="49">
        <f t="shared" si="75"/>
        <v>166737</v>
      </c>
      <c r="BA114" s="49">
        <f t="shared" ref="BA114" si="118">SUMIF($B$2:$B$571,$B114,$O$2:$O$571)</f>
        <v>29089</v>
      </c>
      <c r="BB114" s="48">
        <f t="shared" si="77"/>
        <v>0.17446037772060191</v>
      </c>
    </row>
    <row r="115" spans="2:54" x14ac:dyDescent="0.2">
      <c r="B115" s="3">
        <v>2003</v>
      </c>
      <c r="C115" t="s">
        <v>84</v>
      </c>
      <c r="D115" t="s">
        <v>85</v>
      </c>
      <c r="E115">
        <v>5</v>
      </c>
      <c r="F115" t="s">
        <v>38</v>
      </c>
      <c r="G115" t="s">
        <v>38</v>
      </c>
      <c r="H115" t="s">
        <v>38</v>
      </c>
      <c r="I115" t="s">
        <v>38</v>
      </c>
      <c r="J115">
        <v>64</v>
      </c>
      <c r="K115">
        <v>98</v>
      </c>
      <c r="L115">
        <v>678</v>
      </c>
      <c r="M115" s="38">
        <v>5531</v>
      </c>
      <c r="N115" s="38">
        <v>1442</v>
      </c>
      <c r="O115" s="38">
        <f t="shared" si="64"/>
        <v>1025</v>
      </c>
      <c r="P115" s="38">
        <v>257</v>
      </c>
      <c r="Q115" s="38">
        <v>32</v>
      </c>
      <c r="R115" s="38">
        <v>128</v>
      </c>
      <c r="S115" s="38">
        <v>565</v>
      </c>
      <c r="T115" s="38">
        <v>57</v>
      </c>
      <c r="U115" s="38">
        <f t="shared" si="65"/>
        <v>3467</v>
      </c>
      <c r="V115">
        <v>1073</v>
      </c>
      <c r="W115">
        <v>76</v>
      </c>
      <c r="X115">
        <v>39</v>
      </c>
      <c r="Y115">
        <v>42</v>
      </c>
      <c r="Z115">
        <v>831</v>
      </c>
      <c r="AA115">
        <v>774</v>
      </c>
      <c r="AB115">
        <v>4.87</v>
      </c>
      <c r="AC115">
        <v>2</v>
      </c>
      <c r="AD115">
        <v>10</v>
      </c>
      <c r="AE115">
        <v>31</v>
      </c>
      <c r="AF115" s="45">
        <f t="shared" ca="1" si="60"/>
        <v>6203</v>
      </c>
      <c r="AG115" s="45">
        <f t="shared" ca="1" si="66"/>
        <v>1526</v>
      </c>
      <c r="AH115" s="45">
        <f t="shared" ca="1" si="67"/>
        <v>950</v>
      </c>
      <c r="AI115" s="45">
        <f t="shared" ca="1" si="68"/>
        <v>375</v>
      </c>
      <c r="AJ115" s="45">
        <f t="shared" ca="1" si="69"/>
        <v>22</v>
      </c>
      <c r="AK115" s="45">
        <f t="shared" ca="1" si="70"/>
        <v>179</v>
      </c>
      <c r="AL115" s="45">
        <f t="shared" ca="1" si="71"/>
        <v>452</v>
      </c>
      <c r="AM115" s="45">
        <f t="shared" ca="1" si="72"/>
        <v>38</v>
      </c>
      <c r="AN115" s="45">
        <f t="shared" ca="1" si="73"/>
        <v>4187</v>
      </c>
      <c r="AO115">
        <v>4294</v>
      </c>
      <c r="AP115">
        <v>1458</v>
      </c>
      <c r="AQ115">
        <v>208</v>
      </c>
      <c r="AR115">
        <v>611</v>
      </c>
      <c r="AS115">
        <v>1091</v>
      </c>
      <c r="AT115">
        <v>102</v>
      </c>
      <c r="AU115">
        <v>141</v>
      </c>
      <c r="AV115">
        <v>0.98299999999999998</v>
      </c>
      <c r="AW115" s="1"/>
      <c r="AX115" s="47" t="s">
        <v>149</v>
      </c>
      <c r="AY115" s="47">
        <f t="shared" si="74"/>
        <v>29700</v>
      </c>
      <c r="AZ115" s="49">
        <f t="shared" si="75"/>
        <v>166737</v>
      </c>
      <c r="BA115" s="49">
        <f t="shared" ref="BA115" si="119">SUMIF($B$2:$B$571,$B115,$P$2:$P$571)</f>
        <v>8827</v>
      </c>
      <c r="BB115" s="48">
        <f t="shared" si="77"/>
        <v>5.2939659463706316E-2</v>
      </c>
    </row>
    <row r="116" spans="2:54" x14ac:dyDescent="0.2">
      <c r="B116" s="3">
        <v>2003</v>
      </c>
      <c r="C116" t="s">
        <v>86</v>
      </c>
      <c r="D116" t="s">
        <v>87</v>
      </c>
      <c r="E116">
        <v>2</v>
      </c>
      <c r="F116" t="s">
        <v>38</v>
      </c>
      <c r="G116" t="s">
        <v>38</v>
      </c>
      <c r="H116" t="s">
        <v>38</v>
      </c>
      <c r="I116" t="s">
        <v>38</v>
      </c>
      <c r="J116">
        <v>93</v>
      </c>
      <c r="K116">
        <v>69</v>
      </c>
      <c r="L116">
        <v>795</v>
      </c>
      <c r="M116" s="38">
        <v>5561</v>
      </c>
      <c r="N116" s="38">
        <v>1509</v>
      </c>
      <c r="O116" s="38">
        <f t="shared" si="64"/>
        <v>1047</v>
      </c>
      <c r="P116" s="38">
        <v>290</v>
      </c>
      <c r="Q116" s="38">
        <v>33</v>
      </c>
      <c r="R116" s="38">
        <v>139</v>
      </c>
      <c r="S116" s="38">
        <v>586</v>
      </c>
      <c r="T116" s="38">
        <v>53</v>
      </c>
      <c r="U116" s="38">
        <f t="shared" si="65"/>
        <v>3413</v>
      </c>
      <c r="V116">
        <v>989</v>
      </c>
      <c r="W116">
        <v>108</v>
      </c>
      <c r="X116">
        <v>37</v>
      </c>
      <c r="Y116">
        <v>46</v>
      </c>
      <c r="Z116">
        <v>637</v>
      </c>
      <c r="AA116">
        <v>602</v>
      </c>
      <c r="AB116">
        <v>3.76</v>
      </c>
      <c r="AC116">
        <v>8</v>
      </c>
      <c r="AD116">
        <v>15</v>
      </c>
      <c r="AE116">
        <v>38</v>
      </c>
      <c r="AF116" s="45">
        <f t="shared" ca="1" si="60"/>
        <v>6163</v>
      </c>
      <c r="AG116" s="45">
        <f t="shared" ca="1" si="66"/>
        <v>1548</v>
      </c>
      <c r="AH116" s="45">
        <f t="shared" ca="1" si="67"/>
        <v>1005</v>
      </c>
      <c r="AI116" s="45">
        <f t="shared" ca="1" si="68"/>
        <v>334</v>
      </c>
      <c r="AJ116" s="45">
        <f t="shared" ca="1" si="69"/>
        <v>44</v>
      </c>
      <c r="AK116" s="45">
        <f t="shared" ca="1" si="70"/>
        <v>165</v>
      </c>
      <c r="AL116" s="45">
        <f t="shared" ca="1" si="71"/>
        <v>625</v>
      </c>
      <c r="AM116" s="45">
        <f t="shared" ca="1" si="72"/>
        <v>54</v>
      </c>
      <c r="AN116" s="45">
        <f t="shared" ca="1" si="73"/>
        <v>3936</v>
      </c>
      <c r="AO116">
        <v>4323</v>
      </c>
      <c r="AP116">
        <v>1340</v>
      </c>
      <c r="AQ116">
        <v>173</v>
      </c>
      <c r="AR116">
        <v>466</v>
      </c>
      <c r="AS116">
        <v>1001</v>
      </c>
      <c r="AT116">
        <v>65</v>
      </c>
      <c r="AU116">
        <v>159</v>
      </c>
      <c r="AV116">
        <v>0.98899999999999999</v>
      </c>
      <c r="AW116" s="1"/>
      <c r="AX116" s="47" t="s">
        <v>150</v>
      </c>
      <c r="AY116" s="47">
        <f t="shared" si="74"/>
        <v>29700</v>
      </c>
      <c r="AZ116" s="49">
        <f t="shared" si="75"/>
        <v>166737</v>
      </c>
      <c r="BA116" s="49">
        <f t="shared" ref="BA116" si="120">SUMIF($B$2:$B$571,$B116,$Q$2:$Q$571)</f>
        <v>934</v>
      </c>
      <c r="BB116" s="48">
        <f t="shared" si="77"/>
        <v>5.6016361095617652E-3</v>
      </c>
    </row>
    <row r="117" spans="2:54" x14ac:dyDescent="0.2">
      <c r="B117" s="3">
        <v>2003</v>
      </c>
      <c r="C117" t="s">
        <v>88</v>
      </c>
      <c r="D117" t="s">
        <v>89</v>
      </c>
      <c r="E117">
        <v>1</v>
      </c>
      <c r="F117" t="s">
        <v>43</v>
      </c>
      <c r="G117" t="s">
        <v>38</v>
      </c>
      <c r="H117" t="s">
        <v>38</v>
      </c>
      <c r="I117" t="s">
        <v>38</v>
      </c>
      <c r="J117">
        <v>100</v>
      </c>
      <c r="K117">
        <v>61</v>
      </c>
      <c r="L117">
        <v>755</v>
      </c>
      <c r="M117" s="38">
        <v>5456</v>
      </c>
      <c r="N117" s="38">
        <v>1440</v>
      </c>
      <c r="O117" s="38">
        <f t="shared" si="64"/>
        <v>950</v>
      </c>
      <c r="P117" s="38">
        <v>281</v>
      </c>
      <c r="Q117" s="38">
        <v>29</v>
      </c>
      <c r="R117" s="38">
        <v>180</v>
      </c>
      <c r="S117" s="38">
        <v>593</v>
      </c>
      <c r="T117" s="38">
        <v>40</v>
      </c>
      <c r="U117" s="38">
        <f t="shared" si="65"/>
        <v>3383</v>
      </c>
      <c r="V117">
        <v>980</v>
      </c>
      <c r="W117">
        <v>53</v>
      </c>
      <c r="X117">
        <v>37</v>
      </c>
      <c r="Y117">
        <v>39</v>
      </c>
      <c r="Z117">
        <v>638</v>
      </c>
      <c r="AA117">
        <v>595</v>
      </c>
      <c r="AB117">
        <v>3.73</v>
      </c>
      <c r="AC117">
        <v>7</v>
      </c>
      <c r="AD117">
        <v>10</v>
      </c>
      <c r="AE117">
        <v>43</v>
      </c>
      <c r="AF117" s="45">
        <f t="shared" ca="1" si="60"/>
        <v>6127</v>
      </c>
      <c r="AG117" s="45">
        <f t="shared" ca="1" si="66"/>
        <v>1404</v>
      </c>
      <c r="AH117" s="45">
        <f t="shared" ca="1" si="67"/>
        <v>925</v>
      </c>
      <c r="AI117" s="45">
        <f t="shared" ca="1" si="68"/>
        <v>253</v>
      </c>
      <c r="AJ117" s="45">
        <f t="shared" ca="1" si="69"/>
        <v>21</v>
      </c>
      <c r="AK117" s="45">
        <f t="shared" ca="1" si="70"/>
        <v>205</v>
      </c>
      <c r="AL117" s="45">
        <f t="shared" ca="1" si="71"/>
        <v>598</v>
      </c>
      <c r="AM117" s="45">
        <f t="shared" ca="1" si="72"/>
        <v>47</v>
      </c>
      <c r="AN117" s="45">
        <f t="shared" ca="1" si="73"/>
        <v>4078</v>
      </c>
      <c r="AO117">
        <v>4312</v>
      </c>
      <c r="AP117">
        <v>1349</v>
      </c>
      <c r="AQ117">
        <v>136</v>
      </c>
      <c r="AR117">
        <v>546</v>
      </c>
      <c r="AS117">
        <v>1006</v>
      </c>
      <c r="AT117">
        <v>80</v>
      </c>
      <c r="AU117">
        <v>163</v>
      </c>
      <c r="AV117">
        <v>0.98699999999999999</v>
      </c>
      <c r="AW117" s="1"/>
      <c r="AX117" s="47" t="s">
        <v>151</v>
      </c>
      <c r="AY117" s="47">
        <f t="shared" si="74"/>
        <v>29700</v>
      </c>
      <c r="AZ117" s="49">
        <f t="shared" si="75"/>
        <v>166737</v>
      </c>
      <c r="BA117" s="49">
        <f t="shared" ref="BA117" si="121">SUMIF($B$2:$B$571,$B117,$R$2:$R$571)</f>
        <v>5207</v>
      </c>
      <c r="BB117" s="48">
        <f t="shared" si="77"/>
        <v>3.1228821437353439E-2</v>
      </c>
    </row>
    <row r="118" spans="2:54" x14ac:dyDescent="0.2">
      <c r="B118" s="3">
        <v>2003</v>
      </c>
      <c r="C118" t="s">
        <v>90</v>
      </c>
      <c r="D118" t="s">
        <v>91</v>
      </c>
      <c r="E118">
        <v>3</v>
      </c>
      <c r="F118" t="s">
        <v>38</v>
      </c>
      <c r="G118" t="s">
        <v>38</v>
      </c>
      <c r="H118" t="s">
        <v>38</v>
      </c>
      <c r="I118" t="s">
        <v>38</v>
      </c>
      <c r="J118">
        <v>85</v>
      </c>
      <c r="K118">
        <v>77</v>
      </c>
      <c r="L118">
        <v>876</v>
      </c>
      <c r="M118" s="38">
        <v>5672</v>
      </c>
      <c r="N118" s="38">
        <v>1580</v>
      </c>
      <c r="O118" s="38">
        <f t="shared" si="64"/>
        <v>1010</v>
      </c>
      <c r="P118" s="38">
        <v>342</v>
      </c>
      <c r="Q118" s="38">
        <v>32</v>
      </c>
      <c r="R118" s="38">
        <v>196</v>
      </c>
      <c r="S118" s="38">
        <v>580</v>
      </c>
      <c r="T118" s="38">
        <v>73</v>
      </c>
      <c r="U118" s="38">
        <f t="shared" si="65"/>
        <v>3439</v>
      </c>
      <c r="V118">
        <v>952</v>
      </c>
      <c r="W118">
        <v>82</v>
      </c>
      <c r="X118">
        <v>32</v>
      </c>
      <c r="Y118">
        <v>54</v>
      </c>
      <c r="Z118">
        <v>796</v>
      </c>
      <c r="AA118">
        <v>748</v>
      </c>
      <c r="AB118">
        <v>4.5999999999999996</v>
      </c>
      <c r="AC118">
        <v>9</v>
      </c>
      <c r="AD118">
        <v>10</v>
      </c>
      <c r="AE118">
        <v>41</v>
      </c>
      <c r="AF118" s="45">
        <f t="shared" ref="AF118:AF181" ca="1" si="122">RANDBETWEEN(6049,6490)</f>
        <v>6140</v>
      </c>
      <c r="AG118" s="45">
        <f t="shared" ca="1" si="66"/>
        <v>1372</v>
      </c>
      <c r="AH118" s="45">
        <f t="shared" ca="1" si="67"/>
        <v>811</v>
      </c>
      <c r="AI118" s="45">
        <f t="shared" ca="1" si="68"/>
        <v>308</v>
      </c>
      <c r="AJ118" s="45">
        <f t="shared" ca="1" si="69"/>
        <v>41</v>
      </c>
      <c r="AK118" s="45">
        <f t="shared" ca="1" si="70"/>
        <v>212</v>
      </c>
      <c r="AL118" s="45">
        <f t="shared" ca="1" si="71"/>
        <v>403</v>
      </c>
      <c r="AM118" s="45">
        <f t="shared" ca="1" si="72"/>
        <v>43</v>
      </c>
      <c r="AN118" s="45">
        <f t="shared" ca="1" si="73"/>
        <v>4322</v>
      </c>
      <c r="AO118">
        <v>4391</v>
      </c>
      <c r="AP118">
        <v>1544</v>
      </c>
      <c r="AQ118">
        <v>210</v>
      </c>
      <c r="AR118">
        <v>508</v>
      </c>
      <c r="AS118">
        <v>969</v>
      </c>
      <c r="AT118">
        <v>77</v>
      </c>
      <c r="AU118">
        <v>138</v>
      </c>
      <c r="AV118">
        <v>0.98699999999999999</v>
      </c>
      <c r="AW118" s="1"/>
      <c r="AX118" s="47" t="s">
        <v>152</v>
      </c>
      <c r="AY118" s="47">
        <f t="shared" si="74"/>
        <v>29700</v>
      </c>
      <c r="AZ118" s="49">
        <f t="shared" si="75"/>
        <v>166737</v>
      </c>
      <c r="BA118" s="49">
        <f t="shared" ref="BA118" si="123">SUMIF($B$2:$B$571,$B118,$S$2:$S$571)</f>
        <v>15889</v>
      </c>
      <c r="BB118" s="48">
        <f t="shared" si="77"/>
        <v>9.5293786022298585E-2</v>
      </c>
    </row>
    <row r="119" spans="2:54" x14ac:dyDescent="0.2">
      <c r="B119" s="3">
        <v>2003</v>
      </c>
      <c r="C119" t="s">
        <v>92</v>
      </c>
      <c r="D119" t="s">
        <v>93</v>
      </c>
      <c r="E119">
        <v>5</v>
      </c>
      <c r="F119" t="s">
        <v>38</v>
      </c>
      <c r="G119" t="s">
        <v>38</v>
      </c>
      <c r="H119" t="s">
        <v>38</v>
      </c>
      <c r="I119" t="s">
        <v>38</v>
      </c>
      <c r="J119">
        <v>63</v>
      </c>
      <c r="K119">
        <v>99</v>
      </c>
      <c r="L119">
        <v>715</v>
      </c>
      <c r="M119" s="38">
        <v>5654</v>
      </c>
      <c r="N119" s="38">
        <v>1501</v>
      </c>
      <c r="O119" s="38">
        <f t="shared" si="64"/>
        <v>1028</v>
      </c>
      <c r="P119" s="38">
        <v>298</v>
      </c>
      <c r="Q119" s="38">
        <v>38</v>
      </c>
      <c r="R119" s="38">
        <v>137</v>
      </c>
      <c r="S119" s="38">
        <v>420</v>
      </c>
      <c r="T119" s="38">
        <v>56</v>
      </c>
      <c r="U119" s="38">
        <f t="shared" si="65"/>
        <v>3677</v>
      </c>
      <c r="V119">
        <v>1030</v>
      </c>
      <c r="W119">
        <v>142</v>
      </c>
      <c r="X119">
        <v>42</v>
      </c>
      <c r="Y119">
        <v>50</v>
      </c>
      <c r="Z119">
        <v>852</v>
      </c>
      <c r="AA119">
        <v>787</v>
      </c>
      <c r="AB119">
        <v>4.93</v>
      </c>
      <c r="AC119">
        <v>7</v>
      </c>
      <c r="AD119">
        <v>7</v>
      </c>
      <c r="AE119">
        <v>30</v>
      </c>
      <c r="AF119" s="45">
        <f t="shared" ca="1" si="122"/>
        <v>6472</v>
      </c>
      <c r="AG119" s="45">
        <f t="shared" ca="1" si="66"/>
        <v>1470</v>
      </c>
      <c r="AH119" s="45">
        <f t="shared" ca="1" si="67"/>
        <v>955</v>
      </c>
      <c r="AI119" s="45">
        <f t="shared" ca="1" si="68"/>
        <v>282</v>
      </c>
      <c r="AJ119" s="45">
        <f t="shared" ca="1" si="69"/>
        <v>31</v>
      </c>
      <c r="AK119" s="45">
        <f t="shared" ca="1" si="70"/>
        <v>202</v>
      </c>
      <c r="AL119" s="45">
        <f t="shared" ca="1" si="71"/>
        <v>616</v>
      </c>
      <c r="AM119" s="45">
        <f t="shared" ca="1" si="72"/>
        <v>32</v>
      </c>
      <c r="AN119" s="45">
        <f t="shared" ca="1" si="73"/>
        <v>4354</v>
      </c>
      <c r="AO119">
        <v>4310</v>
      </c>
      <c r="AP119">
        <v>1454</v>
      </c>
      <c r="AQ119">
        <v>196</v>
      </c>
      <c r="AR119">
        <v>639</v>
      </c>
      <c r="AS119">
        <v>877</v>
      </c>
      <c r="AT119">
        <v>103</v>
      </c>
      <c r="AU119">
        <v>158</v>
      </c>
      <c r="AV119">
        <v>0.98299999999999998</v>
      </c>
      <c r="AW119" s="1"/>
      <c r="AX119" s="47" t="s">
        <v>153</v>
      </c>
      <c r="AY119" s="47">
        <f t="shared" si="74"/>
        <v>29700</v>
      </c>
      <c r="AZ119" s="49">
        <f t="shared" si="75"/>
        <v>166737</v>
      </c>
      <c r="BA119" s="49">
        <f t="shared" ref="BA119" si="124">SUMIF($B$2:$B$571,$B119,$T$2:$T$571)</f>
        <v>1849</v>
      </c>
      <c r="BB119" s="48">
        <f t="shared" si="77"/>
        <v>1.1089320306830517E-2</v>
      </c>
    </row>
    <row r="120" spans="2:54" x14ac:dyDescent="0.2">
      <c r="B120" s="3">
        <v>2003</v>
      </c>
      <c r="C120" t="s">
        <v>94</v>
      </c>
      <c r="D120" t="s">
        <v>95</v>
      </c>
      <c r="E120">
        <v>4</v>
      </c>
      <c r="F120" t="s">
        <v>38</v>
      </c>
      <c r="G120" t="s">
        <v>38</v>
      </c>
      <c r="H120" t="s">
        <v>38</v>
      </c>
      <c r="I120" t="s">
        <v>38</v>
      </c>
      <c r="J120">
        <v>71</v>
      </c>
      <c r="K120">
        <v>91</v>
      </c>
      <c r="L120">
        <v>826</v>
      </c>
      <c r="M120" s="38">
        <v>5664</v>
      </c>
      <c r="N120" s="38">
        <v>1506</v>
      </c>
      <c r="O120" s="38">
        <f t="shared" si="64"/>
        <v>957</v>
      </c>
      <c r="P120" s="38">
        <v>274</v>
      </c>
      <c r="Q120" s="38">
        <v>36</v>
      </c>
      <c r="R120" s="38">
        <v>239</v>
      </c>
      <c r="S120" s="38">
        <v>488</v>
      </c>
      <c r="T120" s="38">
        <v>75</v>
      </c>
      <c r="U120" s="38">
        <f t="shared" si="65"/>
        <v>3595</v>
      </c>
      <c r="V120">
        <v>1052</v>
      </c>
      <c r="W120">
        <v>65</v>
      </c>
      <c r="X120">
        <v>25</v>
      </c>
      <c r="Y120">
        <v>42</v>
      </c>
      <c r="Z120">
        <v>969</v>
      </c>
      <c r="AA120">
        <v>903</v>
      </c>
      <c r="AB120">
        <v>5.67</v>
      </c>
      <c r="AC120">
        <v>4</v>
      </c>
      <c r="AD120">
        <v>3</v>
      </c>
      <c r="AE120">
        <v>43</v>
      </c>
      <c r="AF120" s="45">
        <f t="shared" ca="1" si="122"/>
        <v>6208</v>
      </c>
      <c r="AG120" s="45">
        <f t="shared" ca="1" si="66"/>
        <v>1407</v>
      </c>
      <c r="AH120" s="45">
        <f t="shared" ca="1" si="67"/>
        <v>941</v>
      </c>
      <c r="AI120" s="45">
        <f t="shared" ca="1" si="68"/>
        <v>302</v>
      </c>
      <c r="AJ120" s="45">
        <f t="shared" ca="1" si="69"/>
        <v>34</v>
      </c>
      <c r="AK120" s="45">
        <f t="shared" ca="1" si="70"/>
        <v>130</v>
      </c>
      <c r="AL120" s="45">
        <f t="shared" ca="1" si="71"/>
        <v>695</v>
      </c>
      <c r="AM120" s="45">
        <f t="shared" ca="1" si="72"/>
        <v>50</v>
      </c>
      <c r="AN120" s="45">
        <f t="shared" ca="1" si="73"/>
        <v>4056</v>
      </c>
      <c r="AO120">
        <v>4300</v>
      </c>
      <c r="AP120">
        <v>1625</v>
      </c>
      <c r="AQ120">
        <v>208</v>
      </c>
      <c r="AR120">
        <v>603</v>
      </c>
      <c r="AS120">
        <v>1009</v>
      </c>
      <c r="AT120">
        <v>94</v>
      </c>
      <c r="AU120">
        <v>168</v>
      </c>
      <c r="AV120">
        <v>0.98499999999999999</v>
      </c>
      <c r="AW120" s="1"/>
      <c r="AX120" s="47" t="s">
        <v>154</v>
      </c>
      <c r="AY120" s="47">
        <f t="shared" si="74"/>
        <v>29700</v>
      </c>
      <c r="AZ120" s="49">
        <f t="shared" si="75"/>
        <v>166737</v>
      </c>
      <c r="BA120" s="49">
        <f t="shared" ref="BA120" si="125">SUMIF($B$2:$B$571,$B120,$U$2:$U$571)</f>
        <v>104942</v>
      </c>
      <c r="BB120" s="48">
        <f t="shared" si="77"/>
        <v>0.62938639893964743</v>
      </c>
    </row>
    <row r="121" spans="2:54" x14ac:dyDescent="0.2">
      <c r="B121" s="3">
        <v>2003</v>
      </c>
      <c r="C121" t="s">
        <v>96</v>
      </c>
      <c r="D121" t="s">
        <v>97</v>
      </c>
      <c r="E121">
        <v>3</v>
      </c>
      <c r="F121" t="s">
        <v>38</v>
      </c>
      <c r="G121" t="s">
        <v>38</v>
      </c>
      <c r="H121" t="s">
        <v>38</v>
      </c>
      <c r="I121" t="s">
        <v>38</v>
      </c>
      <c r="J121">
        <v>86</v>
      </c>
      <c r="K121">
        <v>76</v>
      </c>
      <c r="L121">
        <v>894</v>
      </c>
      <c r="M121" s="38">
        <v>5661</v>
      </c>
      <c r="N121" s="38">
        <v>1580</v>
      </c>
      <c r="O121" s="38">
        <f t="shared" si="64"/>
        <v>1000</v>
      </c>
      <c r="P121" s="38">
        <v>357</v>
      </c>
      <c r="Q121" s="38">
        <v>33</v>
      </c>
      <c r="R121" s="38">
        <v>190</v>
      </c>
      <c r="S121" s="38">
        <v>546</v>
      </c>
      <c r="T121" s="38">
        <v>90</v>
      </c>
      <c r="U121" s="38">
        <f t="shared" si="65"/>
        <v>3445</v>
      </c>
      <c r="V121">
        <v>1081</v>
      </c>
      <c r="W121">
        <v>37</v>
      </c>
      <c r="X121">
        <v>25</v>
      </c>
      <c r="Y121">
        <v>56</v>
      </c>
      <c r="Z121">
        <v>826</v>
      </c>
      <c r="AA121">
        <v>748</v>
      </c>
      <c r="AB121">
        <v>4.6900000000000004</v>
      </c>
      <c r="AC121">
        <v>14</v>
      </c>
      <c r="AD121">
        <v>6</v>
      </c>
      <c r="AE121">
        <v>35</v>
      </c>
      <c r="AF121" s="45">
        <f t="shared" ca="1" si="122"/>
        <v>6267</v>
      </c>
      <c r="AG121" s="45">
        <f t="shared" ca="1" si="66"/>
        <v>1476</v>
      </c>
      <c r="AH121" s="45">
        <f t="shared" ca="1" si="67"/>
        <v>885</v>
      </c>
      <c r="AI121" s="45">
        <f t="shared" ca="1" si="68"/>
        <v>341</v>
      </c>
      <c r="AJ121" s="45">
        <f t="shared" ca="1" si="69"/>
        <v>40</v>
      </c>
      <c r="AK121" s="45">
        <f t="shared" ca="1" si="70"/>
        <v>210</v>
      </c>
      <c r="AL121" s="45">
        <f t="shared" ca="1" si="71"/>
        <v>659</v>
      </c>
      <c r="AM121" s="45">
        <f t="shared" ca="1" si="72"/>
        <v>38</v>
      </c>
      <c r="AN121" s="45">
        <f t="shared" ca="1" si="73"/>
        <v>4094</v>
      </c>
      <c r="AO121">
        <v>4305</v>
      </c>
      <c r="AP121">
        <v>1560</v>
      </c>
      <c r="AQ121">
        <v>184</v>
      </c>
      <c r="AR121">
        <v>485</v>
      </c>
      <c r="AS121">
        <v>984</v>
      </c>
      <c r="AT121">
        <v>117</v>
      </c>
      <c r="AU121">
        <v>161</v>
      </c>
      <c r="AV121">
        <v>0.98099999999999998</v>
      </c>
      <c r="AW121" s="1"/>
      <c r="AX121" s="47"/>
      <c r="AY121" s="47"/>
      <c r="AZ121" s="49"/>
      <c r="BA121" s="49"/>
      <c r="BB121" s="48"/>
    </row>
    <row r="122" spans="2:54" x14ac:dyDescent="0.2">
      <c r="B122" s="3">
        <v>2004</v>
      </c>
      <c r="C122" t="s">
        <v>36</v>
      </c>
      <c r="D122" t="s">
        <v>37</v>
      </c>
      <c r="E122">
        <v>1</v>
      </c>
      <c r="F122" t="s">
        <v>43</v>
      </c>
      <c r="G122" t="s">
        <v>38</v>
      </c>
      <c r="H122" t="s">
        <v>38</v>
      </c>
      <c r="I122" t="s">
        <v>38</v>
      </c>
      <c r="J122">
        <v>92</v>
      </c>
      <c r="K122">
        <v>70</v>
      </c>
      <c r="L122">
        <v>836</v>
      </c>
      <c r="M122" s="38">
        <v>5675</v>
      </c>
      <c r="N122" s="38">
        <v>1603</v>
      </c>
      <c r="O122" s="38">
        <f t="shared" si="64"/>
        <v>1132</v>
      </c>
      <c r="P122" s="38">
        <v>272</v>
      </c>
      <c r="Q122" s="38">
        <v>37</v>
      </c>
      <c r="R122" s="38">
        <v>162</v>
      </c>
      <c r="S122" s="38">
        <v>450</v>
      </c>
      <c r="T122" s="38">
        <v>73</v>
      </c>
      <c r="U122" s="38">
        <f t="shared" si="65"/>
        <v>3549</v>
      </c>
      <c r="V122">
        <v>942</v>
      </c>
      <c r="W122">
        <v>143</v>
      </c>
      <c r="X122">
        <v>46</v>
      </c>
      <c r="Y122">
        <v>41</v>
      </c>
      <c r="Z122">
        <v>734</v>
      </c>
      <c r="AA122">
        <v>692</v>
      </c>
      <c r="AB122">
        <v>4.28</v>
      </c>
      <c r="AC122">
        <v>2</v>
      </c>
      <c r="AD122">
        <v>11</v>
      </c>
      <c r="AE122">
        <v>50</v>
      </c>
      <c r="AF122" s="45">
        <f t="shared" ca="1" si="122"/>
        <v>6111</v>
      </c>
      <c r="AG122" s="45">
        <f t="shared" ca="1" si="66"/>
        <v>1319</v>
      </c>
      <c r="AH122" s="45">
        <f t="shared" ca="1" si="67"/>
        <v>875</v>
      </c>
      <c r="AI122" s="45">
        <f t="shared" ca="1" si="68"/>
        <v>274</v>
      </c>
      <c r="AJ122" s="45">
        <f t="shared" ca="1" si="69"/>
        <v>39</v>
      </c>
      <c r="AK122" s="45">
        <f t="shared" ca="1" si="70"/>
        <v>131</v>
      </c>
      <c r="AL122" s="45">
        <f t="shared" ca="1" si="71"/>
        <v>510</v>
      </c>
      <c r="AM122" s="45">
        <f t="shared" ca="1" si="72"/>
        <v>90</v>
      </c>
      <c r="AN122" s="45">
        <f t="shared" ca="1" si="73"/>
        <v>4192</v>
      </c>
      <c r="AO122">
        <v>4363</v>
      </c>
      <c r="AP122">
        <v>1476</v>
      </c>
      <c r="AQ122">
        <v>170</v>
      </c>
      <c r="AR122">
        <v>502</v>
      </c>
      <c r="AS122">
        <v>1164</v>
      </c>
      <c r="AT122">
        <v>90</v>
      </c>
      <c r="AU122">
        <v>126</v>
      </c>
      <c r="AV122">
        <v>0.98499999999999999</v>
      </c>
      <c r="AW122" s="1">
        <v>2015</v>
      </c>
      <c r="AX122" s="47" t="s">
        <v>148</v>
      </c>
      <c r="AY122" s="47">
        <f t="shared" si="74"/>
        <v>29700</v>
      </c>
      <c r="AZ122" s="49">
        <f t="shared" si="75"/>
        <v>167353</v>
      </c>
      <c r="BA122" s="49">
        <f t="shared" ref="BA122" si="126">SUMIF($B$2:$B$571,$B122,$O$2:$O$571)</f>
        <v>29254</v>
      </c>
      <c r="BB122" s="48">
        <f t="shared" si="77"/>
        <v>0.17480415648360054</v>
      </c>
    </row>
    <row r="123" spans="2:54" x14ac:dyDescent="0.2">
      <c r="B123" s="3">
        <v>2004</v>
      </c>
      <c r="C123" t="s">
        <v>39</v>
      </c>
      <c r="D123" t="s">
        <v>40</v>
      </c>
      <c r="E123">
        <v>5</v>
      </c>
      <c r="F123" t="s">
        <v>38</v>
      </c>
      <c r="G123" t="s">
        <v>38</v>
      </c>
      <c r="H123" t="s">
        <v>38</v>
      </c>
      <c r="I123" t="s">
        <v>38</v>
      </c>
      <c r="J123">
        <v>51</v>
      </c>
      <c r="K123">
        <v>111</v>
      </c>
      <c r="L123">
        <v>615</v>
      </c>
      <c r="M123" s="38">
        <v>5544</v>
      </c>
      <c r="N123" s="38">
        <v>1401</v>
      </c>
      <c r="O123" s="38">
        <f t="shared" si="64"/>
        <v>933</v>
      </c>
      <c r="P123" s="38">
        <v>295</v>
      </c>
      <c r="Q123" s="38">
        <v>38</v>
      </c>
      <c r="R123" s="38">
        <v>135</v>
      </c>
      <c r="S123" s="38">
        <v>441</v>
      </c>
      <c r="T123" s="38">
        <v>35</v>
      </c>
      <c r="U123" s="38">
        <f t="shared" si="65"/>
        <v>3667</v>
      </c>
      <c r="V123">
        <v>1022</v>
      </c>
      <c r="W123">
        <v>53</v>
      </c>
      <c r="X123">
        <v>32</v>
      </c>
      <c r="Y123">
        <v>37</v>
      </c>
      <c r="Z123">
        <v>899</v>
      </c>
      <c r="AA123">
        <v>794</v>
      </c>
      <c r="AB123">
        <v>4.9800000000000004</v>
      </c>
      <c r="AC123">
        <v>5</v>
      </c>
      <c r="AD123">
        <v>6</v>
      </c>
      <c r="AE123">
        <v>33</v>
      </c>
      <c r="AF123" s="45">
        <f t="shared" ca="1" si="122"/>
        <v>6287</v>
      </c>
      <c r="AG123" s="45">
        <f t="shared" ca="1" si="66"/>
        <v>1670</v>
      </c>
      <c r="AH123" s="45">
        <f t="shared" ca="1" si="67"/>
        <v>1122</v>
      </c>
      <c r="AI123" s="45">
        <f t="shared" ca="1" si="68"/>
        <v>368</v>
      </c>
      <c r="AJ123" s="45">
        <f t="shared" ca="1" si="69"/>
        <v>20</v>
      </c>
      <c r="AK123" s="45">
        <f t="shared" ca="1" si="70"/>
        <v>160</v>
      </c>
      <c r="AL123" s="45">
        <f t="shared" ca="1" si="71"/>
        <v>565</v>
      </c>
      <c r="AM123" s="45">
        <f t="shared" ca="1" si="72"/>
        <v>89</v>
      </c>
      <c r="AN123" s="45">
        <f t="shared" ca="1" si="73"/>
        <v>3963</v>
      </c>
      <c r="AO123">
        <v>4308</v>
      </c>
      <c r="AP123">
        <v>1480</v>
      </c>
      <c r="AQ123">
        <v>197</v>
      </c>
      <c r="AR123">
        <v>668</v>
      </c>
      <c r="AS123">
        <v>1153</v>
      </c>
      <c r="AT123">
        <v>139</v>
      </c>
      <c r="AU123">
        <v>144</v>
      </c>
      <c r="AV123">
        <v>0.97699999999999998</v>
      </c>
      <c r="AW123" s="1"/>
      <c r="AX123" s="47" t="s">
        <v>149</v>
      </c>
      <c r="AY123" s="47">
        <f t="shared" si="74"/>
        <v>29700</v>
      </c>
      <c r="AZ123" s="49">
        <f t="shared" si="75"/>
        <v>167353</v>
      </c>
      <c r="BA123" s="49">
        <f t="shared" ref="BA123" si="127">SUMIF($B$2:$B$571,$B123,$P$2:$P$571)</f>
        <v>8919</v>
      </c>
      <c r="BB123" s="48">
        <f t="shared" si="77"/>
        <v>5.3294533112642137E-2</v>
      </c>
    </row>
    <row r="124" spans="2:54" x14ac:dyDescent="0.2">
      <c r="B124" s="3">
        <v>2004</v>
      </c>
      <c r="C124" t="s">
        <v>41</v>
      </c>
      <c r="D124" t="s">
        <v>42</v>
      </c>
      <c r="E124">
        <v>1</v>
      </c>
      <c r="F124" t="s">
        <v>43</v>
      </c>
      <c r="G124" t="s">
        <v>38</v>
      </c>
      <c r="H124" t="s">
        <v>38</v>
      </c>
      <c r="I124" t="s">
        <v>38</v>
      </c>
      <c r="J124">
        <v>96</v>
      </c>
      <c r="K124">
        <v>66</v>
      </c>
      <c r="L124">
        <v>803</v>
      </c>
      <c r="M124" s="38">
        <v>5570</v>
      </c>
      <c r="N124" s="38">
        <v>1503</v>
      </c>
      <c r="O124" s="38">
        <f t="shared" si="64"/>
        <v>984</v>
      </c>
      <c r="P124" s="38">
        <v>304</v>
      </c>
      <c r="Q124" s="38">
        <v>37</v>
      </c>
      <c r="R124" s="38">
        <v>178</v>
      </c>
      <c r="S124" s="38">
        <v>587</v>
      </c>
      <c r="T124" s="38">
        <v>59</v>
      </c>
      <c r="U124" s="38">
        <f t="shared" si="65"/>
        <v>3421</v>
      </c>
      <c r="V124">
        <v>1158</v>
      </c>
      <c r="W124">
        <v>86</v>
      </c>
      <c r="X124">
        <v>32</v>
      </c>
      <c r="Y124">
        <v>48</v>
      </c>
      <c r="Z124">
        <v>668</v>
      </c>
      <c r="AA124">
        <v>603</v>
      </c>
      <c r="AB124">
        <v>3.74</v>
      </c>
      <c r="AC124">
        <v>4</v>
      </c>
      <c r="AD124">
        <v>13</v>
      </c>
      <c r="AE124">
        <v>48</v>
      </c>
      <c r="AF124" s="45">
        <f t="shared" ca="1" si="122"/>
        <v>6438</v>
      </c>
      <c r="AG124" s="45">
        <f t="shared" ca="1" si="66"/>
        <v>1605</v>
      </c>
      <c r="AH124" s="45">
        <f t="shared" ca="1" si="67"/>
        <v>1171</v>
      </c>
      <c r="AI124" s="45">
        <f t="shared" ca="1" si="68"/>
        <v>234</v>
      </c>
      <c r="AJ124" s="45">
        <f t="shared" ca="1" si="69"/>
        <v>49</v>
      </c>
      <c r="AK124" s="45">
        <f t="shared" ca="1" si="70"/>
        <v>151</v>
      </c>
      <c r="AL124" s="45">
        <f t="shared" ca="1" si="71"/>
        <v>684</v>
      </c>
      <c r="AM124" s="45">
        <f t="shared" ca="1" si="72"/>
        <v>61</v>
      </c>
      <c r="AN124" s="45">
        <f t="shared" ca="1" si="73"/>
        <v>4088</v>
      </c>
      <c r="AO124">
        <v>4350</v>
      </c>
      <c r="AP124">
        <v>1475</v>
      </c>
      <c r="AQ124">
        <v>154</v>
      </c>
      <c r="AR124">
        <v>523</v>
      </c>
      <c r="AS124">
        <v>1025</v>
      </c>
      <c r="AT124">
        <v>116</v>
      </c>
      <c r="AU124">
        <v>171</v>
      </c>
      <c r="AV124">
        <v>0.98099999999999998</v>
      </c>
      <c r="AW124" s="1"/>
      <c r="AX124" s="47" t="s">
        <v>150</v>
      </c>
      <c r="AY124" s="47">
        <f t="shared" si="74"/>
        <v>29700</v>
      </c>
      <c r="AZ124" s="49">
        <f t="shared" si="75"/>
        <v>167353</v>
      </c>
      <c r="BA124" s="49">
        <f t="shared" ref="BA124" si="128">SUMIF($B$2:$B$571,$B124,$Q$2:$Q$571)</f>
        <v>898</v>
      </c>
      <c r="BB124" s="48">
        <f t="shared" si="77"/>
        <v>5.3659032105788365E-3</v>
      </c>
    </row>
    <row r="125" spans="2:54" x14ac:dyDescent="0.2">
      <c r="B125" s="3">
        <v>2004</v>
      </c>
      <c r="C125" t="s">
        <v>44</v>
      </c>
      <c r="D125" t="s">
        <v>45</v>
      </c>
      <c r="E125">
        <v>3</v>
      </c>
      <c r="F125" t="s">
        <v>38</v>
      </c>
      <c r="G125" t="s">
        <v>38</v>
      </c>
      <c r="H125" t="s">
        <v>38</v>
      </c>
      <c r="I125" t="s">
        <v>38</v>
      </c>
      <c r="J125">
        <v>78</v>
      </c>
      <c r="K125">
        <v>84</v>
      </c>
      <c r="L125">
        <v>842</v>
      </c>
      <c r="M125" s="38">
        <v>5736</v>
      </c>
      <c r="N125" s="38">
        <v>1614</v>
      </c>
      <c r="O125" s="38">
        <f t="shared" si="64"/>
        <v>1108</v>
      </c>
      <c r="P125" s="38">
        <v>319</v>
      </c>
      <c r="Q125" s="38">
        <v>18</v>
      </c>
      <c r="R125" s="38">
        <v>169</v>
      </c>
      <c r="S125" s="38">
        <v>528</v>
      </c>
      <c r="T125" s="38">
        <v>57</v>
      </c>
      <c r="U125" s="38">
        <f t="shared" si="65"/>
        <v>3537</v>
      </c>
      <c r="V125">
        <v>949</v>
      </c>
      <c r="W125">
        <v>101</v>
      </c>
      <c r="X125">
        <v>41</v>
      </c>
      <c r="Y125">
        <v>62</v>
      </c>
      <c r="Z125">
        <v>830</v>
      </c>
      <c r="AA125">
        <v>760</v>
      </c>
      <c r="AB125">
        <v>4.7</v>
      </c>
      <c r="AC125">
        <v>8</v>
      </c>
      <c r="AD125">
        <v>10</v>
      </c>
      <c r="AE125">
        <v>27</v>
      </c>
      <c r="AF125" s="45">
        <f t="shared" ca="1" si="122"/>
        <v>6224</v>
      </c>
      <c r="AG125" s="45">
        <f t="shared" ca="1" si="66"/>
        <v>1518</v>
      </c>
      <c r="AH125" s="45">
        <f t="shared" ca="1" si="67"/>
        <v>977</v>
      </c>
      <c r="AI125" s="45">
        <f t="shared" ca="1" si="68"/>
        <v>280</v>
      </c>
      <c r="AJ125" s="45">
        <f t="shared" ca="1" si="69"/>
        <v>38</v>
      </c>
      <c r="AK125" s="45">
        <f t="shared" ca="1" si="70"/>
        <v>223</v>
      </c>
      <c r="AL125" s="45">
        <f t="shared" ca="1" si="71"/>
        <v>658</v>
      </c>
      <c r="AM125" s="45">
        <f t="shared" ca="1" si="72"/>
        <v>47</v>
      </c>
      <c r="AN125" s="45">
        <f t="shared" ca="1" si="73"/>
        <v>4001</v>
      </c>
      <c r="AO125">
        <v>4366</v>
      </c>
      <c r="AP125">
        <v>1488</v>
      </c>
      <c r="AQ125">
        <v>159</v>
      </c>
      <c r="AR125">
        <v>687</v>
      </c>
      <c r="AS125">
        <v>1090</v>
      </c>
      <c r="AT125">
        <v>110</v>
      </c>
      <c r="AU125">
        <v>161</v>
      </c>
      <c r="AV125">
        <v>0.98199999999999998</v>
      </c>
      <c r="AW125" s="1"/>
      <c r="AX125" s="47" t="s">
        <v>151</v>
      </c>
      <c r="AY125" s="47">
        <f t="shared" si="74"/>
        <v>29700</v>
      </c>
      <c r="AZ125" s="49">
        <f t="shared" si="75"/>
        <v>167353</v>
      </c>
      <c r="BA125" s="49">
        <f t="shared" ref="BA125" si="129">SUMIF($B$2:$B$571,$B125,$R$2:$R$571)</f>
        <v>5451</v>
      </c>
      <c r="BB125" s="48">
        <f t="shared" si="77"/>
        <v>3.2571869043279772E-2</v>
      </c>
    </row>
    <row r="126" spans="2:54" x14ac:dyDescent="0.2">
      <c r="B126" s="3">
        <v>2004</v>
      </c>
      <c r="C126" t="s">
        <v>46</v>
      </c>
      <c r="D126" t="s">
        <v>47</v>
      </c>
      <c r="E126">
        <v>2</v>
      </c>
      <c r="F126" t="s">
        <v>38</v>
      </c>
      <c r="G126" t="s">
        <v>43</v>
      </c>
      <c r="H126" t="s">
        <v>43</v>
      </c>
      <c r="I126" t="s">
        <v>43</v>
      </c>
      <c r="J126">
        <v>98</v>
      </c>
      <c r="K126">
        <v>64</v>
      </c>
      <c r="L126">
        <v>949</v>
      </c>
      <c r="M126" s="38">
        <v>5720</v>
      </c>
      <c r="N126" s="38">
        <v>1613</v>
      </c>
      <c r="O126" s="38">
        <f t="shared" si="64"/>
        <v>993</v>
      </c>
      <c r="P126" s="38">
        <v>373</v>
      </c>
      <c r="Q126" s="38">
        <v>25</v>
      </c>
      <c r="R126" s="38">
        <v>222</v>
      </c>
      <c r="S126" s="38">
        <v>659</v>
      </c>
      <c r="T126" s="38">
        <v>69</v>
      </c>
      <c r="U126" s="38">
        <f t="shared" si="65"/>
        <v>3379</v>
      </c>
      <c r="V126">
        <v>1189</v>
      </c>
      <c r="W126">
        <v>68</v>
      </c>
      <c r="X126">
        <v>30</v>
      </c>
      <c r="Y126">
        <v>55</v>
      </c>
      <c r="Z126">
        <v>768</v>
      </c>
      <c r="AA126">
        <v>674</v>
      </c>
      <c r="AB126">
        <v>4.18</v>
      </c>
      <c r="AC126">
        <v>4</v>
      </c>
      <c r="AD126">
        <v>12</v>
      </c>
      <c r="AE126">
        <v>36</v>
      </c>
      <c r="AF126" s="45">
        <f t="shared" ca="1" si="122"/>
        <v>6307</v>
      </c>
      <c r="AG126" s="45">
        <f t="shared" ca="1" si="66"/>
        <v>1505</v>
      </c>
      <c r="AH126" s="45">
        <f t="shared" ca="1" si="67"/>
        <v>974</v>
      </c>
      <c r="AI126" s="45">
        <f t="shared" ca="1" si="68"/>
        <v>336</v>
      </c>
      <c r="AJ126" s="45">
        <f t="shared" ca="1" si="69"/>
        <v>26</v>
      </c>
      <c r="AK126" s="45">
        <f t="shared" ca="1" si="70"/>
        <v>169</v>
      </c>
      <c r="AL126" s="45">
        <f t="shared" ca="1" si="71"/>
        <v>406</v>
      </c>
      <c r="AM126" s="45">
        <f t="shared" ca="1" si="72"/>
        <v>63</v>
      </c>
      <c r="AN126" s="45">
        <f t="shared" ca="1" si="73"/>
        <v>4333</v>
      </c>
      <c r="AO126">
        <v>4354</v>
      </c>
      <c r="AP126">
        <v>1430</v>
      </c>
      <c r="AQ126">
        <v>159</v>
      </c>
      <c r="AR126">
        <v>447</v>
      </c>
      <c r="AS126">
        <v>1132</v>
      </c>
      <c r="AT126">
        <v>118</v>
      </c>
      <c r="AU126">
        <v>129</v>
      </c>
      <c r="AV126">
        <v>0.98099999999999998</v>
      </c>
      <c r="AW126" s="1"/>
      <c r="AX126" s="47" t="s">
        <v>152</v>
      </c>
      <c r="AY126" s="47">
        <f t="shared" si="74"/>
        <v>29700</v>
      </c>
      <c r="AZ126" s="49">
        <f t="shared" si="75"/>
        <v>167353</v>
      </c>
      <c r="BA126" s="49">
        <f t="shared" ref="BA126" si="130">SUMIF($B$2:$B$571,$B126,$S$2:$S$571)</f>
        <v>16222</v>
      </c>
      <c r="BB126" s="48">
        <f t="shared" si="77"/>
        <v>9.693283060357448E-2</v>
      </c>
    </row>
    <row r="127" spans="2:54" x14ac:dyDescent="0.2">
      <c r="B127" s="3">
        <v>2004</v>
      </c>
      <c r="C127" t="s">
        <v>48</v>
      </c>
      <c r="D127" t="s">
        <v>49</v>
      </c>
      <c r="E127">
        <v>2</v>
      </c>
      <c r="F127" t="s">
        <v>38</v>
      </c>
      <c r="G127" t="s">
        <v>38</v>
      </c>
      <c r="H127" t="s">
        <v>38</v>
      </c>
      <c r="I127" t="s">
        <v>38</v>
      </c>
      <c r="J127">
        <v>83</v>
      </c>
      <c r="K127">
        <v>79</v>
      </c>
      <c r="L127">
        <v>865</v>
      </c>
      <c r="M127" s="38">
        <v>5534</v>
      </c>
      <c r="N127" s="38">
        <v>1481</v>
      </c>
      <c r="O127" s="38">
        <f t="shared" si="64"/>
        <v>936</v>
      </c>
      <c r="P127" s="38">
        <v>284</v>
      </c>
      <c r="Q127" s="38">
        <v>19</v>
      </c>
      <c r="R127" s="38">
        <v>242</v>
      </c>
      <c r="S127" s="38">
        <v>499</v>
      </c>
      <c r="T127" s="38">
        <v>63</v>
      </c>
      <c r="U127" s="38">
        <f t="shared" si="65"/>
        <v>3491</v>
      </c>
      <c r="V127">
        <v>1030</v>
      </c>
      <c r="W127">
        <v>78</v>
      </c>
      <c r="X127">
        <v>51</v>
      </c>
      <c r="Y127">
        <v>42</v>
      </c>
      <c r="Z127">
        <v>831</v>
      </c>
      <c r="AA127">
        <v>782</v>
      </c>
      <c r="AB127">
        <v>4.91</v>
      </c>
      <c r="AC127">
        <v>8</v>
      </c>
      <c r="AD127">
        <v>8</v>
      </c>
      <c r="AE127">
        <v>34</v>
      </c>
      <c r="AF127" s="45">
        <f t="shared" ca="1" si="122"/>
        <v>6436</v>
      </c>
      <c r="AG127" s="45">
        <f t="shared" ca="1" si="66"/>
        <v>1700</v>
      </c>
      <c r="AH127" s="45">
        <f t="shared" ca="1" si="67"/>
        <v>1223</v>
      </c>
      <c r="AI127" s="45">
        <f t="shared" ca="1" si="68"/>
        <v>300</v>
      </c>
      <c r="AJ127" s="45">
        <f t="shared" ca="1" si="69"/>
        <v>29</v>
      </c>
      <c r="AK127" s="45">
        <f t="shared" ca="1" si="70"/>
        <v>148</v>
      </c>
      <c r="AL127" s="45">
        <f t="shared" ca="1" si="71"/>
        <v>635</v>
      </c>
      <c r="AM127" s="45">
        <f t="shared" ca="1" si="72"/>
        <v>37</v>
      </c>
      <c r="AN127" s="45">
        <f t="shared" ca="1" si="73"/>
        <v>4064</v>
      </c>
      <c r="AO127">
        <v>4297</v>
      </c>
      <c r="AP127">
        <v>1505</v>
      </c>
      <c r="AQ127">
        <v>224</v>
      </c>
      <c r="AR127">
        <v>527</v>
      </c>
      <c r="AS127">
        <v>1013</v>
      </c>
      <c r="AT127">
        <v>100</v>
      </c>
      <c r="AU127">
        <v>167</v>
      </c>
      <c r="AV127">
        <v>0.98399999999999999</v>
      </c>
      <c r="AW127" s="1"/>
      <c r="AX127" s="47" t="s">
        <v>153</v>
      </c>
      <c r="AY127" s="47">
        <f t="shared" si="74"/>
        <v>29700</v>
      </c>
      <c r="AZ127" s="49">
        <f t="shared" si="75"/>
        <v>167353</v>
      </c>
      <c r="BA127" s="49">
        <f t="shared" ref="BA127" si="131">SUMIF($B$2:$B$571,$B127,$T$2:$T$571)</f>
        <v>1850</v>
      </c>
      <c r="BB127" s="48">
        <f t="shared" si="77"/>
        <v>1.1054477660992035E-2</v>
      </c>
    </row>
    <row r="128" spans="2:54" x14ac:dyDescent="0.2">
      <c r="B128" s="3">
        <v>2004</v>
      </c>
      <c r="C128" t="s">
        <v>50</v>
      </c>
      <c r="D128" t="s">
        <v>51</v>
      </c>
      <c r="E128">
        <v>3</v>
      </c>
      <c r="F128" t="s">
        <v>38</v>
      </c>
      <c r="G128" t="s">
        <v>38</v>
      </c>
      <c r="H128" t="s">
        <v>38</v>
      </c>
      <c r="I128" t="s">
        <v>38</v>
      </c>
      <c r="J128">
        <v>89</v>
      </c>
      <c r="K128">
        <v>73</v>
      </c>
      <c r="L128">
        <v>789</v>
      </c>
      <c r="M128" s="38">
        <v>5628</v>
      </c>
      <c r="N128" s="38">
        <v>1508</v>
      </c>
      <c r="O128" s="38">
        <f t="shared" si="64"/>
        <v>936</v>
      </c>
      <c r="P128" s="38">
        <v>308</v>
      </c>
      <c r="Q128" s="38">
        <v>29</v>
      </c>
      <c r="R128" s="38">
        <v>235</v>
      </c>
      <c r="S128" s="38">
        <v>489</v>
      </c>
      <c r="T128" s="38">
        <v>38</v>
      </c>
      <c r="U128" s="38">
        <f t="shared" si="65"/>
        <v>3593</v>
      </c>
      <c r="V128">
        <v>1080</v>
      </c>
      <c r="W128">
        <v>66</v>
      </c>
      <c r="X128">
        <v>28</v>
      </c>
      <c r="Y128">
        <v>48</v>
      </c>
      <c r="Z128">
        <v>665</v>
      </c>
      <c r="AA128">
        <v>621</v>
      </c>
      <c r="AB128">
        <v>3.81</v>
      </c>
      <c r="AC128">
        <v>3</v>
      </c>
      <c r="AD128">
        <v>6</v>
      </c>
      <c r="AE128">
        <v>42</v>
      </c>
      <c r="AF128" s="45">
        <f t="shared" ca="1" si="122"/>
        <v>6282</v>
      </c>
      <c r="AG128" s="45">
        <f t="shared" ca="1" si="66"/>
        <v>1498</v>
      </c>
      <c r="AH128" s="45">
        <f t="shared" ca="1" si="67"/>
        <v>978</v>
      </c>
      <c r="AI128" s="45">
        <f t="shared" ca="1" si="68"/>
        <v>252</v>
      </c>
      <c r="AJ128" s="45">
        <f t="shared" ca="1" si="69"/>
        <v>45</v>
      </c>
      <c r="AK128" s="45">
        <f t="shared" ca="1" si="70"/>
        <v>223</v>
      </c>
      <c r="AL128" s="45">
        <f t="shared" ca="1" si="71"/>
        <v>547</v>
      </c>
      <c r="AM128" s="45">
        <f t="shared" ca="1" si="72"/>
        <v>64</v>
      </c>
      <c r="AN128" s="45">
        <f t="shared" ca="1" si="73"/>
        <v>4173</v>
      </c>
      <c r="AO128">
        <v>4396</v>
      </c>
      <c r="AP128">
        <v>1363</v>
      </c>
      <c r="AQ128">
        <v>169</v>
      </c>
      <c r="AR128">
        <v>545</v>
      </c>
      <c r="AS128">
        <v>1346</v>
      </c>
      <c r="AT128">
        <v>86</v>
      </c>
      <c r="AU128">
        <v>126</v>
      </c>
      <c r="AV128">
        <v>0.98599999999999999</v>
      </c>
      <c r="AW128" s="1"/>
      <c r="AX128" s="47" t="s">
        <v>154</v>
      </c>
      <c r="AY128" s="47">
        <f t="shared" si="74"/>
        <v>29700</v>
      </c>
      <c r="AZ128" s="49">
        <f t="shared" si="75"/>
        <v>167353</v>
      </c>
      <c r="BA128" s="49">
        <f t="shared" ref="BA128" si="132">SUMIF($B$2:$B$571,$B128,$U$2:$U$571)</f>
        <v>104759</v>
      </c>
      <c r="BB128" s="48">
        <f t="shared" si="77"/>
        <v>0.62597622988533219</v>
      </c>
    </row>
    <row r="129" spans="2:54" x14ac:dyDescent="0.2">
      <c r="B129" s="3">
        <v>2004</v>
      </c>
      <c r="C129" t="s">
        <v>52</v>
      </c>
      <c r="D129" t="s">
        <v>53</v>
      </c>
      <c r="E129">
        <v>4</v>
      </c>
      <c r="F129" t="s">
        <v>38</v>
      </c>
      <c r="G129" t="s">
        <v>38</v>
      </c>
      <c r="H129" t="s">
        <v>38</v>
      </c>
      <c r="I129" t="s">
        <v>38</v>
      </c>
      <c r="J129">
        <v>76</v>
      </c>
      <c r="K129">
        <v>86</v>
      </c>
      <c r="L129">
        <v>750</v>
      </c>
      <c r="M129" s="38">
        <v>5518</v>
      </c>
      <c r="N129" s="38">
        <v>1380</v>
      </c>
      <c r="O129" s="38">
        <f t="shared" si="64"/>
        <v>871</v>
      </c>
      <c r="P129" s="38">
        <v>287</v>
      </c>
      <c r="Q129" s="38">
        <v>28</v>
      </c>
      <c r="R129" s="38">
        <v>194</v>
      </c>
      <c r="S129" s="38">
        <v>599</v>
      </c>
      <c r="T129" s="38">
        <v>81</v>
      </c>
      <c r="U129" s="38">
        <f t="shared" si="65"/>
        <v>3458</v>
      </c>
      <c r="V129">
        <v>1335</v>
      </c>
      <c r="W129">
        <v>77</v>
      </c>
      <c r="X129">
        <v>25</v>
      </c>
      <c r="Y129">
        <v>25</v>
      </c>
      <c r="Z129">
        <v>907</v>
      </c>
      <c r="AA129">
        <v>832</v>
      </c>
      <c r="AB129">
        <v>5.19</v>
      </c>
      <c r="AC129">
        <v>5</v>
      </c>
      <c r="AD129">
        <v>8</v>
      </c>
      <c r="AE129">
        <v>47</v>
      </c>
      <c r="AF129" s="45">
        <f t="shared" ca="1" si="122"/>
        <v>6100</v>
      </c>
      <c r="AG129" s="45">
        <f t="shared" ca="1" si="66"/>
        <v>1495</v>
      </c>
      <c r="AH129" s="45">
        <f t="shared" ca="1" si="67"/>
        <v>930</v>
      </c>
      <c r="AI129" s="45">
        <f t="shared" ca="1" si="68"/>
        <v>335</v>
      </c>
      <c r="AJ129" s="45">
        <f t="shared" ca="1" si="69"/>
        <v>28</v>
      </c>
      <c r="AK129" s="45">
        <f t="shared" ca="1" si="70"/>
        <v>202</v>
      </c>
      <c r="AL129" s="45">
        <f t="shared" ca="1" si="71"/>
        <v>631</v>
      </c>
      <c r="AM129" s="45">
        <f t="shared" ca="1" si="72"/>
        <v>35</v>
      </c>
      <c r="AN129" s="45">
        <f t="shared" ca="1" si="73"/>
        <v>3939</v>
      </c>
      <c r="AO129">
        <v>4331</v>
      </c>
      <c r="AP129">
        <v>1595</v>
      </c>
      <c r="AQ129">
        <v>236</v>
      </c>
      <c r="AR129">
        <v>572</v>
      </c>
      <c r="AS129">
        <v>992</v>
      </c>
      <c r="AT129">
        <v>113</v>
      </c>
      <c r="AU129">
        <v>123</v>
      </c>
      <c r="AV129">
        <v>0.98099999999999998</v>
      </c>
      <c r="AW129" s="1"/>
      <c r="AX129" s="47"/>
      <c r="AY129" s="47"/>
      <c r="AZ129" s="49"/>
      <c r="BA129" s="49"/>
      <c r="BB129" s="48"/>
    </row>
    <row r="130" spans="2:54" x14ac:dyDescent="0.2">
      <c r="B130" s="3">
        <v>2004</v>
      </c>
      <c r="C130" t="s">
        <v>54</v>
      </c>
      <c r="D130" t="s">
        <v>55</v>
      </c>
      <c r="E130">
        <v>3</v>
      </c>
      <c r="F130" t="s">
        <v>38</v>
      </c>
      <c r="G130" t="s">
        <v>38</v>
      </c>
      <c r="H130" t="s">
        <v>38</v>
      </c>
      <c r="I130" t="s">
        <v>38</v>
      </c>
      <c r="J130">
        <v>80</v>
      </c>
      <c r="K130">
        <v>82</v>
      </c>
      <c r="L130">
        <v>858</v>
      </c>
      <c r="M130" s="38">
        <v>5676</v>
      </c>
      <c r="N130" s="38">
        <v>1565</v>
      </c>
      <c r="O130" s="38">
        <f t="shared" si="64"/>
        <v>1007</v>
      </c>
      <c r="P130" s="38">
        <v>345</v>
      </c>
      <c r="Q130" s="38">
        <v>29</v>
      </c>
      <c r="R130" s="38">
        <v>184</v>
      </c>
      <c r="S130" s="38">
        <v>606</v>
      </c>
      <c r="T130" s="38">
        <v>78</v>
      </c>
      <c r="U130" s="38">
        <f t="shared" si="65"/>
        <v>3427</v>
      </c>
      <c r="V130">
        <v>1009</v>
      </c>
      <c r="W130">
        <v>94</v>
      </c>
      <c r="X130">
        <v>55</v>
      </c>
      <c r="Y130">
        <v>42</v>
      </c>
      <c r="Z130">
        <v>857</v>
      </c>
      <c r="AA130">
        <v>784</v>
      </c>
      <c r="AB130">
        <v>4.8099999999999996</v>
      </c>
      <c r="AC130">
        <v>8</v>
      </c>
      <c r="AD130">
        <v>8</v>
      </c>
      <c r="AE130">
        <v>32</v>
      </c>
      <c r="AF130" s="45">
        <f t="shared" ca="1" si="122"/>
        <v>6442</v>
      </c>
      <c r="AG130" s="45">
        <f t="shared" ca="1" si="66"/>
        <v>1549</v>
      </c>
      <c r="AH130" s="45">
        <f t="shared" ca="1" si="67"/>
        <v>1127</v>
      </c>
      <c r="AI130" s="45">
        <f t="shared" ca="1" si="68"/>
        <v>227</v>
      </c>
      <c r="AJ130" s="45">
        <f t="shared" ca="1" si="69"/>
        <v>40</v>
      </c>
      <c r="AK130" s="45">
        <f t="shared" ca="1" si="70"/>
        <v>155</v>
      </c>
      <c r="AL130" s="45">
        <f t="shared" ca="1" si="71"/>
        <v>430</v>
      </c>
      <c r="AM130" s="45">
        <f t="shared" ca="1" si="72"/>
        <v>74</v>
      </c>
      <c r="AN130" s="45">
        <f t="shared" ca="1" si="73"/>
        <v>4389</v>
      </c>
      <c r="AO130">
        <v>4400</v>
      </c>
      <c r="AP130">
        <v>1553</v>
      </c>
      <c r="AQ130">
        <v>201</v>
      </c>
      <c r="AR130">
        <v>579</v>
      </c>
      <c r="AS130">
        <v>1115</v>
      </c>
      <c r="AT130">
        <v>106</v>
      </c>
      <c r="AU130">
        <v>152</v>
      </c>
      <c r="AV130">
        <v>0.98299999999999998</v>
      </c>
      <c r="AW130" s="1">
        <v>2016</v>
      </c>
      <c r="AX130" s="47" t="s">
        <v>148</v>
      </c>
      <c r="AY130" s="47">
        <f t="shared" si="74"/>
        <v>29700</v>
      </c>
      <c r="AZ130" s="49">
        <f t="shared" si="75"/>
        <v>167353</v>
      </c>
      <c r="BA130" s="49">
        <f t="shared" ref="BA130" si="133">SUMIF($B$2:$B$571,$B130,$O$2:$O$571)</f>
        <v>29254</v>
      </c>
      <c r="BB130" s="48">
        <f t="shared" si="77"/>
        <v>0.17480415648360054</v>
      </c>
    </row>
    <row r="131" spans="2:54" x14ac:dyDescent="0.2">
      <c r="B131" s="3">
        <v>2004</v>
      </c>
      <c r="C131" t="s">
        <v>56</v>
      </c>
      <c r="D131" t="s">
        <v>57</v>
      </c>
      <c r="E131">
        <v>4</v>
      </c>
      <c r="F131" t="s">
        <v>38</v>
      </c>
      <c r="G131" t="s">
        <v>38</v>
      </c>
      <c r="H131" t="s">
        <v>38</v>
      </c>
      <c r="I131" t="s">
        <v>38</v>
      </c>
      <c r="J131">
        <v>68</v>
      </c>
      <c r="K131">
        <v>94</v>
      </c>
      <c r="L131">
        <v>833</v>
      </c>
      <c r="M131" s="38">
        <v>5577</v>
      </c>
      <c r="N131" s="38">
        <v>1531</v>
      </c>
      <c r="O131" s="38">
        <f t="shared" ref="O131:O194" si="134">N131-(P131+Q131+R131)</f>
        <v>964</v>
      </c>
      <c r="P131" s="38">
        <v>331</v>
      </c>
      <c r="Q131" s="38">
        <v>34</v>
      </c>
      <c r="R131" s="38">
        <v>202</v>
      </c>
      <c r="S131" s="38">
        <v>568</v>
      </c>
      <c r="T131" s="38">
        <v>54</v>
      </c>
      <c r="U131" s="38">
        <f t="shared" ref="U131:U194" si="135">M131-(N131+S131+T131)</f>
        <v>3424</v>
      </c>
      <c r="V131">
        <v>1181</v>
      </c>
      <c r="W131">
        <v>44</v>
      </c>
      <c r="X131">
        <v>33</v>
      </c>
      <c r="Y131">
        <v>37</v>
      </c>
      <c r="Z131">
        <v>923</v>
      </c>
      <c r="AA131">
        <v>883</v>
      </c>
      <c r="AB131">
        <v>5.54</v>
      </c>
      <c r="AC131">
        <v>3</v>
      </c>
      <c r="AD131">
        <v>2</v>
      </c>
      <c r="AE131">
        <v>36</v>
      </c>
      <c r="AF131" s="45">
        <f t="shared" ca="1" si="122"/>
        <v>6428</v>
      </c>
      <c r="AG131" s="45">
        <f t="shared" ref="AG131:AG194" ca="1" si="136">RANDBETWEEN(1300,1700)</f>
        <v>1310</v>
      </c>
      <c r="AH131" s="45">
        <f t="shared" ref="AH131:AH194" ca="1" si="137">AG131-(AI131+AJ131+AK131)</f>
        <v>721</v>
      </c>
      <c r="AI131" s="45">
        <f t="shared" ref="AI131:AI194" ca="1" si="138">RANDBETWEEN(219,400)</f>
        <v>352</v>
      </c>
      <c r="AJ131" s="45">
        <f t="shared" ref="AJ131:AJ194" ca="1" si="139">RANDBETWEEN(20,50)</f>
        <v>44</v>
      </c>
      <c r="AK131" s="45">
        <f t="shared" ref="AK131:AK194" ca="1" si="140">RANDBETWEEN(130,240)</f>
        <v>193</v>
      </c>
      <c r="AL131" s="45">
        <f t="shared" ref="AL131:AL194" ca="1" si="141">RANDBETWEEN(400,700)</f>
        <v>538</v>
      </c>
      <c r="AM131" s="45">
        <f t="shared" ref="AM131:AM194" ca="1" si="142">RANDBETWEEN(30,90)</f>
        <v>48</v>
      </c>
      <c r="AN131" s="45">
        <f t="shared" ref="AN131:AN194" ca="1" si="143">AF131-(AG131+AL131+AM131)</f>
        <v>4532</v>
      </c>
      <c r="AO131">
        <v>4306</v>
      </c>
      <c r="AP131">
        <v>1634</v>
      </c>
      <c r="AQ131">
        <v>198</v>
      </c>
      <c r="AR131">
        <v>697</v>
      </c>
      <c r="AS131">
        <v>947</v>
      </c>
      <c r="AT131">
        <v>89</v>
      </c>
      <c r="AU131">
        <v>161</v>
      </c>
      <c r="AV131">
        <v>0.98599999999999999</v>
      </c>
      <c r="AW131" s="1"/>
      <c r="AX131" s="47" t="s">
        <v>149</v>
      </c>
      <c r="AY131" s="47">
        <f t="shared" ref="AY131:AY194" si="144">SUM(O$2:O$31)</f>
        <v>29700</v>
      </c>
      <c r="AZ131" s="49">
        <f t="shared" ref="AZ131:AZ194" si="145">SUMIF($B$2:$B$571,$B131,$M$2:$M$571)</f>
        <v>167353</v>
      </c>
      <c r="BA131" s="49">
        <f t="shared" ref="BA131" si="146">SUMIF($B$2:$B$571,$B131,$P$2:$P$571)</f>
        <v>8919</v>
      </c>
      <c r="BB131" s="48">
        <f t="shared" ref="BB131:BB194" si="147">BA131/AZ131</f>
        <v>5.3294533112642137E-2</v>
      </c>
    </row>
    <row r="132" spans="2:54" x14ac:dyDescent="0.2">
      <c r="B132" s="3">
        <v>2004</v>
      </c>
      <c r="C132" t="s">
        <v>58</v>
      </c>
      <c r="D132" t="s">
        <v>59</v>
      </c>
      <c r="E132">
        <v>4</v>
      </c>
      <c r="F132" t="s">
        <v>38</v>
      </c>
      <c r="G132" t="s">
        <v>38</v>
      </c>
      <c r="H132" t="s">
        <v>38</v>
      </c>
      <c r="I132" t="s">
        <v>38</v>
      </c>
      <c r="J132">
        <v>72</v>
      </c>
      <c r="K132">
        <v>90</v>
      </c>
      <c r="L132">
        <v>827</v>
      </c>
      <c r="M132" s="38">
        <v>5623</v>
      </c>
      <c r="N132" s="38">
        <v>1531</v>
      </c>
      <c r="O132" s="38">
        <f t="shared" si="134"/>
        <v>992</v>
      </c>
      <c r="P132" s="38">
        <v>284</v>
      </c>
      <c r="Q132" s="38">
        <v>54</v>
      </c>
      <c r="R132" s="38">
        <v>201</v>
      </c>
      <c r="S132" s="38">
        <v>518</v>
      </c>
      <c r="T132" s="38">
        <v>50</v>
      </c>
      <c r="U132" s="38">
        <f t="shared" si="135"/>
        <v>3524</v>
      </c>
      <c r="V132">
        <v>1144</v>
      </c>
      <c r="W132">
        <v>86</v>
      </c>
      <c r="X132">
        <v>50</v>
      </c>
      <c r="Y132">
        <v>43</v>
      </c>
      <c r="Z132">
        <v>844</v>
      </c>
      <c r="AA132">
        <v>788</v>
      </c>
      <c r="AB132">
        <v>4.93</v>
      </c>
      <c r="AC132">
        <v>7</v>
      </c>
      <c r="AD132">
        <v>9</v>
      </c>
      <c r="AE132">
        <v>35</v>
      </c>
      <c r="AF132" s="45">
        <f t="shared" ca="1" si="122"/>
        <v>6152</v>
      </c>
      <c r="AG132" s="45">
        <f t="shared" ca="1" si="136"/>
        <v>1662</v>
      </c>
      <c r="AH132" s="45">
        <f t="shared" ca="1" si="137"/>
        <v>1249</v>
      </c>
      <c r="AI132" s="45">
        <f t="shared" ca="1" si="138"/>
        <v>225</v>
      </c>
      <c r="AJ132" s="45">
        <f t="shared" ca="1" si="139"/>
        <v>44</v>
      </c>
      <c r="AK132" s="45">
        <f t="shared" ca="1" si="140"/>
        <v>144</v>
      </c>
      <c r="AL132" s="45">
        <f t="shared" ca="1" si="141"/>
        <v>484</v>
      </c>
      <c r="AM132" s="45">
        <f t="shared" ca="1" si="142"/>
        <v>86</v>
      </c>
      <c r="AN132" s="45">
        <f t="shared" ca="1" si="143"/>
        <v>3920</v>
      </c>
      <c r="AO132">
        <v>4319</v>
      </c>
      <c r="AP132">
        <v>1542</v>
      </c>
      <c r="AQ132">
        <v>190</v>
      </c>
      <c r="AR132">
        <v>530</v>
      </c>
      <c r="AS132">
        <v>995</v>
      </c>
      <c r="AT132">
        <v>144</v>
      </c>
      <c r="AU132">
        <v>160</v>
      </c>
      <c r="AV132">
        <v>0.97699999999999998</v>
      </c>
      <c r="AW132" s="1"/>
      <c r="AX132" s="47" t="s">
        <v>150</v>
      </c>
      <c r="AY132" s="47">
        <f t="shared" si="144"/>
        <v>29700</v>
      </c>
      <c r="AZ132" s="49">
        <f t="shared" si="145"/>
        <v>167353</v>
      </c>
      <c r="BA132" s="49">
        <f t="shared" ref="BA132" si="148">SUMIF($B$2:$B$571,$B132,$Q$2:$Q$571)</f>
        <v>898</v>
      </c>
      <c r="BB132" s="48">
        <f t="shared" si="147"/>
        <v>5.3659032105788365E-3</v>
      </c>
    </row>
    <row r="133" spans="2:54" x14ac:dyDescent="0.2">
      <c r="B133" s="3">
        <v>2004</v>
      </c>
      <c r="C133" t="s">
        <v>60</v>
      </c>
      <c r="D133" t="s">
        <v>61</v>
      </c>
      <c r="E133">
        <v>3</v>
      </c>
      <c r="F133" t="s">
        <v>38</v>
      </c>
      <c r="G133" t="s">
        <v>38</v>
      </c>
      <c r="H133" t="s">
        <v>38</v>
      </c>
      <c r="I133" t="s">
        <v>38</v>
      </c>
      <c r="J133">
        <v>83</v>
      </c>
      <c r="K133">
        <v>79</v>
      </c>
      <c r="L133">
        <v>718</v>
      </c>
      <c r="M133" s="38">
        <v>5486</v>
      </c>
      <c r="N133" s="38">
        <v>1447</v>
      </c>
      <c r="O133" s="38">
        <f t="shared" si="134"/>
        <v>992</v>
      </c>
      <c r="P133" s="38">
        <v>275</v>
      </c>
      <c r="Q133" s="38">
        <v>32</v>
      </c>
      <c r="R133" s="38">
        <v>148</v>
      </c>
      <c r="S133" s="38">
        <v>499</v>
      </c>
      <c r="T133" s="38">
        <v>58</v>
      </c>
      <c r="U133" s="38">
        <f t="shared" si="135"/>
        <v>3482</v>
      </c>
      <c r="V133">
        <v>968</v>
      </c>
      <c r="W133">
        <v>96</v>
      </c>
      <c r="X133">
        <v>43</v>
      </c>
      <c r="Y133">
        <v>40</v>
      </c>
      <c r="Z133">
        <v>700</v>
      </c>
      <c r="AA133">
        <v>655</v>
      </c>
      <c r="AB133">
        <v>4.0999999999999996</v>
      </c>
      <c r="AC133">
        <v>6</v>
      </c>
      <c r="AD133">
        <v>14</v>
      </c>
      <c r="AE133">
        <v>53</v>
      </c>
      <c r="AF133" s="45">
        <f t="shared" ca="1" si="122"/>
        <v>6256</v>
      </c>
      <c r="AG133" s="45">
        <f t="shared" ca="1" si="136"/>
        <v>1383</v>
      </c>
      <c r="AH133" s="45">
        <f t="shared" ca="1" si="137"/>
        <v>810</v>
      </c>
      <c r="AI133" s="45">
        <f t="shared" ca="1" si="138"/>
        <v>373</v>
      </c>
      <c r="AJ133" s="45">
        <f t="shared" ca="1" si="139"/>
        <v>31</v>
      </c>
      <c r="AK133" s="45">
        <f t="shared" ca="1" si="140"/>
        <v>169</v>
      </c>
      <c r="AL133" s="45">
        <f t="shared" ca="1" si="141"/>
        <v>542</v>
      </c>
      <c r="AM133" s="45">
        <f t="shared" ca="1" si="142"/>
        <v>75</v>
      </c>
      <c r="AN133" s="45">
        <f t="shared" ca="1" si="143"/>
        <v>4256</v>
      </c>
      <c r="AO133">
        <v>4317</v>
      </c>
      <c r="AP133">
        <v>1395</v>
      </c>
      <c r="AQ133">
        <v>166</v>
      </c>
      <c r="AR133">
        <v>513</v>
      </c>
      <c r="AS133">
        <v>1116</v>
      </c>
      <c r="AT133">
        <v>86</v>
      </c>
      <c r="AU133">
        <v>153</v>
      </c>
      <c r="AV133">
        <v>0.98599999999999999</v>
      </c>
      <c r="AW133" s="1"/>
      <c r="AX133" s="47" t="s">
        <v>151</v>
      </c>
      <c r="AY133" s="47">
        <f t="shared" si="144"/>
        <v>29700</v>
      </c>
      <c r="AZ133" s="49">
        <f t="shared" si="145"/>
        <v>167353</v>
      </c>
      <c r="BA133" s="49">
        <f t="shared" ref="BA133" si="149">SUMIF($B$2:$B$571,$B133,$R$2:$R$571)</f>
        <v>5451</v>
      </c>
      <c r="BB133" s="48">
        <f t="shared" si="147"/>
        <v>3.2571869043279772E-2</v>
      </c>
    </row>
    <row r="134" spans="2:54" x14ac:dyDescent="0.2">
      <c r="B134" s="3">
        <v>2004</v>
      </c>
      <c r="C134" t="s">
        <v>62</v>
      </c>
      <c r="D134" t="s">
        <v>63</v>
      </c>
      <c r="E134">
        <v>2</v>
      </c>
      <c r="F134" t="s">
        <v>38</v>
      </c>
      <c r="G134" t="s">
        <v>43</v>
      </c>
      <c r="H134" t="s">
        <v>38</v>
      </c>
      <c r="I134" t="s">
        <v>38</v>
      </c>
      <c r="J134">
        <v>92</v>
      </c>
      <c r="K134">
        <v>70</v>
      </c>
      <c r="L134">
        <v>803</v>
      </c>
      <c r="M134" s="38">
        <v>5468</v>
      </c>
      <c r="N134" s="38">
        <v>1458</v>
      </c>
      <c r="O134" s="38">
        <f t="shared" si="134"/>
        <v>941</v>
      </c>
      <c r="P134" s="38">
        <v>294</v>
      </c>
      <c r="Q134" s="38">
        <v>36</v>
      </c>
      <c r="R134" s="38">
        <v>187</v>
      </c>
      <c r="S134" s="38">
        <v>590</v>
      </c>
      <c r="T134" s="38">
        <v>61</v>
      </c>
      <c r="U134" s="38">
        <f t="shared" si="135"/>
        <v>3359</v>
      </c>
      <c r="V134">
        <v>999</v>
      </c>
      <c r="W134">
        <v>89</v>
      </c>
      <c r="X134">
        <v>30</v>
      </c>
      <c r="Y134">
        <v>52</v>
      </c>
      <c r="Z134">
        <v>698</v>
      </c>
      <c r="AA134">
        <v>650</v>
      </c>
      <c r="AB134">
        <v>4.05</v>
      </c>
      <c r="AC134">
        <v>2</v>
      </c>
      <c r="AD134">
        <v>13</v>
      </c>
      <c r="AE134">
        <v>47</v>
      </c>
      <c r="AF134" s="45">
        <f t="shared" ca="1" si="122"/>
        <v>6290</v>
      </c>
      <c r="AG134" s="45">
        <f t="shared" ca="1" si="136"/>
        <v>1407</v>
      </c>
      <c r="AH134" s="45">
        <f t="shared" ca="1" si="137"/>
        <v>949</v>
      </c>
      <c r="AI134" s="45">
        <f t="shared" ca="1" si="138"/>
        <v>264</v>
      </c>
      <c r="AJ134" s="45">
        <f t="shared" ca="1" si="139"/>
        <v>20</v>
      </c>
      <c r="AK134" s="45">
        <f t="shared" ca="1" si="140"/>
        <v>174</v>
      </c>
      <c r="AL134" s="45">
        <f t="shared" ca="1" si="141"/>
        <v>573</v>
      </c>
      <c r="AM134" s="45">
        <f t="shared" ca="1" si="142"/>
        <v>74</v>
      </c>
      <c r="AN134" s="45">
        <f t="shared" ca="1" si="143"/>
        <v>4236</v>
      </c>
      <c r="AO134">
        <v>4329</v>
      </c>
      <c r="AP134">
        <v>1416</v>
      </c>
      <c r="AQ134">
        <v>174</v>
      </c>
      <c r="AR134">
        <v>525</v>
      </c>
      <c r="AS134">
        <v>1282</v>
      </c>
      <c r="AT134">
        <v>101</v>
      </c>
      <c r="AU134">
        <v>136</v>
      </c>
      <c r="AV134">
        <v>0.98299999999999998</v>
      </c>
      <c r="AW134" s="1"/>
      <c r="AX134" s="47" t="s">
        <v>152</v>
      </c>
      <c r="AY134" s="47">
        <f t="shared" si="144"/>
        <v>29700</v>
      </c>
      <c r="AZ134" s="49">
        <f t="shared" si="145"/>
        <v>167353</v>
      </c>
      <c r="BA134" s="49">
        <f t="shared" ref="BA134" si="150">SUMIF($B$2:$B$571,$B134,$S$2:$S$571)</f>
        <v>16222</v>
      </c>
      <c r="BB134" s="48">
        <f t="shared" si="147"/>
        <v>9.693283060357448E-2</v>
      </c>
    </row>
    <row r="135" spans="2:54" x14ac:dyDescent="0.2">
      <c r="B135" s="3">
        <v>2004</v>
      </c>
      <c r="C135" t="s">
        <v>64</v>
      </c>
      <c r="D135" t="s">
        <v>65</v>
      </c>
      <c r="E135">
        <v>5</v>
      </c>
      <c r="F135" t="s">
        <v>38</v>
      </c>
      <c r="G135" t="s">
        <v>38</v>
      </c>
      <c r="H135" t="s">
        <v>38</v>
      </c>
      <c r="I135" t="s">
        <v>38</v>
      </c>
      <c r="J135">
        <v>58</v>
      </c>
      <c r="K135">
        <v>104</v>
      </c>
      <c r="L135">
        <v>720</v>
      </c>
      <c r="M135" s="38">
        <v>5538</v>
      </c>
      <c r="N135" s="38">
        <v>1432</v>
      </c>
      <c r="O135" s="38">
        <f t="shared" si="134"/>
        <v>992</v>
      </c>
      <c r="P135" s="38">
        <v>261</v>
      </c>
      <c r="Q135" s="38">
        <v>29</v>
      </c>
      <c r="R135" s="38">
        <v>150</v>
      </c>
      <c r="S135" s="38">
        <v>461</v>
      </c>
      <c r="T135" s="38">
        <v>76</v>
      </c>
      <c r="U135" s="38">
        <f t="shared" si="135"/>
        <v>3569</v>
      </c>
      <c r="V135">
        <v>1057</v>
      </c>
      <c r="W135">
        <v>67</v>
      </c>
      <c r="X135">
        <v>48</v>
      </c>
      <c r="Y135">
        <v>38</v>
      </c>
      <c r="Z135">
        <v>905</v>
      </c>
      <c r="AA135">
        <v>813</v>
      </c>
      <c r="AB135">
        <v>5.15</v>
      </c>
      <c r="AC135">
        <v>6</v>
      </c>
      <c r="AD135">
        <v>3</v>
      </c>
      <c r="AE135">
        <v>25</v>
      </c>
      <c r="AF135" s="45">
        <f t="shared" ca="1" si="122"/>
        <v>6164</v>
      </c>
      <c r="AG135" s="45">
        <f t="shared" ca="1" si="136"/>
        <v>1417</v>
      </c>
      <c r="AH135" s="45">
        <f t="shared" ca="1" si="137"/>
        <v>927</v>
      </c>
      <c r="AI135" s="45">
        <f t="shared" ca="1" si="138"/>
        <v>293</v>
      </c>
      <c r="AJ135" s="45">
        <f t="shared" ca="1" si="139"/>
        <v>36</v>
      </c>
      <c r="AK135" s="45">
        <f t="shared" ca="1" si="140"/>
        <v>161</v>
      </c>
      <c r="AL135" s="45">
        <f t="shared" ca="1" si="141"/>
        <v>660</v>
      </c>
      <c r="AM135" s="45">
        <f t="shared" ca="1" si="142"/>
        <v>53</v>
      </c>
      <c r="AN135" s="45">
        <f t="shared" ca="1" si="143"/>
        <v>4034</v>
      </c>
      <c r="AO135">
        <v>4261</v>
      </c>
      <c r="AP135">
        <v>1638</v>
      </c>
      <c r="AQ135">
        <v>208</v>
      </c>
      <c r="AR135">
        <v>518</v>
      </c>
      <c r="AS135">
        <v>887</v>
      </c>
      <c r="AT135">
        <v>131</v>
      </c>
      <c r="AU135">
        <v>169</v>
      </c>
      <c r="AV135">
        <v>0.97799999999999998</v>
      </c>
      <c r="AW135" s="1"/>
      <c r="AX135" s="47" t="s">
        <v>153</v>
      </c>
      <c r="AY135" s="47">
        <f t="shared" si="144"/>
        <v>29700</v>
      </c>
      <c r="AZ135" s="49">
        <f t="shared" si="145"/>
        <v>167353</v>
      </c>
      <c r="BA135" s="49">
        <f t="shared" ref="BA135" si="151">SUMIF($B$2:$B$571,$B135,$T$2:$T$571)</f>
        <v>1850</v>
      </c>
      <c r="BB135" s="48">
        <f t="shared" si="147"/>
        <v>1.1054477660992035E-2</v>
      </c>
    </row>
    <row r="136" spans="2:54" x14ac:dyDescent="0.2">
      <c r="B136" s="3">
        <v>2004</v>
      </c>
      <c r="C136" t="s">
        <v>66</v>
      </c>
      <c r="D136" t="s">
        <v>67</v>
      </c>
      <c r="E136">
        <v>1</v>
      </c>
      <c r="F136" t="s">
        <v>43</v>
      </c>
      <c r="G136" t="s">
        <v>38</v>
      </c>
      <c r="H136" t="s">
        <v>38</v>
      </c>
      <c r="I136" t="s">
        <v>38</v>
      </c>
      <c r="J136">
        <v>93</v>
      </c>
      <c r="K136">
        <v>69</v>
      </c>
      <c r="L136">
        <v>761</v>
      </c>
      <c r="M136" s="38">
        <v>5542</v>
      </c>
      <c r="N136" s="38">
        <v>1450</v>
      </c>
      <c r="O136" s="38">
        <f t="shared" si="134"/>
        <v>991</v>
      </c>
      <c r="P136" s="38">
        <v>226</v>
      </c>
      <c r="Q136" s="38">
        <v>30</v>
      </c>
      <c r="R136" s="38">
        <v>203</v>
      </c>
      <c r="S136" s="38">
        <v>536</v>
      </c>
      <c r="T136" s="38">
        <v>62</v>
      </c>
      <c r="U136" s="38">
        <f t="shared" si="135"/>
        <v>3494</v>
      </c>
      <c r="V136">
        <v>1092</v>
      </c>
      <c r="W136">
        <v>102</v>
      </c>
      <c r="X136">
        <v>41</v>
      </c>
      <c r="Y136">
        <v>35</v>
      </c>
      <c r="Z136">
        <v>684</v>
      </c>
      <c r="AA136">
        <v>647</v>
      </c>
      <c r="AB136">
        <v>4.01</v>
      </c>
      <c r="AC136">
        <v>2</v>
      </c>
      <c r="AD136">
        <v>6</v>
      </c>
      <c r="AE136">
        <v>51</v>
      </c>
      <c r="AF136" s="45">
        <f t="shared" ca="1" si="122"/>
        <v>6442</v>
      </c>
      <c r="AG136" s="45">
        <f t="shared" ca="1" si="136"/>
        <v>1453</v>
      </c>
      <c r="AH136" s="45">
        <f t="shared" ca="1" si="137"/>
        <v>915</v>
      </c>
      <c r="AI136" s="45">
        <f t="shared" ca="1" si="138"/>
        <v>300</v>
      </c>
      <c r="AJ136" s="45">
        <f t="shared" ca="1" si="139"/>
        <v>24</v>
      </c>
      <c r="AK136" s="45">
        <f t="shared" ca="1" si="140"/>
        <v>214</v>
      </c>
      <c r="AL136" s="45">
        <f t="shared" ca="1" si="141"/>
        <v>642</v>
      </c>
      <c r="AM136" s="45">
        <f t="shared" ca="1" si="142"/>
        <v>84</v>
      </c>
      <c r="AN136" s="45">
        <f t="shared" ca="1" si="143"/>
        <v>4263</v>
      </c>
      <c r="AO136">
        <v>4360</v>
      </c>
      <c r="AP136">
        <v>1386</v>
      </c>
      <c r="AQ136">
        <v>178</v>
      </c>
      <c r="AR136">
        <v>521</v>
      </c>
      <c r="AS136">
        <v>1066</v>
      </c>
      <c r="AT136">
        <v>73</v>
      </c>
      <c r="AU136">
        <v>145</v>
      </c>
      <c r="AV136">
        <v>0.98799999999999999</v>
      </c>
      <c r="AW136" s="1"/>
      <c r="AX136" s="47" t="s">
        <v>154</v>
      </c>
      <c r="AY136" s="47">
        <f t="shared" si="144"/>
        <v>29700</v>
      </c>
      <c r="AZ136" s="49">
        <f t="shared" si="145"/>
        <v>167353</v>
      </c>
      <c r="BA136" s="49">
        <f t="shared" ref="BA136" si="152">SUMIF($B$2:$B$571,$B136,$U$2:$U$571)</f>
        <v>104759</v>
      </c>
      <c r="BB136" s="48">
        <f t="shared" si="147"/>
        <v>0.62597622988533219</v>
      </c>
    </row>
    <row r="137" spans="2:54" x14ac:dyDescent="0.2">
      <c r="B137" s="3">
        <v>2004</v>
      </c>
      <c r="C137" t="s">
        <v>68</v>
      </c>
      <c r="D137" t="s">
        <v>69</v>
      </c>
      <c r="E137">
        <v>6</v>
      </c>
      <c r="F137" t="s">
        <v>38</v>
      </c>
      <c r="G137" t="s">
        <v>38</v>
      </c>
      <c r="H137" t="s">
        <v>38</v>
      </c>
      <c r="I137" t="s">
        <v>38</v>
      </c>
      <c r="J137">
        <v>67</v>
      </c>
      <c r="K137">
        <v>94</v>
      </c>
      <c r="L137">
        <v>634</v>
      </c>
      <c r="M137" s="38">
        <v>5483</v>
      </c>
      <c r="N137" s="38">
        <v>1358</v>
      </c>
      <c r="O137" s="38">
        <f t="shared" si="134"/>
        <v>896</v>
      </c>
      <c r="P137" s="38">
        <v>295</v>
      </c>
      <c r="Q137" s="38">
        <v>32</v>
      </c>
      <c r="R137" s="38">
        <v>135</v>
      </c>
      <c r="S137" s="38">
        <v>540</v>
      </c>
      <c r="T137" s="38">
        <v>68</v>
      </c>
      <c r="U137" s="38">
        <f t="shared" si="135"/>
        <v>3517</v>
      </c>
      <c r="V137">
        <v>1312</v>
      </c>
      <c r="W137">
        <v>138</v>
      </c>
      <c r="X137">
        <v>40</v>
      </c>
      <c r="Y137">
        <v>40</v>
      </c>
      <c r="Z137">
        <v>757</v>
      </c>
      <c r="AA137">
        <v>679</v>
      </c>
      <c r="AB137">
        <v>4.24</v>
      </c>
      <c r="AC137">
        <v>6</v>
      </c>
      <c r="AD137">
        <v>10</v>
      </c>
      <c r="AE137">
        <v>42</v>
      </c>
      <c r="AF137" s="45">
        <f t="shared" ca="1" si="122"/>
        <v>6049</v>
      </c>
      <c r="AG137" s="45">
        <f t="shared" ca="1" si="136"/>
        <v>1398</v>
      </c>
      <c r="AH137" s="45">
        <f t="shared" ca="1" si="137"/>
        <v>789</v>
      </c>
      <c r="AI137" s="45">
        <f t="shared" ca="1" si="138"/>
        <v>359</v>
      </c>
      <c r="AJ137" s="45">
        <f t="shared" ca="1" si="139"/>
        <v>22</v>
      </c>
      <c r="AK137" s="45">
        <f t="shared" ca="1" si="140"/>
        <v>228</v>
      </c>
      <c r="AL137" s="45">
        <f t="shared" ca="1" si="141"/>
        <v>500</v>
      </c>
      <c r="AM137" s="45">
        <f t="shared" ca="1" si="142"/>
        <v>89</v>
      </c>
      <c r="AN137" s="45">
        <f t="shared" ca="1" si="143"/>
        <v>4062</v>
      </c>
      <c r="AO137">
        <v>4326</v>
      </c>
      <c r="AP137">
        <v>1440</v>
      </c>
      <c r="AQ137">
        <v>164</v>
      </c>
      <c r="AR137">
        <v>476</v>
      </c>
      <c r="AS137">
        <v>1098</v>
      </c>
      <c r="AT137">
        <v>117</v>
      </c>
      <c r="AU137">
        <v>132</v>
      </c>
      <c r="AV137">
        <v>0.98099999999999998</v>
      </c>
      <c r="AW137" s="1"/>
      <c r="AX137" s="47" t="s">
        <v>155</v>
      </c>
      <c r="AY137" s="47">
        <f t="shared" si="144"/>
        <v>29700</v>
      </c>
      <c r="AZ137" s="49">
        <f t="shared" si="145"/>
        <v>167353</v>
      </c>
      <c r="BA137" s="49"/>
      <c r="BB137" s="48">
        <f t="shared" si="147"/>
        <v>0</v>
      </c>
    </row>
    <row r="138" spans="2:54" x14ac:dyDescent="0.2">
      <c r="B138" s="3">
        <v>2004</v>
      </c>
      <c r="C138" t="s">
        <v>70</v>
      </c>
      <c r="D138" t="s">
        <v>71</v>
      </c>
      <c r="E138">
        <v>1</v>
      </c>
      <c r="F138" t="s">
        <v>43</v>
      </c>
      <c r="G138" t="s">
        <v>38</v>
      </c>
      <c r="H138" t="s">
        <v>38</v>
      </c>
      <c r="I138" t="s">
        <v>38</v>
      </c>
      <c r="J138">
        <v>92</v>
      </c>
      <c r="K138">
        <v>70</v>
      </c>
      <c r="L138">
        <v>780</v>
      </c>
      <c r="M138" s="38">
        <v>5623</v>
      </c>
      <c r="N138" s="38">
        <v>1494</v>
      </c>
      <c r="O138" s="38">
        <f t="shared" si="134"/>
        <v>969</v>
      </c>
      <c r="P138" s="38">
        <v>310</v>
      </c>
      <c r="Q138" s="38">
        <v>24</v>
      </c>
      <c r="R138" s="38">
        <v>191</v>
      </c>
      <c r="S138" s="38">
        <v>513</v>
      </c>
      <c r="T138" s="38">
        <v>64</v>
      </c>
      <c r="U138" s="38">
        <f t="shared" si="135"/>
        <v>3552</v>
      </c>
      <c r="V138">
        <v>982</v>
      </c>
      <c r="W138">
        <v>116</v>
      </c>
      <c r="X138">
        <v>46</v>
      </c>
      <c r="Y138">
        <v>40</v>
      </c>
      <c r="Z138">
        <v>715</v>
      </c>
      <c r="AA138">
        <v>661</v>
      </c>
      <c r="AB138">
        <v>4.03</v>
      </c>
      <c r="AC138">
        <v>4</v>
      </c>
      <c r="AD138">
        <v>9</v>
      </c>
      <c r="AE138">
        <v>48</v>
      </c>
      <c r="AF138" s="45">
        <f t="shared" ca="1" si="122"/>
        <v>6318</v>
      </c>
      <c r="AG138" s="45">
        <f t="shared" ca="1" si="136"/>
        <v>1531</v>
      </c>
      <c r="AH138" s="45">
        <f t="shared" ca="1" si="137"/>
        <v>947</v>
      </c>
      <c r="AI138" s="45">
        <f t="shared" ca="1" si="138"/>
        <v>367</v>
      </c>
      <c r="AJ138" s="45">
        <f t="shared" ca="1" si="139"/>
        <v>35</v>
      </c>
      <c r="AK138" s="45">
        <f t="shared" ca="1" si="140"/>
        <v>182</v>
      </c>
      <c r="AL138" s="45">
        <f t="shared" ca="1" si="141"/>
        <v>527</v>
      </c>
      <c r="AM138" s="45">
        <f t="shared" ca="1" si="142"/>
        <v>89</v>
      </c>
      <c r="AN138" s="45">
        <f t="shared" ca="1" si="143"/>
        <v>4171</v>
      </c>
      <c r="AO138">
        <v>4428</v>
      </c>
      <c r="AP138">
        <v>1523</v>
      </c>
      <c r="AQ138">
        <v>167</v>
      </c>
      <c r="AR138">
        <v>431</v>
      </c>
      <c r="AS138">
        <v>1123</v>
      </c>
      <c r="AT138">
        <v>101</v>
      </c>
      <c r="AU138">
        <v>158</v>
      </c>
      <c r="AV138">
        <v>0.98399999999999999</v>
      </c>
      <c r="AW138" s="1">
        <v>2017</v>
      </c>
      <c r="AX138" s="47" t="s">
        <v>148</v>
      </c>
      <c r="AY138" s="47">
        <f t="shared" si="144"/>
        <v>29700</v>
      </c>
      <c r="AZ138" s="49">
        <f t="shared" si="145"/>
        <v>167353</v>
      </c>
      <c r="BA138" s="49">
        <f t="shared" ref="BA138" si="153">SUMIF($B$2:$B$571,$B138,$O$2:$O$571)</f>
        <v>29254</v>
      </c>
      <c r="BB138" s="48">
        <f t="shared" si="147"/>
        <v>0.17480415648360054</v>
      </c>
    </row>
    <row r="139" spans="2:54" x14ac:dyDescent="0.2">
      <c r="B139" s="3">
        <v>2004</v>
      </c>
      <c r="C139" t="s">
        <v>72</v>
      </c>
      <c r="D139" t="s">
        <v>73</v>
      </c>
      <c r="E139">
        <v>5</v>
      </c>
      <c r="F139" t="s">
        <v>38</v>
      </c>
      <c r="G139" t="s">
        <v>38</v>
      </c>
      <c r="H139" t="s">
        <v>38</v>
      </c>
      <c r="I139" t="s">
        <v>38</v>
      </c>
      <c r="J139">
        <v>67</v>
      </c>
      <c r="K139">
        <v>95</v>
      </c>
      <c r="L139">
        <v>635</v>
      </c>
      <c r="M139" s="38">
        <v>5474</v>
      </c>
      <c r="N139" s="38">
        <v>1361</v>
      </c>
      <c r="O139" s="38">
        <f t="shared" si="134"/>
        <v>907</v>
      </c>
      <c r="P139" s="38">
        <v>276</v>
      </c>
      <c r="Q139" s="38">
        <v>27</v>
      </c>
      <c r="R139" s="38">
        <v>151</v>
      </c>
      <c r="S139" s="38">
        <v>496</v>
      </c>
      <c r="T139" s="38">
        <v>35</v>
      </c>
      <c r="U139" s="38">
        <f t="shared" si="135"/>
        <v>3582</v>
      </c>
      <c r="V139">
        <v>925</v>
      </c>
      <c r="W139">
        <v>109</v>
      </c>
      <c r="X139">
        <v>38</v>
      </c>
      <c r="Y139">
        <v>33</v>
      </c>
      <c r="Z139">
        <v>769</v>
      </c>
      <c r="AA139">
        <v>696</v>
      </c>
      <c r="AB139">
        <v>4.33</v>
      </c>
      <c r="AC139">
        <v>11</v>
      </c>
      <c r="AD139">
        <v>11</v>
      </c>
      <c r="AE139">
        <v>31</v>
      </c>
      <c r="AF139" s="45">
        <f t="shared" ca="1" si="122"/>
        <v>6402</v>
      </c>
      <c r="AG139" s="45">
        <f t="shared" ca="1" si="136"/>
        <v>1391</v>
      </c>
      <c r="AH139" s="45">
        <f t="shared" ca="1" si="137"/>
        <v>818</v>
      </c>
      <c r="AI139" s="45">
        <f t="shared" ca="1" si="138"/>
        <v>333</v>
      </c>
      <c r="AJ139" s="45">
        <f t="shared" ca="1" si="139"/>
        <v>23</v>
      </c>
      <c r="AK139" s="45">
        <f t="shared" ca="1" si="140"/>
        <v>217</v>
      </c>
      <c r="AL139" s="45">
        <f t="shared" ca="1" si="141"/>
        <v>594</v>
      </c>
      <c r="AM139" s="45">
        <f t="shared" ca="1" si="142"/>
        <v>83</v>
      </c>
      <c r="AN139" s="45">
        <f t="shared" ca="1" si="143"/>
        <v>4334</v>
      </c>
      <c r="AO139">
        <v>4341</v>
      </c>
      <c r="AP139">
        <v>1477</v>
      </c>
      <c r="AQ139">
        <v>191</v>
      </c>
      <c r="AR139">
        <v>582</v>
      </c>
      <c r="AS139">
        <v>1032</v>
      </c>
      <c r="AT139">
        <v>99</v>
      </c>
      <c r="AU139">
        <v>172</v>
      </c>
      <c r="AV139">
        <v>0.98399999999999999</v>
      </c>
      <c r="AW139" s="1"/>
      <c r="AX139" s="47" t="s">
        <v>149</v>
      </c>
      <c r="AY139" s="47">
        <f t="shared" si="144"/>
        <v>29700</v>
      </c>
      <c r="AZ139" s="49">
        <f t="shared" si="145"/>
        <v>167353</v>
      </c>
      <c r="BA139" s="49">
        <f t="shared" ref="BA139" si="154">SUMIF($B$2:$B$571,$B139,$P$2:$P$571)</f>
        <v>8919</v>
      </c>
      <c r="BB139" s="48">
        <f t="shared" si="147"/>
        <v>5.3294533112642137E-2</v>
      </c>
    </row>
    <row r="140" spans="2:54" x14ac:dyDescent="0.2">
      <c r="B140" s="3">
        <v>2004</v>
      </c>
      <c r="C140" t="s">
        <v>74</v>
      </c>
      <c r="D140" t="s">
        <v>75</v>
      </c>
      <c r="E140">
        <v>1</v>
      </c>
      <c r="F140" t="s">
        <v>43</v>
      </c>
      <c r="G140" t="s">
        <v>38</v>
      </c>
      <c r="H140" t="s">
        <v>38</v>
      </c>
      <c r="I140" t="s">
        <v>38</v>
      </c>
      <c r="J140">
        <v>101</v>
      </c>
      <c r="K140">
        <v>61</v>
      </c>
      <c r="L140">
        <v>897</v>
      </c>
      <c r="M140" s="38">
        <v>5527</v>
      </c>
      <c r="N140" s="38">
        <v>1483</v>
      </c>
      <c r="O140" s="38">
        <f t="shared" si="134"/>
        <v>940</v>
      </c>
      <c r="P140" s="38">
        <v>281</v>
      </c>
      <c r="Q140" s="38">
        <v>20</v>
      </c>
      <c r="R140" s="38">
        <v>242</v>
      </c>
      <c r="S140" s="38">
        <v>670</v>
      </c>
      <c r="T140" s="38">
        <v>80</v>
      </c>
      <c r="U140" s="38">
        <f t="shared" si="135"/>
        <v>3294</v>
      </c>
      <c r="V140">
        <v>982</v>
      </c>
      <c r="W140">
        <v>84</v>
      </c>
      <c r="X140">
        <v>33</v>
      </c>
      <c r="Y140">
        <v>50</v>
      </c>
      <c r="Z140">
        <v>808</v>
      </c>
      <c r="AA140">
        <v>752</v>
      </c>
      <c r="AB140">
        <v>4.6900000000000004</v>
      </c>
      <c r="AC140">
        <v>1</v>
      </c>
      <c r="AD140">
        <v>5</v>
      </c>
      <c r="AE140">
        <v>59</v>
      </c>
      <c r="AF140" s="45">
        <f t="shared" ca="1" si="122"/>
        <v>6390</v>
      </c>
      <c r="AG140" s="45">
        <f t="shared" ca="1" si="136"/>
        <v>1641</v>
      </c>
      <c r="AH140" s="45">
        <f t="shared" ca="1" si="137"/>
        <v>1061</v>
      </c>
      <c r="AI140" s="45">
        <f t="shared" ca="1" si="138"/>
        <v>372</v>
      </c>
      <c r="AJ140" s="45">
        <f t="shared" ca="1" si="139"/>
        <v>35</v>
      </c>
      <c r="AK140" s="45">
        <f t="shared" ca="1" si="140"/>
        <v>173</v>
      </c>
      <c r="AL140" s="45">
        <f t="shared" ca="1" si="141"/>
        <v>528</v>
      </c>
      <c r="AM140" s="45">
        <f t="shared" ca="1" si="142"/>
        <v>76</v>
      </c>
      <c r="AN140" s="45">
        <f t="shared" ca="1" si="143"/>
        <v>4145</v>
      </c>
      <c r="AO140">
        <v>4331</v>
      </c>
      <c r="AP140">
        <v>1532</v>
      </c>
      <c r="AQ140">
        <v>182</v>
      </c>
      <c r="AR140">
        <v>445</v>
      </c>
      <c r="AS140">
        <v>1058</v>
      </c>
      <c r="AT140">
        <v>99</v>
      </c>
      <c r="AU140">
        <v>148</v>
      </c>
      <c r="AV140">
        <v>0.98399999999999999</v>
      </c>
      <c r="AW140" s="1"/>
      <c r="AX140" s="47" t="s">
        <v>150</v>
      </c>
      <c r="AY140" s="47">
        <f t="shared" si="144"/>
        <v>29700</v>
      </c>
      <c r="AZ140" s="49">
        <f t="shared" si="145"/>
        <v>167353</v>
      </c>
      <c r="BA140" s="49">
        <f t="shared" ref="BA140" si="155">SUMIF($B$2:$B$571,$B140,$Q$2:$Q$571)</f>
        <v>898</v>
      </c>
      <c r="BB140" s="48">
        <f t="shared" si="147"/>
        <v>5.3659032105788365E-3</v>
      </c>
    </row>
    <row r="141" spans="2:54" x14ac:dyDescent="0.2">
      <c r="B141" s="3">
        <v>2004</v>
      </c>
      <c r="C141" t="s">
        <v>76</v>
      </c>
      <c r="D141" t="s">
        <v>77</v>
      </c>
      <c r="E141">
        <v>4</v>
      </c>
      <c r="F141" t="s">
        <v>38</v>
      </c>
      <c r="G141" t="s">
        <v>38</v>
      </c>
      <c r="H141" t="s">
        <v>38</v>
      </c>
      <c r="I141" t="s">
        <v>38</v>
      </c>
      <c r="J141">
        <v>71</v>
      </c>
      <c r="K141">
        <v>91</v>
      </c>
      <c r="L141">
        <v>684</v>
      </c>
      <c r="M141" s="38">
        <v>5532</v>
      </c>
      <c r="N141" s="38">
        <v>1376</v>
      </c>
      <c r="O141" s="38">
        <f t="shared" si="134"/>
        <v>882</v>
      </c>
      <c r="P141" s="38">
        <v>289</v>
      </c>
      <c r="Q141" s="38">
        <v>20</v>
      </c>
      <c r="R141" s="38">
        <v>185</v>
      </c>
      <c r="S141" s="38">
        <v>512</v>
      </c>
      <c r="T141" s="38">
        <v>61</v>
      </c>
      <c r="U141" s="38">
        <f t="shared" si="135"/>
        <v>3583</v>
      </c>
      <c r="V141">
        <v>1159</v>
      </c>
      <c r="W141">
        <v>107</v>
      </c>
      <c r="X141">
        <v>23</v>
      </c>
      <c r="Y141">
        <v>34</v>
      </c>
      <c r="Z141">
        <v>731</v>
      </c>
      <c r="AA141">
        <v>658</v>
      </c>
      <c r="AB141">
        <v>4.09</v>
      </c>
      <c r="AC141">
        <v>2</v>
      </c>
      <c r="AD141">
        <v>6</v>
      </c>
      <c r="AE141">
        <v>31</v>
      </c>
      <c r="AF141" s="45">
        <f t="shared" ca="1" si="122"/>
        <v>6437</v>
      </c>
      <c r="AG141" s="45">
        <f t="shared" ca="1" si="136"/>
        <v>1416</v>
      </c>
      <c r="AH141" s="45">
        <f t="shared" ca="1" si="137"/>
        <v>825</v>
      </c>
      <c r="AI141" s="45">
        <f t="shared" ca="1" si="138"/>
        <v>334</v>
      </c>
      <c r="AJ141" s="45">
        <f t="shared" ca="1" si="139"/>
        <v>30</v>
      </c>
      <c r="AK141" s="45">
        <f t="shared" ca="1" si="140"/>
        <v>227</v>
      </c>
      <c r="AL141" s="45">
        <f t="shared" ca="1" si="141"/>
        <v>662</v>
      </c>
      <c r="AM141" s="45">
        <f t="shared" ca="1" si="142"/>
        <v>53</v>
      </c>
      <c r="AN141" s="45">
        <f t="shared" ca="1" si="143"/>
        <v>4306</v>
      </c>
      <c r="AO141">
        <v>4347</v>
      </c>
      <c r="AP141">
        <v>1452</v>
      </c>
      <c r="AQ141">
        <v>156</v>
      </c>
      <c r="AR141">
        <v>592</v>
      </c>
      <c r="AS141">
        <v>977</v>
      </c>
      <c r="AT141">
        <v>137</v>
      </c>
      <c r="AU141">
        <v>144</v>
      </c>
      <c r="AV141">
        <v>0.97799999999999998</v>
      </c>
      <c r="AW141" s="1"/>
      <c r="AX141" s="47" t="s">
        <v>151</v>
      </c>
      <c r="AY141" s="47">
        <f t="shared" si="144"/>
        <v>29700</v>
      </c>
      <c r="AZ141" s="49">
        <f t="shared" si="145"/>
        <v>167353</v>
      </c>
      <c r="BA141" s="49">
        <f t="shared" ref="BA141" si="156">SUMIF($B$2:$B$571,$B141,$R$2:$R$571)</f>
        <v>5451</v>
      </c>
      <c r="BB141" s="48">
        <f t="shared" si="147"/>
        <v>3.2571869043279772E-2</v>
      </c>
    </row>
    <row r="142" spans="2:54" x14ac:dyDescent="0.2">
      <c r="B142" s="3">
        <v>2004</v>
      </c>
      <c r="C142" t="s">
        <v>78</v>
      </c>
      <c r="D142" t="s">
        <v>79</v>
      </c>
      <c r="E142">
        <v>2</v>
      </c>
      <c r="F142" t="s">
        <v>38</v>
      </c>
      <c r="G142" t="s">
        <v>38</v>
      </c>
      <c r="H142" t="s">
        <v>38</v>
      </c>
      <c r="I142" t="s">
        <v>38</v>
      </c>
      <c r="J142">
        <v>91</v>
      </c>
      <c r="K142">
        <v>71</v>
      </c>
      <c r="L142">
        <v>793</v>
      </c>
      <c r="M142" s="38">
        <v>5728</v>
      </c>
      <c r="N142" s="38">
        <v>1545</v>
      </c>
      <c r="O142" s="38">
        <f t="shared" si="134"/>
        <v>1005</v>
      </c>
      <c r="P142" s="38">
        <v>336</v>
      </c>
      <c r="Q142" s="38">
        <v>15</v>
      </c>
      <c r="R142" s="38">
        <v>189</v>
      </c>
      <c r="S142" s="38">
        <v>608</v>
      </c>
      <c r="T142" s="38">
        <v>55</v>
      </c>
      <c r="U142" s="38">
        <f t="shared" si="135"/>
        <v>3520</v>
      </c>
      <c r="V142">
        <v>1061</v>
      </c>
      <c r="W142">
        <v>47</v>
      </c>
      <c r="X142">
        <v>22</v>
      </c>
      <c r="Y142">
        <v>43</v>
      </c>
      <c r="Z142">
        <v>742</v>
      </c>
      <c r="AA142">
        <v>682</v>
      </c>
      <c r="AB142">
        <v>4.17</v>
      </c>
      <c r="AC142">
        <v>10</v>
      </c>
      <c r="AD142">
        <v>8</v>
      </c>
      <c r="AE142">
        <v>35</v>
      </c>
      <c r="AF142" s="45">
        <f t="shared" ca="1" si="122"/>
        <v>6449</v>
      </c>
      <c r="AG142" s="45">
        <f t="shared" ca="1" si="136"/>
        <v>1349</v>
      </c>
      <c r="AH142" s="45">
        <f t="shared" ca="1" si="137"/>
        <v>799</v>
      </c>
      <c r="AI142" s="45">
        <f t="shared" ca="1" si="138"/>
        <v>356</v>
      </c>
      <c r="AJ142" s="45">
        <f t="shared" ca="1" si="139"/>
        <v>46</v>
      </c>
      <c r="AK142" s="45">
        <f t="shared" ca="1" si="140"/>
        <v>148</v>
      </c>
      <c r="AL142" s="45">
        <f t="shared" ca="1" si="141"/>
        <v>621</v>
      </c>
      <c r="AM142" s="45">
        <f t="shared" ca="1" si="142"/>
        <v>66</v>
      </c>
      <c r="AN142" s="45">
        <f t="shared" ca="1" si="143"/>
        <v>4413</v>
      </c>
      <c r="AO142">
        <v>4414</v>
      </c>
      <c r="AP142">
        <v>1466</v>
      </c>
      <c r="AQ142">
        <v>164</v>
      </c>
      <c r="AR142">
        <v>544</v>
      </c>
      <c r="AS142">
        <v>1034</v>
      </c>
      <c r="AT142">
        <v>91</v>
      </c>
      <c r="AU142">
        <v>172</v>
      </c>
      <c r="AV142">
        <v>0.98599999999999999</v>
      </c>
      <c r="AW142" s="1"/>
      <c r="AX142" s="47" t="s">
        <v>152</v>
      </c>
      <c r="AY142" s="47">
        <f t="shared" si="144"/>
        <v>29700</v>
      </c>
      <c r="AZ142" s="49">
        <f t="shared" si="145"/>
        <v>167353</v>
      </c>
      <c r="BA142" s="49">
        <f t="shared" ref="BA142" si="157">SUMIF($B$2:$B$571,$B142,$S$2:$S$571)</f>
        <v>16222</v>
      </c>
      <c r="BB142" s="48">
        <f t="shared" si="147"/>
        <v>9.693283060357448E-2</v>
      </c>
    </row>
    <row r="143" spans="2:54" x14ac:dyDescent="0.2">
      <c r="B143" s="3">
        <v>2004</v>
      </c>
      <c r="C143" t="s">
        <v>80</v>
      </c>
      <c r="D143" t="s">
        <v>81</v>
      </c>
      <c r="E143">
        <v>2</v>
      </c>
      <c r="F143" t="s">
        <v>38</v>
      </c>
      <c r="G143" t="s">
        <v>38</v>
      </c>
      <c r="H143" t="s">
        <v>38</v>
      </c>
      <c r="I143" t="s">
        <v>38</v>
      </c>
      <c r="J143">
        <v>86</v>
      </c>
      <c r="K143">
        <v>76</v>
      </c>
      <c r="L143">
        <v>840</v>
      </c>
      <c r="M143" s="38">
        <v>5643</v>
      </c>
      <c r="N143" s="38">
        <v>1505</v>
      </c>
      <c r="O143" s="38">
        <f t="shared" si="134"/>
        <v>964</v>
      </c>
      <c r="P143" s="38">
        <v>303</v>
      </c>
      <c r="Q143" s="38">
        <v>23</v>
      </c>
      <c r="R143" s="38">
        <v>215</v>
      </c>
      <c r="S143" s="38">
        <v>645</v>
      </c>
      <c r="T143" s="38">
        <v>58</v>
      </c>
      <c r="U143" s="38">
        <f t="shared" si="135"/>
        <v>3435</v>
      </c>
      <c r="V143">
        <v>1133</v>
      </c>
      <c r="W143">
        <v>100</v>
      </c>
      <c r="X143">
        <v>27</v>
      </c>
      <c r="Y143">
        <v>46</v>
      </c>
      <c r="Z143">
        <v>781</v>
      </c>
      <c r="AA143">
        <v>724</v>
      </c>
      <c r="AB143">
        <v>4.45</v>
      </c>
      <c r="AC143">
        <v>4</v>
      </c>
      <c r="AD143">
        <v>5</v>
      </c>
      <c r="AE143">
        <v>43</v>
      </c>
      <c r="AF143" s="45">
        <f t="shared" ca="1" si="122"/>
        <v>6348</v>
      </c>
      <c r="AG143" s="45">
        <f t="shared" ca="1" si="136"/>
        <v>1542</v>
      </c>
      <c r="AH143" s="45">
        <f t="shared" ca="1" si="137"/>
        <v>1018</v>
      </c>
      <c r="AI143" s="45">
        <f t="shared" ca="1" si="138"/>
        <v>260</v>
      </c>
      <c r="AJ143" s="45">
        <f t="shared" ca="1" si="139"/>
        <v>46</v>
      </c>
      <c r="AK143" s="45">
        <f t="shared" ca="1" si="140"/>
        <v>218</v>
      </c>
      <c r="AL143" s="45">
        <f t="shared" ca="1" si="141"/>
        <v>500</v>
      </c>
      <c r="AM143" s="45">
        <f t="shared" ca="1" si="142"/>
        <v>68</v>
      </c>
      <c r="AN143" s="45">
        <f t="shared" ca="1" si="143"/>
        <v>4238</v>
      </c>
      <c r="AO143">
        <v>4388</v>
      </c>
      <c r="AP143">
        <v>1488</v>
      </c>
      <c r="AQ143">
        <v>214</v>
      </c>
      <c r="AR143">
        <v>502</v>
      </c>
      <c r="AS143">
        <v>1070</v>
      </c>
      <c r="AT143">
        <v>81</v>
      </c>
      <c r="AU143">
        <v>142</v>
      </c>
      <c r="AV143">
        <v>0.98699999999999999</v>
      </c>
      <c r="AW143" s="1"/>
      <c r="AX143" s="47" t="s">
        <v>153</v>
      </c>
      <c r="AY143" s="47">
        <f t="shared" si="144"/>
        <v>29700</v>
      </c>
      <c r="AZ143" s="49">
        <f t="shared" si="145"/>
        <v>167353</v>
      </c>
      <c r="BA143" s="49">
        <f t="shared" ref="BA143" si="158">SUMIF($B$2:$B$571,$B143,$T$2:$T$571)</f>
        <v>1850</v>
      </c>
      <c r="BB143" s="48">
        <f t="shared" si="147"/>
        <v>1.1054477660992035E-2</v>
      </c>
    </row>
    <row r="144" spans="2:54" x14ac:dyDescent="0.2">
      <c r="B144" s="3">
        <v>2004</v>
      </c>
      <c r="C144" t="s">
        <v>82</v>
      </c>
      <c r="D144" t="s">
        <v>83</v>
      </c>
      <c r="E144">
        <v>5</v>
      </c>
      <c r="F144" t="s">
        <v>38</v>
      </c>
      <c r="G144" t="s">
        <v>38</v>
      </c>
      <c r="H144" t="s">
        <v>38</v>
      </c>
      <c r="I144" t="s">
        <v>38</v>
      </c>
      <c r="J144">
        <v>72</v>
      </c>
      <c r="K144">
        <v>89</v>
      </c>
      <c r="L144">
        <v>680</v>
      </c>
      <c r="M144" s="38">
        <v>5483</v>
      </c>
      <c r="N144" s="38">
        <v>1428</v>
      </c>
      <c r="O144" s="38">
        <f t="shared" si="134"/>
        <v>980</v>
      </c>
      <c r="P144" s="38">
        <v>267</v>
      </c>
      <c r="Q144" s="38">
        <v>39</v>
      </c>
      <c r="R144" s="38">
        <v>142</v>
      </c>
      <c r="S144" s="38">
        <v>415</v>
      </c>
      <c r="T144" s="38">
        <v>95</v>
      </c>
      <c r="U144" s="38">
        <f t="shared" si="135"/>
        <v>3545</v>
      </c>
      <c r="V144">
        <v>1066</v>
      </c>
      <c r="W144">
        <v>63</v>
      </c>
      <c r="X144">
        <v>40</v>
      </c>
      <c r="Y144">
        <v>42</v>
      </c>
      <c r="Z144">
        <v>744</v>
      </c>
      <c r="AA144">
        <v>680</v>
      </c>
      <c r="AB144">
        <v>4.29</v>
      </c>
      <c r="AC144">
        <v>3</v>
      </c>
      <c r="AD144">
        <v>8</v>
      </c>
      <c r="AE144">
        <v>46</v>
      </c>
      <c r="AF144" s="45">
        <f t="shared" ca="1" si="122"/>
        <v>6317</v>
      </c>
      <c r="AG144" s="45">
        <f t="shared" ca="1" si="136"/>
        <v>1615</v>
      </c>
      <c r="AH144" s="45">
        <f t="shared" ca="1" si="137"/>
        <v>1147</v>
      </c>
      <c r="AI144" s="45">
        <f t="shared" ca="1" si="138"/>
        <v>276</v>
      </c>
      <c r="AJ144" s="45">
        <f t="shared" ca="1" si="139"/>
        <v>27</v>
      </c>
      <c r="AK144" s="45">
        <f t="shared" ca="1" si="140"/>
        <v>165</v>
      </c>
      <c r="AL144" s="45">
        <f t="shared" ca="1" si="141"/>
        <v>645</v>
      </c>
      <c r="AM144" s="45">
        <f t="shared" ca="1" si="142"/>
        <v>67</v>
      </c>
      <c r="AN144" s="45">
        <f t="shared" ca="1" si="143"/>
        <v>3990</v>
      </c>
      <c r="AO144">
        <v>4284</v>
      </c>
      <c r="AP144">
        <v>1451</v>
      </c>
      <c r="AQ144">
        <v>149</v>
      </c>
      <c r="AR144">
        <v>576</v>
      </c>
      <c r="AS144">
        <v>1079</v>
      </c>
      <c r="AT144">
        <v>103</v>
      </c>
      <c r="AU144">
        <v>189</v>
      </c>
      <c r="AV144">
        <v>0.98299999999999998</v>
      </c>
      <c r="AW144" s="1"/>
      <c r="AX144" s="47" t="s">
        <v>154</v>
      </c>
      <c r="AY144" s="47">
        <f t="shared" si="144"/>
        <v>29700</v>
      </c>
      <c r="AZ144" s="49">
        <f t="shared" si="145"/>
        <v>167353</v>
      </c>
      <c r="BA144" s="49">
        <f t="shared" ref="BA144" si="159">SUMIF($B$2:$B$571,$B144,$U$2:$U$571)</f>
        <v>104759</v>
      </c>
      <c r="BB144" s="48">
        <f t="shared" si="147"/>
        <v>0.62597622988533219</v>
      </c>
    </row>
    <row r="145" spans="2:54" x14ac:dyDescent="0.2">
      <c r="B145" s="3">
        <v>2004</v>
      </c>
      <c r="C145" t="s">
        <v>84</v>
      </c>
      <c r="D145" t="s">
        <v>85</v>
      </c>
      <c r="E145">
        <v>3</v>
      </c>
      <c r="F145" t="s">
        <v>38</v>
      </c>
      <c r="G145" t="s">
        <v>38</v>
      </c>
      <c r="H145" t="s">
        <v>38</v>
      </c>
      <c r="I145" t="s">
        <v>38</v>
      </c>
      <c r="J145">
        <v>87</v>
      </c>
      <c r="K145">
        <v>75</v>
      </c>
      <c r="L145">
        <v>768</v>
      </c>
      <c r="M145" s="38">
        <v>5573</v>
      </c>
      <c r="N145" s="38">
        <v>1521</v>
      </c>
      <c r="O145" s="38">
        <f t="shared" si="134"/>
        <v>1046</v>
      </c>
      <c r="P145" s="38">
        <v>304</v>
      </c>
      <c r="Q145" s="38">
        <v>32</v>
      </c>
      <c r="R145" s="38">
        <v>139</v>
      </c>
      <c r="S145" s="38">
        <v>566</v>
      </c>
      <c r="T145" s="38">
        <v>56</v>
      </c>
      <c r="U145" s="38">
        <f t="shared" si="135"/>
        <v>3430</v>
      </c>
      <c r="V145">
        <v>910</v>
      </c>
      <c r="W145">
        <v>52</v>
      </c>
      <c r="X145">
        <v>25</v>
      </c>
      <c r="Y145">
        <v>66</v>
      </c>
      <c r="Z145">
        <v>705</v>
      </c>
      <c r="AA145">
        <v>645</v>
      </c>
      <c r="AB145">
        <v>4.03</v>
      </c>
      <c r="AC145">
        <v>3</v>
      </c>
      <c r="AD145">
        <v>8</v>
      </c>
      <c r="AE145">
        <v>44</v>
      </c>
      <c r="AF145" s="45">
        <f t="shared" ca="1" si="122"/>
        <v>6311</v>
      </c>
      <c r="AG145" s="45">
        <f t="shared" ca="1" si="136"/>
        <v>1308</v>
      </c>
      <c r="AH145" s="45">
        <f t="shared" ca="1" si="137"/>
        <v>892</v>
      </c>
      <c r="AI145" s="45">
        <f t="shared" ca="1" si="138"/>
        <v>220</v>
      </c>
      <c r="AJ145" s="45">
        <f t="shared" ca="1" si="139"/>
        <v>25</v>
      </c>
      <c r="AK145" s="45">
        <f t="shared" ca="1" si="140"/>
        <v>171</v>
      </c>
      <c r="AL145" s="45">
        <f t="shared" ca="1" si="141"/>
        <v>639</v>
      </c>
      <c r="AM145" s="45">
        <f t="shared" ca="1" si="142"/>
        <v>49</v>
      </c>
      <c r="AN145" s="45">
        <f t="shared" ca="1" si="143"/>
        <v>4315</v>
      </c>
      <c r="AO145">
        <v>4323</v>
      </c>
      <c r="AP145">
        <v>1460</v>
      </c>
      <c r="AQ145">
        <v>184</v>
      </c>
      <c r="AR145">
        <v>422</v>
      </c>
      <c r="AS145">
        <v>1079</v>
      </c>
      <c r="AT145">
        <v>108</v>
      </c>
      <c r="AU145">
        <v>146</v>
      </c>
      <c r="AV145">
        <v>0.98199999999999998</v>
      </c>
      <c r="AW145" s="1"/>
      <c r="AX145" s="47"/>
      <c r="AY145" s="47"/>
      <c r="AZ145" s="49"/>
      <c r="BA145" s="49"/>
      <c r="BB145" s="48"/>
    </row>
    <row r="146" spans="2:54" x14ac:dyDescent="0.2">
      <c r="B146" s="3">
        <v>2004</v>
      </c>
      <c r="C146" t="s">
        <v>86</v>
      </c>
      <c r="D146" t="s">
        <v>87</v>
      </c>
      <c r="E146">
        <v>4</v>
      </c>
      <c r="F146" t="s">
        <v>38</v>
      </c>
      <c r="G146" t="s">
        <v>38</v>
      </c>
      <c r="H146" t="s">
        <v>38</v>
      </c>
      <c r="I146" t="s">
        <v>38</v>
      </c>
      <c r="J146">
        <v>63</v>
      </c>
      <c r="K146">
        <v>99</v>
      </c>
      <c r="L146">
        <v>698</v>
      </c>
      <c r="M146" s="38">
        <v>5722</v>
      </c>
      <c r="N146" s="38">
        <v>1544</v>
      </c>
      <c r="O146" s="38">
        <f t="shared" si="134"/>
        <v>1112</v>
      </c>
      <c r="P146" s="38">
        <v>276</v>
      </c>
      <c r="Q146" s="38">
        <v>20</v>
      </c>
      <c r="R146" s="38">
        <v>136</v>
      </c>
      <c r="S146" s="38">
        <v>492</v>
      </c>
      <c r="T146" s="38">
        <v>54</v>
      </c>
      <c r="U146" s="38">
        <f t="shared" si="135"/>
        <v>3632</v>
      </c>
      <c r="V146">
        <v>1058</v>
      </c>
      <c r="W146">
        <v>110</v>
      </c>
      <c r="X146">
        <v>42</v>
      </c>
      <c r="Y146">
        <v>48</v>
      </c>
      <c r="Z146">
        <v>823</v>
      </c>
      <c r="AA146">
        <v>772</v>
      </c>
      <c r="AB146">
        <v>4.76</v>
      </c>
      <c r="AC146">
        <v>7</v>
      </c>
      <c r="AD146">
        <v>7</v>
      </c>
      <c r="AE146">
        <v>28</v>
      </c>
      <c r="AF146" s="45">
        <f t="shared" ca="1" si="122"/>
        <v>6277</v>
      </c>
      <c r="AG146" s="45">
        <f t="shared" ca="1" si="136"/>
        <v>1548</v>
      </c>
      <c r="AH146" s="45">
        <f t="shared" ca="1" si="137"/>
        <v>959</v>
      </c>
      <c r="AI146" s="45">
        <f t="shared" ca="1" si="138"/>
        <v>341</v>
      </c>
      <c r="AJ146" s="45">
        <f t="shared" ca="1" si="139"/>
        <v>44</v>
      </c>
      <c r="AK146" s="45">
        <f t="shared" ca="1" si="140"/>
        <v>204</v>
      </c>
      <c r="AL146" s="45">
        <f t="shared" ca="1" si="141"/>
        <v>681</v>
      </c>
      <c r="AM146" s="45">
        <f t="shared" ca="1" si="142"/>
        <v>82</v>
      </c>
      <c r="AN146" s="45">
        <f t="shared" ca="1" si="143"/>
        <v>3966</v>
      </c>
      <c r="AO146">
        <v>4378</v>
      </c>
      <c r="AP146">
        <v>1498</v>
      </c>
      <c r="AQ146">
        <v>212</v>
      </c>
      <c r="AR146">
        <v>575</v>
      </c>
      <c r="AS146">
        <v>1036</v>
      </c>
      <c r="AT146">
        <v>103</v>
      </c>
      <c r="AU146">
        <v>140</v>
      </c>
      <c r="AV146">
        <v>0.98299999999999998</v>
      </c>
      <c r="AW146" s="1">
        <v>2018</v>
      </c>
      <c r="AX146" s="47" t="s">
        <v>148</v>
      </c>
      <c r="AY146" s="47">
        <f t="shared" si="144"/>
        <v>29700</v>
      </c>
      <c r="AZ146" s="49">
        <f t="shared" si="145"/>
        <v>167353</v>
      </c>
      <c r="BA146" s="49">
        <f t="shared" ref="BA146" si="160">SUMIF($B$2:$B$571,$B146,$O$2:$O$571)</f>
        <v>29254</v>
      </c>
      <c r="BB146" s="48">
        <f t="shared" si="147"/>
        <v>0.17480415648360054</v>
      </c>
    </row>
    <row r="147" spans="2:54" x14ac:dyDescent="0.2">
      <c r="B147" s="3">
        <v>2004</v>
      </c>
      <c r="C147" t="s">
        <v>88</v>
      </c>
      <c r="D147" t="s">
        <v>89</v>
      </c>
      <c r="E147">
        <v>2</v>
      </c>
      <c r="F147" t="s">
        <v>38</v>
      </c>
      <c r="G147" t="s">
        <v>38</v>
      </c>
      <c r="H147" t="s">
        <v>38</v>
      </c>
      <c r="I147" t="s">
        <v>38</v>
      </c>
      <c r="J147">
        <v>91</v>
      </c>
      <c r="K147">
        <v>71</v>
      </c>
      <c r="L147">
        <v>850</v>
      </c>
      <c r="M147" s="38">
        <v>5546</v>
      </c>
      <c r="N147" s="38">
        <v>1500</v>
      </c>
      <c r="O147" s="38">
        <f t="shared" si="134"/>
        <v>970</v>
      </c>
      <c r="P147" s="38">
        <v>314</v>
      </c>
      <c r="Q147" s="38">
        <v>33</v>
      </c>
      <c r="R147" s="38">
        <v>183</v>
      </c>
      <c r="S147" s="38">
        <v>705</v>
      </c>
      <c r="T147" s="38">
        <v>72</v>
      </c>
      <c r="U147" s="38">
        <f t="shared" si="135"/>
        <v>3269</v>
      </c>
      <c r="V147">
        <v>874</v>
      </c>
      <c r="W147">
        <v>43</v>
      </c>
      <c r="X147">
        <v>23</v>
      </c>
      <c r="Y147">
        <v>51</v>
      </c>
      <c r="Z147">
        <v>770</v>
      </c>
      <c r="AA147">
        <v>695</v>
      </c>
      <c r="AB147">
        <v>4.29</v>
      </c>
      <c r="AC147">
        <v>8</v>
      </c>
      <c r="AD147">
        <v>8</v>
      </c>
      <c r="AE147">
        <v>46</v>
      </c>
      <c r="AF147" s="45">
        <f t="shared" ca="1" si="122"/>
        <v>6369</v>
      </c>
      <c r="AG147" s="45">
        <f t="shared" ca="1" si="136"/>
        <v>1554</v>
      </c>
      <c r="AH147" s="45">
        <f t="shared" ca="1" si="137"/>
        <v>1065</v>
      </c>
      <c r="AI147" s="45">
        <f t="shared" ca="1" si="138"/>
        <v>280</v>
      </c>
      <c r="AJ147" s="45">
        <f t="shared" ca="1" si="139"/>
        <v>36</v>
      </c>
      <c r="AK147" s="45">
        <f t="shared" ca="1" si="140"/>
        <v>173</v>
      </c>
      <c r="AL147" s="45">
        <f t="shared" ca="1" si="141"/>
        <v>518</v>
      </c>
      <c r="AM147" s="45">
        <f t="shared" ca="1" si="142"/>
        <v>43</v>
      </c>
      <c r="AN147" s="45">
        <f t="shared" ca="1" si="143"/>
        <v>4254</v>
      </c>
      <c r="AO147">
        <v>4371</v>
      </c>
      <c r="AP147">
        <v>1481</v>
      </c>
      <c r="AQ147">
        <v>161</v>
      </c>
      <c r="AR147">
        <v>548</v>
      </c>
      <c r="AS147">
        <v>1020</v>
      </c>
      <c r="AT147">
        <v>101</v>
      </c>
      <c r="AU147">
        <v>153</v>
      </c>
      <c r="AV147">
        <v>0.98399999999999999</v>
      </c>
      <c r="AW147" s="1"/>
      <c r="AX147" s="47" t="s">
        <v>149</v>
      </c>
      <c r="AY147" s="47">
        <f t="shared" si="144"/>
        <v>29700</v>
      </c>
      <c r="AZ147" s="49">
        <f t="shared" si="145"/>
        <v>167353</v>
      </c>
      <c r="BA147" s="49">
        <f t="shared" ref="BA147" si="161">SUMIF($B$2:$B$571,$B147,$P$2:$P$571)</f>
        <v>8919</v>
      </c>
      <c r="BB147" s="48">
        <f t="shared" si="147"/>
        <v>5.3294533112642137E-2</v>
      </c>
    </row>
    <row r="148" spans="2:54" x14ac:dyDescent="0.2">
      <c r="B148" s="3">
        <v>2004</v>
      </c>
      <c r="C148" t="s">
        <v>90</v>
      </c>
      <c r="D148" t="s">
        <v>91</v>
      </c>
      <c r="E148">
        <v>1</v>
      </c>
      <c r="F148" t="s">
        <v>43</v>
      </c>
      <c r="G148" t="s">
        <v>38</v>
      </c>
      <c r="H148" t="s">
        <v>43</v>
      </c>
      <c r="I148" t="s">
        <v>38</v>
      </c>
      <c r="J148">
        <v>105</v>
      </c>
      <c r="K148">
        <v>57</v>
      </c>
      <c r="L148">
        <v>855</v>
      </c>
      <c r="M148" s="38">
        <v>5555</v>
      </c>
      <c r="N148" s="38">
        <v>1544</v>
      </c>
      <c r="O148" s="38">
        <f t="shared" si="134"/>
        <v>987</v>
      </c>
      <c r="P148" s="38">
        <v>319</v>
      </c>
      <c r="Q148" s="38">
        <v>24</v>
      </c>
      <c r="R148" s="38">
        <v>214</v>
      </c>
      <c r="S148" s="38">
        <v>548</v>
      </c>
      <c r="T148" s="38">
        <v>51</v>
      </c>
      <c r="U148" s="38">
        <f t="shared" si="135"/>
        <v>3412</v>
      </c>
      <c r="V148">
        <v>1085</v>
      </c>
      <c r="W148">
        <v>111</v>
      </c>
      <c r="X148">
        <v>47</v>
      </c>
      <c r="Y148">
        <v>70</v>
      </c>
      <c r="Z148">
        <v>659</v>
      </c>
      <c r="AA148">
        <v>605</v>
      </c>
      <c r="AB148">
        <v>3.75</v>
      </c>
      <c r="AC148">
        <v>4</v>
      </c>
      <c r="AD148">
        <v>12</v>
      </c>
      <c r="AE148">
        <v>57</v>
      </c>
      <c r="AF148" s="45">
        <f t="shared" ca="1" si="122"/>
        <v>6468</v>
      </c>
      <c r="AG148" s="45">
        <f t="shared" ca="1" si="136"/>
        <v>1660</v>
      </c>
      <c r="AH148" s="45">
        <f t="shared" ca="1" si="137"/>
        <v>1198</v>
      </c>
      <c r="AI148" s="45">
        <f t="shared" ca="1" si="138"/>
        <v>261</v>
      </c>
      <c r="AJ148" s="45">
        <f t="shared" ca="1" si="139"/>
        <v>42</v>
      </c>
      <c r="AK148" s="45">
        <f t="shared" ca="1" si="140"/>
        <v>159</v>
      </c>
      <c r="AL148" s="45">
        <f t="shared" ca="1" si="141"/>
        <v>543</v>
      </c>
      <c r="AM148" s="45">
        <f t="shared" ca="1" si="142"/>
        <v>84</v>
      </c>
      <c r="AN148" s="45">
        <f t="shared" ca="1" si="143"/>
        <v>4181</v>
      </c>
      <c r="AO148">
        <v>4361</v>
      </c>
      <c r="AP148">
        <v>1378</v>
      </c>
      <c r="AQ148">
        <v>169</v>
      </c>
      <c r="AR148">
        <v>440</v>
      </c>
      <c r="AS148">
        <v>1041</v>
      </c>
      <c r="AT148">
        <v>97</v>
      </c>
      <c r="AU148">
        <v>154</v>
      </c>
      <c r="AV148">
        <v>0.98499999999999999</v>
      </c>
      <c r="AW148" s="1"/>
      <c r="AX148" s="47" t="s">
        <v>150</v>
      </c>
      <c r="AY148" s="47">
        <f t="shared" si="144"/>
        <v>29700</v>
      </c>
      <c r="AZ148" s="49">
        <f t="shared" si="145"/>
        <v>167353</v>
      </c>
      <c r="BA148" s="49">
        <f t="shared" ref="BA148" si="162">SUMIF($B$2:$B$571,$B148,$Q$2:$Q$571)</f>
        <v>898</v>
      </c>
      <c r="BB148" s="48">
        <f t="shared" si="147"/>
        <v>5.3659032105788365E-3</v>
      </c>
    </row>
    <row r="149" spans="2:54" x14ac:dyDescent="0.2">
      <c r="B149" s="3">
        <v>2004</v>
      </c>
      <c r="C149" t="s">
        <v>92</v>
      </c>
      <c r="D149" t="s">
        <v>93</v>
      </c>
      <c r="E149">
        <v>4</v>
      </c>
      <c r="F149" t="s">
        <v>38</v>
      </c>
      <c r="G149" t="s">
        <v>38</v>
      </c>
      <c r="H149" t="s">
        <v>38</v>
      </c>
      <c r="I149" t="s">
        <v>38</v>
      </c>
      <c r="J149">
        <v>70</v>
      </c>
      <c r="K149">
        <v>91</v>
      </c>
      <c r="L149">
        <v>714</v>
      </c>
      <c r="M149" s="38">
        <v>5483</v>
      </c>
      <c r="N149" s="38">
        <v>1416</v>
      </c>
      <c r="O149" s="38">
        <f t="shared" si="134"/>
        <v>947</v>
      </c>
      <c r="P149" s="38">
        <v>278</v>
      </c>
      <c r="Q149" s="38">
        <v>46</v>
      </c>
      <c r="R149" s="38">
        <v>145</v>
      </c>
      <c r="S149" s="38">
        <v>469</v>
      </c>
      <c r="T149" s="38">
        <v>55</v>
      </c>
      <c r="U149" s="38">
        <f t="shared" si="135"/>
        <v>3543</v>
      </c>
      <c r="V149">
        <v>944</v>
      </c>
      <c r="W149">
        <v>132</v>
      </c>
      <c r="X149">
        <v>42</v>
      </c>
      <c r="Y149">
        <v>56</v>
      </c>
      <c r="Z149">
        <v>842</v>
      </c>
      <c r="AA149">
        <v>757</v>
      </c>
      <c r="AB149">
        <v>4.8099999999999996</v>
      </c>
      <c r="AC149">
        <v>3</v>
      </c>
      <c r="AD149">
        <v>5</v>
      </c>
      <c r="AE149">
        <v>35</v>
      </c>
      <c r="AF149" s="45">
        <f t="shared" ca="1" si="122"/>
        <v>6162</v>
      </c>
      <c r="AG149" s="45">
        <f t="shared" ca="1" si="136"/>
        <v>1450</v>
      </c>
      <c r="AH149" s="45">
        <f t="shared" ca="1" si="137"/>
        <v>895</v>
      </c>
      <c r="AI149" s="45">
        <f t="shared" ca="1" si="138"/>
        <v>393</v>
      </c>
      <c r="AJ149" s="45">
        <f t="shared" ca="1" si="139"/>
        <v>24</v>
      </c>
      <c r="AK149" s="45">
        <f t="shared" ca="1" si="140"/>
        <v>138</v>
      </c>
      <c r="AL149" s="45">
        <f t="shared" ca="1" si="141"/>
        <v>622</v>
      </c>
      <c r="AM149" s="45">
        <f t="shared" ca="1" si="142"/>
        <v>73</v>
      </c>
      <c r="AN149" s="45">
        <f t="shared" ca="1" si="143"/>
        <v>4017</v>
      </c>
      <c r="AO149">
        <v>4251</v>
      </c>
      <c r="AP149">
        <v>1459</v>
      </c>
      <c r="AQ149">
        <v>192</v>
      </c>
      <c r="AR149">
        <v>580</v>
      </c>
      <c r="AS149">
        <v>923</v>
      </c>
      <c r="AT149">
        <v>119</v>
      </c>
      <c r="AU149">
        <v>139</v>
      </c>
      <c r="AV149">
        <v>0.98</v>
      </c>
      <c r="AW149" s="1"/>
      <c r="AX149" s="47" t="s">
        <v>151</v>
      </c>
      <c r="AY149" s="47">
        <f t="shared" si="144"/>
        <v>29700</v>
      </c>
      <c r="AZ149" s="49">
        <f t="shared" si="145"/>
        <v>167353</v>
      </c>
      <c r="BA149" s="49">
        <f t="shared" ref="BA149" si="163">SUMIF($B$2:$B$571,$B149,$R$2:$R$571)</f>
        <v>5451</v>
      </c>
      <c r="BB149" s="48">
        <f t="shared" si="147"/>
        <v>3.2571869043279772E-2</v>
      </c>
    </row>
    <row r="150" spans="2:54" x14ac:dyDescent="0.2">
      <c r="B150" s="3">
        <v>2004</v>
      </c>
      <c r="C150" t="s">
        <v>94</v>
      </c>
      <c r="D150" t="s">
        <v>95</v>
      </c>
      <c r="E150">
        <v>3</v>
      </c>
      <c r="F150" t="s">
        <v>38</v>
      </c>
      <c r="G150" t="s">
        <v>38</v>
      </c>
      <c r="H150" t="s">
        <v>38</v>
      </c>
      <c r="I150" t="s">
        <v>38</v>
      </c>
      <c r="J150">
        <v>89</v>
      </c>
      <c r="K150">
        <v>73</v>
      </c>
      <c r="L150">
        <v>860</v>
      </c>
      <c r="M150" s="38">
        <v>5615</v>
      </c>
      <c r="N150" s="38">
        <v>1492</v>
      </c>
      <c r="O150" s="38">
        <f t="shared" si="134"/>
        <v>908</v>
      </c>
      <c r="P150" s="38">
        <v>323</v>
      </c>
      <c r="Q150" s="38">
        <v>34</v>
      </c>
      <c r="R150" s="38">
        <v>227</v>
      </c>
      <c r="S150" s="38">
        <v>500</v>
      </c>
      <c r="T150" s="38">
        <v>61</v>
      </c>
      <c r="U150" s="38">
        <f t="shared" si="135"/>
        <v>3562</v>
      </c>
      <c r="V150">
        <v>1099</v>
      </c>
      <c r="W150">
        <v>69</v>
      </c>
      <c r="X150">
        <v>36</v>
      </c>
      <c r="Y150">
        <v>57</v>
      </c>
      <c r="Z150">
        <v>794</v>
      </c>
      <c r="AA150">
        <v>724</v>
      </c>
      <c r="AB150">
        <v>4.53</v>
      </c>
      <c r="AC150">
        <v>5</v>
      </c>
      <c r="AD150">
        <v>9</v>
      </c>
      <c r="AE150">
        <v>52</v>
      </c>
      <c r="AF150" s="45">
        <f t="shared" ca="1" si="122"/>
        <v>6356</v>
      </c>
      <c r="AG150" s="45">
        <f t="shared" ca="1" si="136"/>
        <v>1396</v>
      </c>
      <c r="AH150" s="45">
        <f t="shared" ca="1" si="137"/>
        <v>809</v>
      </c>
      <c r="AI150" s="45">
        <f t="shared" ca="1" si="138"/>
        <v>393</v>
      </c>
      <c r="AJ150" s="45">
        <f t="shared" ca="1" si="139"/>
        <v>26</v>
      </c>
      <c r="AK150" s="45">
        <f t="shared" ca="1" si="140"/>
        <v>168</v>
      </c>
      <c r="AL150" s="45">
        <f t="shared" ca="1" si="141"/>
        <v>653</v>
      </c>
      <c r="AM150" s="45">
        <f t="shared" ca="1" si="142"/>
        <v>56</v>
      </c>
      <c r="AN150" s="45">
        <f t="shared" ca="1" si="143"/>
        <v>4251</v>
      </c>
      <c r="AO150">
        <v>4319</v>
      </c>
      <c r="AP150">
        <v>1536</v>
      </c>
      <c r="AQ150">
        <v>182</v>
      </c>
      <c r="AR150">
        <v>547</v>
      </c>
      <c r="AS150">
        <v>979</v>
      </c>
      <c r="AT150">
        <v>117</v>
      </c>
      <c r="AU150">
        <v>152</v>
      </c>
      <c r="AV150">
        <v>0.98099999999999998</v>
      </c>
      <c r="AW150" s="1"/>
      <c r="AX150" s="47" t="s">
        <v>152</v>
      </c>
      <c r="AY150" s="47">
        <f t="shared" si="144"/>
        <v>29700</v>
      </c>
      <c r="AZ150" s="49">
        <f t="shared" si="145"/>
        <v>167353</v>
      </c>
      <c r="BA150" s="49">
        <f t="shared" ref="BA150" si="164">SUMIF($B$2:$B$571,$B150,$S$2:$S$571)</f>
        <v>16222</v>
      </c>
      <c r="BB150" s="48">
        <f t="shared" si="147"/>
        <v>9.693283060357448E-2</v>
      </c>
    </row>
    <row r="151" spans="2:54" x14ac:dyDescent="0.2">
      <c r="B151" s="3">
        <v>2004</v>
      </c>
      <c r="C151" t="s">
        <v>96</v>
      </c>
      <c r="D151" t="s">
        <v>97</v>
      </c>
      <c r="E151">
        <v>5</v>
      </c>
      <c r="F151" t="s">
        <v>38</v>
      </c>
      <c r="G151" t="s">
        <v>38</v>
      </c>
      <c r="H151" t="s">
        <v>38</v>
      </c>
      <c r="I151" t="s">
        <v>38</v>
      </c>
      <c r="J151">
        <v>67</v>
      </c>
      <c r="K151">
        <v>94</v>
      </c>
      <c r="L151">
        <v>719</v>
      </c>
      <c r="M151" s="38">
        <v>5531</v>
      </c>
      <c r="N151" s="38">
        <v>1438</v>
      </c>
      <c r="O151" s="38">
        <f t="shared" si="134"/>
        <v>969</v>
      </c>
      <c r="P151" s="38">
        <v>290</v>
      </c>
      <c r="Q151" s="38">
        <v>34</v>
      </c>
      <c r="R151" s="38">
        <v>145</v>
      </c>
      <c r="S151" s="38">
        <v>513</v>
      </c>
      <c r="T151" s="38">
        <v>71</v>
      </c>
      <c r="U151" s="38">
        <f t="shared" si="135"/>
        <v>3509</v>
      </c>
      <c r="V151">
        <v>1083</v>
      </c>
      <c r="W151">
        <v>58</v>
      </c>
      <c r="X151">
        <v>31</v>
      </c>
      <c r="Y151">
        <v>42</v>
      </c>
      <c r="Z151">
        <v>823</v>
      </c>
      <c r="AA151">
        <v>775</v>
      </c>
      <c r="AB151">
        <v>4.91</v>
      </c>
      <c r="AC151">
        <v>6</v>
      </c>
      <c r="AD151">
        <v>11</v>
      </c>
      <c r="AE151">
        <v>37</v>
      </c>
      <c r="AF151" s="45">
        <f t="shared" ca="1" si="122"/>
        <v>6229</v>
      </c>
      <c r="AG151" s="45">
        <f t="shared" ca="1" si="136"/>
        <v>1443</v>
      </c>
      <c r="AH151" s="45">
        <f t="shared" ca="1" si="137"/>
        <v>929</v>
      </c>
      <c r="AI151" s="45">
        <f t="shared" ca="1" si="138"/>
        <v>272</v>
      </c>
      <c r="AJ151" s="45">
        <f t="shared" ca="1" si="139"/>
        <v>32</v>
      </c>
      <c r="AK151" s="45">
        <f t="shared" ca="1" si="140"/>
        <v>210</v>
      </c>
      <c r="AL151" s="45">
        <f t="shared" ca="1" si="141"/>
        <v>570</v>
      </c>
      <c r="AM151" s="45">
        <f t="shared" ca="1" si="142"/>
        <v>39</v>
      </c>
      <c r="AN151" s="45">
        <f t="shared" ca="1" si="143"/>
        <v>4177</v>
      </c>
      <c r="AO151">
        <v>4263</v>
      </c>
      <c r="AP151">
        <v>1505</v>
      </c>
      <c r="AQ151">
        <v>181</v>
      </c>
      <c r="AR151">
        <v>608</v>
      </c>
      <c r="AS151">
        <v>956</v>
      </c>
      <c r="AT151">
        <v>91</v>
      </c>
      <c r="AU151">
        <v>150</v>
      </c>
      <c r="AV151">
        <v>0.98499999999999999</v>
      </c>
      <c r="AW151" s="1"/>
      <c r="AX151" s="47" t="s">
        <v>153</v>
      </c>
      <c r="AY151" s="47">
        <f t="shared" si="144"/>
        <v>29700</v>
      </c>
      <c r="AZ151" s="49">
        <f t="shared" si="145"/>
        <v>167353</v>
      </c>
      <c r="BA151" s="49">
        <f t="shared" ref="BA151" si="165">SUMIF($B$2:$B$571,$B151,$T$2:$T$571)</f>
        <v>1850</v>
      </c>
      <c r="BB151" s="48">
        <f t="shared" si="147"/>
        <v>1.1054477660992035E-2</v>
      </c>
    </row>
    <row r="152" spans="2:54" x14ac:dyDescent="0.2">
      <c r="B152" s="3">
        <v>2005</v>
      </c>
      <c r="C152" t="s">
        <v>39</v>
      </c>
      <c r="D152" t="s">
        <v>40</v>
      </c>
      <c r="E152">
        <v>2</v>
      </c>
      <c r="F152" t="s">
        <v>38</v>
      </c>
      <c r="G152" t="s">
        <v>38</v>
      </c>
      <c r="H152" t="s">
        <v>38</v>
      </c>
      <c r="I152" t="s">
        <v>38</v>
      </c>
      <c r="J152">
        <v>77</v>
      </c>
      <c r="K152">
        <v>85</v>
      </c>
      <c r="L152">
        <v>696</v>
      </c>
      <c r="M152" s="38">
        <v>5550</v>
      </c>
      <c r="N152" s="38">
        <v>1419</v>
      </c>
      <c r="O152" s="38">
        <f t="shared" si="134"/>
        <v>910</v>
      </c>
      <c r="P152" s="38">
        <v>291</v>
      </c>
      <c r="Q152" s="38">
        <v>27</v>
      </c>
      <c r="R152" s="38">
        <v>191</v>
      </c>
      <c r="S152" s="38">
        <v>606</v>
      </c>
      <c r="T152" s="38">
        <v>55</v>
      </c>
      <c r="U152" s="38">
        <f t="shared" si="135"/>
        <v>3470</v>
      </c>
      <c r="V152">
        <v>1094</v>
      </c>
      <c r="W152">
        <v>67</v>
      </c>
      <c r="X152">
        <v>26</v>
      </c>
      <c r="Y152">
        <v>45</v>
      </c>
      <c r="Z152">
        <v>856</v>
      </c>
      <c r="AA152">
        <v>783</v>
      </c>
      <c r="AB152">
        <v>4.84</v>
      </c>
      <c r="AC152">
        <v>6</v>
      </c>
      <c r="AD152">
        <v>10</v>
      </c>
      <c r="AE152">
        <v>45</v>
      </c>
      <c r="AF152" s="45">
        <f t="shared" ca="1" si="122"/>
        <v>6306</v>
      </c>
      <c r="AG152" s="45">
        <f t="shared" ca="1" si="136"/>
        <v>1612</v>
      </c>
      <c r="AH152" s="45">
        <f t="shared" ca="1" si="137"/>
        <v>1000</v>
      </c>
      <c r="AI152" s="45">
        <f t="shared" ca="1" si="138"/>
        <v>388</v>
      </c>
      <c r="AJ152" s="45">
        <f t="shared" ca="1" si="139"/>
        <v>22</v>
      </c>
      <c r="AK152" s="45">
        <f t="shared" ca="1" si="140"/>
        <v>202</v>
      </c>
      <c r="AL152" s="45">
        <f t="shared" ca="1" si="141"/>
        <v>542</v>
      </c>
      <c r="AM152" s="45">
        <f t="shared" ca="1" si="142"/>
        <v>83</v>
      </c>
      <c r="AN152" s="45">
        <f t="shared" ca="1" si="143"/>
        <v>4069</v>
      </c>
      <c r="AO152">
        <v>4369</v>
      </c>
      <c r="AP152">
        <v>1580</v>
      </c>
      <c r="AQ152">
        <v>193</v>
      </c>
      <c r="AR152">
        <v>537</v>
      </c>
      <c r="AS152">
        <v>1038</v>
      </c>
      <c r="AT152">
        <v>94</v>
      </c>
      <c r="AU152">
        <v>159</v>
      </c>
      <c r="AV152">
        <v>0.98499999999999999</v>
      </c>
      <c r="AW152" s="1"/>
      <c r="AX152" s="47" t="s">
        <v>154</v>
      </c>
      <c r="AY152" s="47">
        <f t="shared" si="144"/>
        <v>29700</v>
      </c>
      <c r="AZ152" s="49">
        <f t="shared" si="145"/>
        <v>166335</v>
      </c>
      <c r="BA152" s="49">
        <f t="shared" ref="BA152" si="166">SUMIF($B$2:$B$571,$B152,$U$2:$U$571)</f>
        <v>105340</v>
      </c>
      <c r="BB152" s="48">
        <f t="shared" si="147"/>
        <v>0.63330026753238944</v>
      </c>
    </row>
    <row r="153" spans="2:54" x14ac:dyDescent="0.2">
      <c r="B153" s="3">
        <v>2005</v>
      </c>
      <c r="C153" t="s">
        <v>41</v>
      </c>
      <c r="D153" t="s">
        <v>42</v>
      </c>
      <c r="E153">
        <v>1</v>
      </c>
      <c r="F153" t="s">
        <v>43</v>
      </c>
      <c r="G153" t="s">
        <v>38</v>
      </c>
      <c r="H153" t="s">
        <v>38</v>
      </c>
      <c r="I153" t="s">
        <v>38</v>
      </c>
      <c r="J153">
        <v>90</v>
      </c>
      <c r="K153">
        <v>72</v>
      </c>
      <c r="L153">
        <v>769</v>
      </c>
      <c r="M153" s="38">
        <v>5486</v>
      </c>
      <c r="N153" s="38">
        <v>1453</v>
      </c>
      <c r="O153" s="38">
        <f t="shared" si="134"/>
        <v>924</v>
      </c>
      <c r="P153" s="38">
        <v>308</v>
      </c>
      <c r="Q153" s="38">
        <v>37</v>
      </c>
      <c r="R153" s="38">
        <v>184</v>
      </c>
      <c r="S153" s="38">
        <v>534</v>
      </c>
      <c r="T153" s="38">
        <v>45</v>
      </c>
      <c r="U153" s="38">
        <f t="shared" si="135"/>
        <v>3454</v>
      </c>
      <c r="V153">
        <v>1084</v>
      </c>
      <c r="W153">
        <v>92</v>
      </c>
      <c r="X153">
        <v>32</v>
      </c>
      <c r="Y153">
        <v>46</v>
      </c>
      <c r="Z153">
        <v>674</v>
      </c>
      <c r="AA153">
        <v>639</v>
      </c>
      <c r="AB153">
        <v>3.98</v>
      </c>
      <c r="AC153">
        <v>8</v>
      </c>
      <c r="AD153">
        <v>12</v>
      </c>
      <c r="AE153">
        <v>38</v>
      </c>
      <c r="AF153" s="45">
        <f t="shared" ca="1" si="122"/>
        <v>6304</v>
      </c>
      <c r="AG153" s="45">
        <f t="shared" ca="1" si="136"/>
        <v>1350</v>
      </c>
      <c r="AH153" s="45">
        <f t="shared" ca="1" si="137"/>
        <v>784</v>
      </c>
      <c r="AI153" s="45">
        <f t="shared" ca="1" si="138"/>
        <v>307</v>
      </c>
      <c r="AJ153" s="45">
        <f t="shared" ca="1" si="139"/>
        <v>48</v>
      </c>
      <c r="AK153" s="45">
        <f t="shared" ca="1" si="140"/>
        <v>211</v>
      </c>
      <c r="AL153" s="45">
        <f t="shared" ca="1" si="141"/>
        <v>424</v>
      </c>
      <c r="AM153" s="45">
        <f t="shared" ca="1" si="142"/>
        <v>72</v>
      </c>
      <c r="AN153" s="45">
        <f t="shared" ca="1" si="143"/>
        <v>4458</v>
      </c>
      <c r="AO153">
        <v>4331</v>
      </c>
      <c r="AP153">
        <v>1487</v>
      </c>
      <c r="AQ153">
        <v>145</v>
      </c>
      <c r="AR153">
        <v>520</v>
      </c>
      <c r="AS153">
        <v>929</v>
      </c>
      <c r="AT153">
        <v>86</v>
      </c>
      <c r="AU153">
        <v>170</v>
      </c>
      <c r="AV153">
        <v>0.98599999999999999</v>
      </c>
      <c r="AW153" s="1"/>
      <c r="AX153" s="47"/>
      <c r="AY153" s="47"/>
      <c r="AZ153" s="49"/>
      <c r="BA153" s="49"/>
      <c r="BB153" s="48"/>
    </row>
    <row r="154" spans="2:54" x14ac:dyDescent="0.2">
      <c r="B154" s="3">
        <v>2005</v>
      </c>
      <c r="C154" t="s">
        <v>44</v>
      </c>
      <c r="D154" t="s">
        <v>45</v>
      </c>
      <c r="E154">
        <v>4</v>
      </c>
      <c r="F154" t="s">
        <v>38</v>
      </c>
      <c r="G154" t="s">
        <v>38</v>
      </c>
      <c r="H154" t="s">
        <v>38</v>
      </c>
      <c r="I154" t="s">
        <v>38</v>
      </c>
      <c r="J154">
        <v>74</v>
      </c>
      <c r="K154">
        <v>88</v>
      </c>
      <c r="L154">
        <v>729</v>
      </c>
      <c r="M154" s="38">
        <v>5551</v>
      </c>
      <c r="N154" s="38">
        <v>1492</v>
      </c>
      <c r="O154" s="38">
        <f t="shared" si="134"/>
        <v>980</v>
      </c>
      <c r="P154" s="38">
        <v>296</v>
      </c>
      <c r="Q154" s="38">
        <v>27</v>
      </c>
      <c r="R154" s="38">
        <v>189</v>
      </c>
      <c r="S154" s="38">
        <v>447</v>
      </c>
      <c r="T154" s="38">
        <v>54</v>
      </c>
      <c r="U154" s="38">
        <f t="shared" si="135"/>
        <v>3558</v>
      </c>
      <c r="V154">
        <v>902</v>
      </c>
      <c r="W154">
        <v>83</v>
      </c>
      <c r="X154">
        <v>37</v>
      </c>
      <c r="Y154">
        <v>42</v>
      </c>
      <c r="Z154">
        <v>800</v>
      </c>
      <c r="AA154">
        <v>724</v>
      </c>
      <c r="AB154">
        <v>4.5599999999999996</v>
      </c>
      <c r="AC154">
        <v>2</v>
      </c>
      <c r="AD154">
        <v>9</v>
      </c>
      <c r="AE154">
        <v>38</v>
      </c>
      <c r="AF154" s="45">
        <f t="shared" ca="1" si="122"/>
        <v>6330</v>
      </c>
      <c r="AG154" s="45">
        <f t="shared" ca="1" si="136"/>
        <v>1632</v>
      </c>
      <c r="AH154" s="45">
        <f t="shared" ca="1" si="137"/>
        <v>1111</v>
      </c>
      <c r="AI154" s="45">
        <f t="shared" ca="1" si="138"/>
        <v>329</v>
      </c>
      <c r="AJ154" s="45">
        <f t="shared" ca="1" si="139"/>
        <v>27</v>
      </c>
      <c r="AK154" s="45">
        <f t="shared" ca="1" si="140"/>
        <v>165</v>
      </c>
      <c r="AL154" s="45">
        <f t="shared" ca="1" si="141"/>
        <v>430</v>
      </c>
      <c r="AM154" s="45">
        <f t="shared" ca="1" si="142"/>
        <v>80</v>
      </c>
      <c r="AN154" s="45">
        <f t="shared" ca="1" si="143"/>
        <v>4188</v>
      </c>
      <c r="AO154">
        <v>4283</v>
      </c>
      <c r="AP154">
        <v>1458</v>
      </c>
      <c r="AQ154">
        <v>180</v>
      </c>
      <c r="AR154">
        <v>580</v>
      </c>
      <c r="AS154">
        <v>1052</v>
      </c>
      <c r="AT154">
        <v>107</v>
      </c>
      <c r="AU154">
        <v>154</v>
      </c>
      <c r="AV154">
        <v>0.98199999999999998</v>
      </c>
      <c r="AW154" s="1"/>
      <c r="AX154" s="1"/>
      <c r="AY154" s="47">
        <f t="shared" si="144"/>
        <v>29700</v>
      </c>
      <c r="AZ154" s="49">
        <f t="shared" si="145"/>
        <v>166335</v>
      </c>
      <c r="BA154" s="49">
        <f t="shared" ref="BA154" si="167">SUMIF($B$2:$B$571,$B154,$O$2:$O$571)</f>
        <v>29223</v>
      </c>
      <c r="BB154" s="48">
        <f t="shared" si="147"/>
        <v>0.17568761836053748</v>
      </c>
    </row>
    <row r="155" spans="2:54" x14ac:dyDescent="0.2">
      <c r="B155" s="3">
        <v>2005</v>
      </c>
      <c r="C155" t="s">
        <v>46</v>
      </c>
      <c r="D155" t="s">
        <v>47</v>
      </c>
      <c r="E155">
        <v>2</v>
      </c>
      <c r="F155" t="s">
        <v>38</v>
      </c>
      <c r="G155" t="s">
        <v>43</v>
      </c>
      <c r="H155" t="s">
        <v>38</v>
      </c>
      <c r="I155" t="s">
        <v>38</v>
      </c>
      <c r="J155">
        <v>95</v>
      </c>
      <c r="K155">
        <v>67</v>
      </c>
      <c r="L155">
        <v>910</v>
      </c>
      <c r="M155" s="38">
        <v>5626</v>
      </c>
      <c r="N155" s="38">
        <v>1579</v>
      </c>
      <c r="O155" s="38">
        <f t="shared" si="134"/>
        <v>1020</v>
      </c>
      <c r="P155" s="38">
        <v>339</v>
      </c>
      <c r="Q155" s="38">
        <v>21</v>
      </c>
      <c r="R155" s="38">
        <v>199</v>
      </c>
      <c r="S155" s="38">
        <v>653</v>
      </c>
      <c r="T155" s="38">
        <v>47</v>
      </c>
      <c r="U155" s="38">
        <f t="shared" si="135"/>
        <v>3347</v>
      </c>
      <c r="V155">
        <v>1044</v>
      </c>
      <c r="W155">
        <v>45</v>
      </c>
      <c r="X155">
        <v>12</v>
      </c>
      <c r="Y155">
        <v>63</v>
      </c>
      <c r="Z155">
        <v>805</v>
      </c>
      <c r="AA155">
        <v>752</v>
      </c>
      <c r="AB155">
        <v>4.74</v>
      </c>
      <c r="AC155">
        <v>6</v>
      </c>
      <c r="AD155">
        <v>8</v>
      </c>
      <c r="AE155">
        <v>38</v>
      </c>
      <c r="AF155" s="45">
        <f t="shared" ca="1" si="122"/>
        <v>6183</v>
      </c>
      <c r="AG155" s="45">
        <f t="shared" ca="1" si="136"/>
        <v>1305</v>
      </c>
      <c r="AH155" s="45">
        <f t="shared" ca="1" si="137"/>
        <v>815</v>
      </c>
      <c r="AI155" s="45">
        <f t="shared" ca="1" si="138"/>
        <v>289</v>
      </c>
      <c r="AJ155" s="45">
        <f t="shared" ca="1" si="139"/>
        <v>46</v>
      </c>
      <c r="AK155" s="45">
        <f t="shared" ca="1" si="140"/>
        <v>155</v>
      </c>
      <c r="AL155" s="45">
        <f t="shared" ca="1" si="141"/>
        <v>428</v>
      </c>
      <c r="AM155" s="45">
        <f t="shared" ca="1" si="142"/>
        <v>64</v>
      </c>
      <c r="AN155" s="45">
        <f t="shared" ca="1" si="143"/>
        <v>4386</v>
      </c>
      <c r="AO155">
        <v>4287</v>
      </c>
      <c r="AP155">
        <v>1550</v>
      </c>
      <c r="AQ155">
        <v>164</v>
      </c>
      <c r="AR155">
        <v>440</v>
      </c>
      <c r="AS155">
        <v>959</v>
      </c>
      <c r="AT155">
        <v>109</v>
      </c>
      <c r="AU155">
        <v>135</v>
      </c>
      <c r="AV155">
        <v>0.98199999999999998</v>
      </c>
      <c r="AW155" s="1"/>
      <c r="AX155" s="1"/>
      <c r="AY155" s="47">
        <f t="shared" si="144"/>
        <v>29700</v>
      </c>
      <c r="AZ155" s="49">
        <f t="shared" si="145"/>
        <v>166335</v>
      </c>
      <c r="BA155" s="49">
        <f t="shared" ref="BA155" si="168">SUMIF($B$2:$B$571,$B155,$P$2:$P$571)</f>
        <v>8863</v>
      </c>
      <c r="BB155" s="48">
        <f t="shared" si="147"/>
        <v>5.3284035230107912E-2</v>
      </c>
    </row>
    <row r="156" spans="2:54" x14ac:dyDescent="0.2">
      <c r="B156" s="3">
        <v>2005</v>
      </c>
      <c r="C156" t="s">
        <v>48</v>
      </c>
      <c r="D156" t="s">
        <v>49</v>
      </c>
      <c r="E156">
        <v>1</v>
      </c>
      <c r="F156" t="s">
        <v>43</v>
      </c>
      <c r="G156" t="s">
        <v>38</v>
      </c>
      <c r="H156" t="s">
        <v>43</v>
      </c>
      <c r="I156" t="s">
        <v>43</v>
      </c>
      <c r="J156">
        <v>99</v>
      </c>
      <c r="K156">
        <v>63</v>
      </c>
      <c r="L156">
        <v>741</v>
      </c>
      <c r="M156" s="38">
        <v>5529</v>
      </c>
      <c r="N156" s="38">
        <v>1450</v>
      </c>
      <c r="O156" s="38">
        <f t="shared" si="134"/>
        <v>974</v>
      </c>
      <c r="P156" s="38">
        <v>253</v>
      </c>
      <c r="Q156" s="38">
        <v>23</v>
      </c>
      <c r="R156" s="38">
        <v>200</v>
      </c>
      <c r="S156" s="38">
        <v>435</v>
      </c>
      <c r="T156" s="38">
        <v>79</v>
      </c>
      <c r="U156" s="38">
        <f t="shared" si="135"/>
        <v>3565</v>
      </c>
      <c r="V156">
        <v>1002</v>
      </c>
      <c r="W156">
        <v>137</v>
      </c>
      <c r="X156">
        <v>67</v>
      </c>
      <c r="Y156">
        <v>49</v>
      </c>
      <c r="Z156">
        <v>645</v>
      </c>
      <c r="AA156">
        <v>592</v>
      </c>
      <c r="AB156">
        <v>3.61</v>
      </c>
      <c r="AC156">
        <v>9</v>
      </c>
      <c r="AD156">
        <v>10</v>
      </c>
      <c r="AE156">
        <v>54</v>
      </c>
      <c r="AF156" s="45">
        <f t="shared" ca="1" si="122"/>
        <v>6310</v>
      </c>
      <c r="AG156" s="45">
        <f t="shared" ca="1" si="136"/>
        <v>1310</v>
      </c>
      <c r="AH156" s="45">
        <f t="shared" ca="1" si="137"/>
        <v>843</v>
      </c>
      <c r="AI156" s="45">
        <f t="shared" ca="1" si="138"/>
        <v>277</v>
      </c>
      <c r="AJ156" s="45">
        <f t="shared" ca="1" si="139"/>
        <v>30</v>
      </c>
      <c r="AK156" s="45">
        <f t="shared" ca="1" si="140"/>
        <v>160</v>
      </c>
      <c r="AL156" s="45">
        <f t="shared" ca="1" si="141"/>
        <v>583</v>
      </c>
      <c r="AM156" s="45">
        <f t="shared" ca="1" si="142"/>
        <v>35</v>
      </c>
      <c r="AN156" s="45">
        <f t="shared" ca="1" si="143"/>
        <v>4382</v>
      </c>
      <c r="AO156">
        <v>4427</v>
      </c>
      <c r="AP156">
        <v>1392</v>
      </c>
      <c r="AQ156">
        <v>167</v>
      </c>
      <c r="AR156">
        <v>459</v>
      </c>
      <c r="AS156">
        <v>1040</v>
      </c>
      <c r="AT156">
        <v>94</v>
      </c>
      <c r="AU156">
        <v>166</v>
      </c>
      <c r="AV156">
        <v>0.98499999999999999</v>
      </c>
      <c r="AW156" s="1"/>
      <c r="AX156" s="1"/>
      <c r="AY156" s="47">
        <f t="shared" si="144"/>
        <v>29700</v>
      </c>
      <c r="AZ156" s="49">
        <f t="shared" si="145"/>
        <v>166335</v>
      </c>
      <c r="BA156" s="49">
        <f t="shared" ref="BA156" si="169">SUMIF($B$2:$B$571,$B156,$Q$2:$Q$571)</f>
        <v>888</v>
      </c>
      <c r="BB156" s="48">
        <f t="shared" si="147"/>
        <v>5.3386238614843541E-3</v>
      </c>
    </row>
    <row r="157" spans="2:54" x14ac:dyDescent="0.2">
      <c r="B157" s="3">
        <v>2005</v>
      </c>
      <c r="C157" t="s">
        <v>50</v>
      </c>
      <c r="D157" t="s">
        <v>51</v>
      </c>
      <c r="E157">
        <v>4</v>
      </c>
      <c r="F157" t="s">
        <v>38</v>
      </c>
      <c r="G157" t="s">
        <v>38</v>
      </c>
      <c r="H157" t="s">
        <v>38</v>
      </c>
      <c r="I157" t="s">
        <v>38</v>
      </c>
      <c r="J157">
        <v>79</v>
      </c>
      <c r="K157">
        <v>83</v>
      </c>
      <c r="L157">
        <v>703</v>
      </c>
      <c r="M157" s="38">
        <v>5584</v>
      </c>
      <c r="N157" s="38">
        <v>1506</v>
      </c>
      <c r="O157" s="38">
        <f t="shared" si="134"/>
        <v>966</v>
      </c>
      <c r="P157" s="38">
        <v>323</v>
      </c>
      <c r="Q157" s="38">
        <v>23</v>
      </c>
      <c r="R157" s="38">
        <v>194</v>
      </c>
      <c r="S157" s="38">
        <v>419</v>
      </c>
      <c r="T157" s="38">
        <v>50</v>
      </c>
      <c r="U157" s="38">
        <f t="shared" si="135"/>
        <v>3609</v>
      </c>
      <c r="V157">
        <v>920</v>
      </c>
      <c r="W157">
        <v>65</v>
      </c>
      <c r="X157">
        <v>39</v>
      </c>
      <c r="Y157">
        <v>37</v>
      </c>
      <c r="Z157">
        <v>714</v>
      </c>
      <c r="AA157">
        <v>671</v>
      </c>
      <c r="AB157">
        <v>4.1900000000000004</v>
      </c>
      <c r="AC157">
        <v>8</v>
      </c>
      <c r="AD157">
        <v>10</v>
      </c>
      <c r="AE157">
        <v>39</v>
      </c>
      <c r="AF157" s="45">
        <f t="shared" ca="1" si="122"/>
        <v>6480</v>
      </c>
      <c r="AG157" s="45">
        <f t="shared" ca="1" si="136"/>
        <v>1596</v>
      </c>
      <c r="AH157" s="45">
        <f t="shared" ca="1" si="137"/>
        <v>1151</v>
      </c>
      <c r="AI157" s="45">
        <f t="shared" ca="1" si="138"/>
        <v>267</v>
      </c>
      <c r="AJ157" s="45">
        <f t="shared" ca="1" si="139"/>
        <v>42</v>
      </c>
      <c r="AK157" s="45">
        <f t="shared" ca="1" si="140"/>
        <v>136</v>
      </c>
      <c r="AL157" s="45">
        <f t="shared" ca="1" si="141"/>
        <v>666</v>
      </c>
      <c r="AM157" s="45">
        <f t="shared" ca="1" si="142"/>
        <v>90</v>
      </c>
      <c r="AN157" s="45">
        <f t="shared" ca="1" si="143"/>
        <v>4128</v>
      </c>
      <c r="AO157">
        <v>4320</v>
      </c>
      <c r="AP157">
        <v>1357</v>
      </c>
      <c r="AQ157">
        <v>186</v>
      </c>
      <c r="AR157">
        <v>576</v>
      </c>
      <c r="AS157">
        <v>1256</v>
      </c>
      <c r="AT157">
        <v>101</v>
      </c>
      <c r="AU157">
        <v>136</v>
      </c>
      <c r="AV157">
        <v>0.98299999999999998</v>
      </c>
      <c r="AW157" s="1"/>
      <c r="AX157" s="1"/>
      <c r="AY157" s="47">
        <f t="shared" si="144"/>
        <v>29700</v>
      </c>
      <c r="AZ157" s="49">
        <f t="shared" si="145"/>
        <v>166335</v>
      </c>
      <c r="BA157" s="49">
        <f t="shared" ref="BA157" si="170">SUMIF($B$2:$B$571,$B157,$R$2:$R$571)</f>
        <v>5017</v>
      </c>
      <c r="BB157" s="48">
        <f t="shared" si="147"/>
        <v>3.0162022424625005E-2</v>
      </c>
    </row>
    <row r="158" spans="2:54" x14ac:dyDescent="0.2">
      <c r="B158" s="3">
        <v>2005</v>
      </c>
      <c r="C158" t="s">
        <v>52</v>
      </c>
      <c r="D158" t="s">
        <v>53</v>
      </c>
      <c r="E158">
        <v>5</v>
      </c>
      <c r="F158" t="s">
        <v>38</v>
      </c>
      <c r="G158" t="s">
        <v>38</v>
      </c>
      <c r="H158" t="s">
        <v>38</v>
      </c>
      <c r="I158" t="s">
        <v>38</v>
      </c>
      <c r="J158">
        <v>73</v>
      </c>
      <c r="K158">
        <v>89</v>
      </c>
      <c r="L158">
        <v>820</v>
      </c>
      <c r="M158" s="38">
        <v>5565</v>
      </c>
      <c r="N158" s="38">
        <v>1453</v>
      </c>
      <c r="O158" s="38">
        <f t="shared" si="134"/>
        <v>881</v>
      </c>
      <c r="P158" s="38">
        <v>335</v>
      </c>
      <c r="Q158" s="38">
        <v>15</v>
      </c>
      <c r="R158" s="38">
        <v>222</v>
      </c>
      <c r="S158" s="38">
        <v>611</v>
      </c>
      <c r="T158" s="38">
        <v>62</v>
      </c>
      <c r="U158" s="38">
        <f t="shared" si="135"/>
        <v>3439</v>
      </c>
      <c r="V158">
        <v>1303</v>
      </c>
      <c r="W158">
        <v>72</v>
      </c>
      <c r="X158">
        <v>23</v>
      </c>
      <c r="Y158">
        <v>39</v>
      </c>
      <c r="Z158">
        <v>889</v>
      </c>
      <c r="AA158">
        <v>820</v>
      </c>
      <c r="AB158">
        <v>5.15</v>
      </c>
      <c r="AC158">
        <v>2</v>
      </c>
      <c r="AD158">
        <v>1</v>
      </c>
      <c r="AE158">
        <v>31</v>
      </c>
      <c r="AF158" s="45">
        <f t="shared" ca="1" si="122"/>
        <v>6158</v>
      </c>
      <c r="AG158" s="45">
        <f t="shared" ca="1" si="136"/>
        <v>1604</v>
      </c>
      <c r="AH158" s="45">
        <f t="shared" ca="1" si="137"/>
        <v>1140</v>
      </c>
      <c r="AI158" s="45">
        <f t="shared" ca="1" si="138"/>
        <v>301</v>
      </c>
      <c r="AJ158" s="45">
        <f t="shared" ca="1" si="139"/>
        <v>24</v>
      </c>
      <c r="AK158" s="45">
        <f t="shared" ca="1" si="140"/>
        <v>139</v>
      </c>
      <c r="AL158" s="45">
        <f t="shared" ca="1" si="141"/>
        <v>677</v>
      </c>
      <c r="AM158" s="45">
        <f t="shared" ca="1" si="142"/>
        <v>58</v>
      </c>
      <c r="AN158" s="45">
        <f t="shared" ca="1" si="143"/>
        <v>3819</v>
      </c>
      <c r="AO158">
        <v>4299</v>
      </c>
      <c r="AP158">
        <v>1657</v>
      </c>
      <c r="AQ158">
        <v>219</v>
      </c>
      <c r="AR158">
        <v>492</v>
      </c>
      <c r="AS158">
        <v>955</v>
      </c>
      <c r="AT158">
        <v>104</v>
      </c>
      <c r="AU158">
        <v>133</v>
      </c>
      <c r="AV158">
        <v>0.98299999999999998</v>
      </c>
      <c r="AW158" s="1"/>
      <c r="AX158" s="1"/>
      <c r="AY158" s="47">
        <f t="shared" si="144"/>
        <v>29700</v>
      </c>
      <c r="AZ158" s="49">
        <f t="shared" si="145"/>
        <v>166335</v>
      </c>
      <c r="BA158" s="49">
        <f t="shared" ref="BA158" si="171">SUMIF($B$2:$B$571,$B158,$S$2:$S$571)</f>
        <v>15207</v>
      </c>
      <c r="BB158" s="48">
        <f t="shared" si="147"/>
        <v>9.1423933627919562E-2</v>
      </c>
    </row>
    <row r="159" spans="2:54" x14ac:dyDescent="0.2">
      <c r="B159" s="3">
        <v>2005</v>
      </c>
      <c r="C159" t="s">
        <v>54</v>
      </c>
      <c r="D159" t="s">
        <v>55</v>
      </c>
      <c r="E159">
        <v>2</v>
      </c>
      <c r="F159" t="s">
        <v>38</v>
      </c>
      <c r="G159" t="s">
        <v>38</v>
      </c>
      <c r="H159" t="s">
        <v>38</v>
      </c>
      <c r="I159" t="s">
        <v>38</v>
      </c>
      <c r="J159">
        <v>93</v>
      </c>
      <c r="K159">
        <v>69</v>
      </c>
      <c r="L159">
        <v>790</v>
      </c>
      <c r="M159" s="38">
        <v>5609</v>
      </c>
      <c r="N159" s="38">
        <v>1522</v>
      </c>
      <c r="O159" s="38">
        <f t="shared" si="134"/>
        <v>948</v>
      </c>
      <c r="P159" s="38">
        <v>337</v>
      </c>
      <c r="Q159" s="38">
        <v>30</v>
      </c>
      <c r="R159" s="38">
        <v>207</v>
      </c>
      <c r="S159" s="38">
        <v>503</v>
      </c>
      <c r="T159" s="38">
        <v>54</v>
      </c>
      <c r="U159" s="38">
        <f t="shared" si="135"/>
        <v>3530</v>
      </c>
      <c r="V159">
        <v>1093</v>
      </c>
      <c r="W159">
        <v>62</v>
      </c>
      <c r="X159">
        <v>36</v>
      </c>
      <c r="Y159">
        <v>50</v>
      </c>
      <c r="Z159">
        <v>642</v>
      </c>
      <c r="AA159">
        <v>582</v>
      </c>
      <c r="AB159">
        <v>3.61</v>
      </c>
      <c r="AC159">
        <v>6</v>
      </c>
      <c r="AD159">
        <v>10</v>
      </c>
      <c r="AE159">
        <v>51</v>
      </c>
      <c r="AF159" s="45">
        <f t="shared" ca="1" si="122"/>
        <v>6286</v>
      </c>
      <c r="AG159" s="45">
        <f t="shared" ca="1" si="136"/>
        <v>1500</v>
      </c>
      <c r="AH159" s="45">
        <f t="shared" ca="1" si="137"/>
        <v>881</v>
      </c>
      <c r="AI159" s="45">
        <f t="shared" ca="1" si="138"/>
        <v>357</v>
      </c>
      <c r="AJ159" s="45">
        <f t="shared" ca="1" si="139"/>
        <v>35</v>
      </c>
      <c r="AK159" s="45">
        <f t="shared" ca="1" si="140"/>
        <v>227</v>
      </c>
      <c r="AL159" s="45">
        <f t="shared" ca="1" si="141"/>
        <v>538</v>
      </c>
      <c r="AM159" s="45">
        <f t="shared" ca="1" si="142"/>
        <v>86</v>
      </c>
      <c r="AN159" s="45">
        <f t="shared" ca="1" si="143"/>
        <v>4162</v>
      </c>
      <c r="AO159">
        <v>4358</v>
      </c>
      <c r="AP159">
        <v>1363</v>
      </c>
      <c r="AQ159">
        <v>157</v>
      </c>
      <c r="AR159">
        <v>413</v>
      </c>
      <c r="AS159">
        <v>1050</v>
      </c>
      <c r="AT159">
        <v>106</v>
      </c>
      <c r="AU159">
        <v>156</v>
      </c>
      <c r="AV159">
        <v>0.98299999999999998</v>
      </c>
      <c r="AW159" s="1"/>
      <c r="AX159" s="1"/>
      <c r="AY159" s="47">
        <f t="shared" si="144"/>
        <v>29700</v>
      </c>
      <c r="AZ159" s="49">
        <f t="shared" si="145"/>
        <v>166335</v>
      </c>
      <c r="BA159" s="49">
        <f t="shared" ref="BA159" si="172">SUMIF($B$2:$B$571,$B159,$T$2:$T$571)</f>
        <v>1797</v>
      </c>
      <c r="BB159" s="48">
        <f t="shared" si="147"/>
        <v>1.0803498962936243E-2</v>
      </c>
    </row>
    <row r="160" spans="2:54" x14ac:dyDescent="0.2">
      <c r="B160" s="3">
        <v>2005</v>
      </c>
      <c r="C160" t="s">
        <v>56</v>
      </c>
      <c r="D160" t="s">
        <v>57</v>
      </c>
      <c r="E160">
        <v>5</v>
      </c>
      <c r="F160" t="s">
        <v>38</v>
      </c>
      <c r="G160" t="s">
        <v>38</v>
      </c>
      <c r="H160" t="s">
        <v>38</v>
      </c>
      <c r="I160" t="s">
        <v>38</v>
      </c>
      <c r="J160">
        <v>67</v>
      </c>
      <c r="K160">
        <v>95</v>
      </c>
      <c r="L160">
        <v>740</v>
      </c>
      <c r="M160" s="38">
        <v>5542</v>
      </c>
      <c r="N160" s="38">
        <v>1477</v>
      </c>
      <c r="O160" s="38">
        <f t="shared" si="134"/>
        <v>1013</v>
      </c>
      <c r="P160" s="38">
        <v>280</v>
      </c>
      <c r="Q160" s="38">
        <v>34</v>
      </c>
      <c r="R160" s="38">
        <v>150</v>
      </c>
      <c r="S160" s="38">
        <v>509</v>
      </c>
      <c r="T160" s="38">
        <v>64</v>
      </c>
      <c r="U160" s="38">
        <f t="shared" si="135"/>
        <v>3492</v>
      </c>
      <c r="V160">
        <v>1103</v>
      </c>
      <c r="W160">
        <v>65</v>
      </c>
      <c r="X160">
        <v>32</v>
      </c>
      <c r="Y160">
        <v>34</v>
      </c>
      <c r="Z160">
        <v>862</v>
      </c>
      <c r="AA160">
        <v>808</v>
      </c>
      <c r="AB160">
        <v>5.13</v>
      </c>
      <c r="AC160">
        <v>4</v>
      </c>
      <c r="AD160">
        <v>4</v>
      </c>
      <c r="AE160">
        <v>37</v>
      </c>
      <c r="AF160" s="45">
        <f t="shared" ca="1" si="122"/>
        <v>6294</v>
      </c>
      <c r="AG160" s="45">
        <f t="shared" ca="1" si="136"/>
        <v>1597</v>
      </c>
      <c r="AH160" s="45">
        <f t="shared" ca="1" si="137"/>
        <v>990</v>
      </c>
      <c r="AI160" s="45">
        <f t="shared" ca="1" si="138"/>
        <v>380</v>
      </c>
      <c r="AJ160" s="45">
        <f t="shared" ca="1" si="139"/>
        <v>20</v>
      </c>
      <c r="AK160" s="45">
        <f t="shared" ca="1" si="140"/>
        <v>207</v>
      </c>
      <c r="AL160" s="45">
        <f t="shared" ca="1" si="141"/>
        <v>520</v>
      </c>
      <c r="AM160" s="45">
        <f t="shared" ca="1" si="142"/>
        <v>53</v>
      </c>
      <c r="AN160" s="45">
        <f t="shared" ca="1" si="143"/>
        <v>4124</v>
      </c>
      <c r="AO160">
        <v>4256</v>
      </c>
      <c r="AP160">
        <v>1600</v>
      </c>
      <c r="AQ160">
        <v>175</v>
      </c>
      <c r="AR160">
        <v>604</v>
      </c>
      <c r="AS160">
        <v>981</v>
      </c>
      <c r="AT160">
        <v>118</v>
      </c>
      <c r="AU160">
        <v>158</v>
      </c>
      <c r="AV160">
        <v>0.98099999999999998</v>
      </c>
      <c r="AW160" s="1"/>
      <c r="AX160" s="1"/>
      <c r="AY160" s="47">
        <f t="shared" si="144"/>
        <v>29700</v>
      </c>
      <c r="AZ160" s="49">
        <f t="shared" si="145"/>
        <v>166335</v>
      </c>
      <c r="BA160" s="49">
        <f t="shared" ref="BA160" si="173">SUMIF($B$2:$B$571,$B160,$U$2:$U$571)</f>
        <v>105340</v>
      </c>
      <c r="BB160" s="48">
        <f t="shared" si="147"/>
        <v>0.63330026753238944</v>
      </c>
    </row>
    <row r="161" spans="1:54" x14ac:dyDescent="0.2">
      <c r="B161" s="3">
        <v>2005</v>
      </c>
      <c r="C161" t="s">
        <v>58</v>
      </c>
      <c r="D161" t="s">
        <v>59</v>
      </c>
      <c r="E161">
        <v>4</v>
      </c>
      <c r="F161" t="s">
        <v>38</v>
      </c>
      <c r="G161" t="s">
        <v>38</v>
      </c>
      <c r="H161" t="s">
        <v>38</v>
      </c>
      <c r="I161" t="s">
        <v>38</v>
      </c>
      <c r="J161">
        <v>71</v>
      </c>
      <c r="K161">
        <v>91</v>
      </c>
      <c r="L161">
        <v>723</v>
      </c>
      <c r="M161" s="38">
        <v>5602</v>
      </c>
      <c r="N161" s="38">
        <v>1521</v>
      </c>
      <c r="O161" s="38">
        <f t="shared" si="134"/>
        <v>1025</v>
      </c>
      <c r="P161" s="38">
        <v>283</v>
      </c>
      <c r="Q161" s="38">
        <v>45</v>
      </c>
      <c r="R161" s="38">
        <v>168</v>
      </c>
      <c r="S161" s="38">
        <v>384</v>
      </c>
      <c r="T161" s="38">
        <v>53</v>
      </c>
      <c r="U161" s="38">
        <f t="shared" si="135"/>
        <v>3644</v>
      </c>
      <c r="V161">
        <v>1038</v>
      </c>
      <c r="W161">
        <v>66</v>
      </c>
      <c r="X161">
        <v>28</v>
      </c>
      <c r="Y161">
        <v>52</v>
      </c>
      <c r="Z161">
        <v>787</v>
      </c>
      <c r="AA161">
        <v>719</v>
      </c>
      <c r="AB161">
        <v>4.51</v>
      </c>
      <c r="AC161">
        <v>7</v>
      </c>
      <c r="AD161">
        <v>2</v>
      </c>
      <c r="AE161">
        <v>37</v>
      </c>
      <c r="AF161" s="45">
        <f t="shared" ca="1" si="122"/>
        <v>6355</v>
      </c>
      <c r="AG161" s="45">
        <f t="shared" ca="1" si="136"/>
        <v>1379</v>
      </c>
      <c r="AH161" s="45">
        <f t="shared" ca="1" si="137"/>
        <v>858</v>
      </c>
      <c r="AI161" s="45">
        <f t="shared" ca="1" si="138"/>
        <v>267</v>
      </c>
      <c r="AJ161" s="45">
        <f t="shared" ca="1" si="139"/>
        <v>26</v>
      </c>
      <c r="AK161" s="45">
        <f t="shared" ca="1" si="140"/>
        <v>228</v>
      </c>
      <c r="AL161" s="45">
        <f t="shared" ca="1" si="141"/>
        <v>543</v>
      </c>
      <c r="AM161" s="45">
        <f t="shared" ca="1" si="142"/>
        <v>76</v>
      </c>
      <c r="AN161" s="45">
        <f t="shared" ca="1" si="143"/>
        <v>4357</v>
      </c>
      <c r="AO161">
        <v>4307</v>
      </c>
      <c r="AP161">
        <v>1504</v>
      </c>
      <c r="AQ161">
        <v>193</v>
      </c>
      <c r="AR161">
        <v>461</v>
      </c>
      <c r="AS161">
        <v>907</v>
      </c>
      <c r="AT161">
        <v>110</v>
      </c>
      <c r="AU161">
        <v>171</v>
      </c>
      <c r="AV161">
        <v>0.98199999999999998</v>
      </c>
      <c r="AW161" s="1"/>
      <c r="AX161" s="1"/>
      <c r="AY161" s="47">
        <f t="shared" si="144"/>
        <v>29700</v>
      </c>
      <c r="AZ161" s="49">
        <f t="shared" si="145"/>
        <v>166335</v>
      </c>
      <c r="BA161" s="49"/>
      <c r="BB161" s="48">
        <f t="shared" si="147"/>
        <v>0</v>
      </c>
    </row>
    <row r="162" spans="1:54" x14ac:dyDescent="0.2">
      <c r="B162" s="3">
        <v>2005</v>
      </c>
      <c r="C162" t="s">
        <v>60</v>
      </c>
      <c r="D162" t="s">
        <v>61</v>
      </c>
      <c r="E162">
        <v>3</v>
      </c>
      <c r="F162" t="s">
        <v>38</v>
      </c>
      <c r="G162" t="s">
        <v>38</v>
      </c>
      <c r="H162" t="s">
        <v>38</v>
      </c>
      <c r="I162" t="s">
        <v>38</v>
      </c>
      <c r="J162">
        <v>83</v>
      </c>
      <c r="K162">
        <v>79</v>
      </c>
      <c r="L162">
        <v>717</v>
      </c>
      <c r="M162" s="38">
        <v>5502</v>
      </c>
      <c r="N162" s="38">
        <v>1499</v>
      </c>
      <c r="O162" s="38">
        <f t="shared" si="134"/>
        <v>1033</v>
      </c>
      <c r="P162" s="38">
        <v>306</v>
      </c>
      <c r="Q162" s="38">
        <v>32</v>
      </c>
      <c r="R162" s="38">
        <v>128</v>
      </c>
      <c r="S162" s="38">
        <v>512</v>
      </c>
      <c r="T162" s="38">
        <v>67</v>
      </c>
      <c r="U162" s="38">
        <f t="shared" si="135"/>
        <v>3424</v>
      </c>
      <c r="V162">
        <v>918</v>
      </c>
      <c r="W162">
        <v>96</v>
      </c>
      <c r="X162">
        <v>38</v>
      </c>
      <c r="Y162">
        <v>50</v>
      </c>
      <c r="Z162">
        <v>732</v>
      </c>
      <c r="AA162">
        <v>666</v>
      </c>
      <c r="AB162">
        <v>4.16</v>
      </c>
      <c r="AC162">
        <v>14</v>
      </c>
      <c r="AD162">
        <v>15</v>
      </c>
      <c r="AE162">
        <v>42</v>
      </c>
      <c r="AF162" s="45">
        <f t="shared" ca="1" si="122"/>
        <v>6105</v>
      </c>
      <c r="AG162" s="45">
        <f t="shared" ca="1" si="136"/>
        <v>1330</v>
      </c>
      <c r="AH162" s="45">
        <f t="shared" ca="1" si="137"/>
        <v>788</v>
      </c>
      <c r="AI162" s="45">
        <f t="shared" ca="1" si="138"/>
        <v>304</v>
      </c>
      <c r="AJ162" s="45">
        <f t="shared" ca="1" si="139"/>
        <v>37</v>
      </c>
      <c r="AK162" s="45">
        <f t="shared" ca="1" si="140"/>
        <v>201</v>
      </c>
      <c r="AL162" s="45">
        <f t="shared" ca="1" si="141"/>
        <v>453</v>
      </c>
      <c r="AM162" s="45">
        <f t="shared" ca="1" si="142"/>
        <v>38</v>
      </c>
      <c r="AN162" s="45">
        <f t="shared" ca="1" si="143"/>
        <v>4284</v>
      </c>
      <c r="AO162">
        <v>4327</v>
      </c>
      <c r="AP162">
        <v>1459</v>
      </c>
      <c r="AQ162">
        <v>116</v>
      </c>
      <c r="AR162">
        <v>563</v>
      </c>
      <c r="AS162">
        <v>1125</v>
      </c>
      <c r="AT162">
        <v>103</v>
      </c>
      <c r="AU162">
        <v>177</v>
      </c>
      <c r="AV162">
        <v>0.98299999999999998</v>
      </c>
      <c r="AW162" s="1"/>
      <c r="AX162" s="1"/>
      <c r="AY162" s="47">
        <f t="shared" si="144"/>
        <v>29700</v>
      </c>
      <c r="AZ162" s="49">
        <f t="shared" si="145"/>
        <v>166335</v>
      </c>
      <c r="BA162" s="49">
        <f t="shared" ref="BA162" si="174">SUMIF($B$2:$B$571,$B162,$O$2:$O$571)</f>
        <v>29223</v>
      </c>
      <c r="BB162" s="48">
        <f t="shared" si="147"/>
        <v>0.17568761836053748</v>
      </c>
    </row>
    <row r="163" spans="1:54" x14ac:dyDescent="0.2">
      <c r="B163" s="3">
        <v>2005</v>
      </c>
      <c r="C163" t="s">
        <v>62</v>
      </c>
      <c r="D163" t="s">
        <v>63</v>
      </c>
      <c r="E163">
        <v>2</v>
      </c>
      <c r="F163" t="s">
        <v>38</v>
      </c>
      <c r="G163" t="s">
        <v>43</v>
      </c>
      <c r="H163" t="s">
        <v>43</v>
      </c>
      <c r="I163" t="s">
        <v>38</v>
      </c>
      <c r="J163">
        <v>89</v>
      </c>
      <c r="K163">
        <v>73</v>
      </c>
      <c r="L163">
        <v>693</v>
      </c>
      <c r="M163" s="38">
        <v>5462</v>
      </c>
      <c r="N163" s="38">
        <v>1400</v>
      </c>
      <c r="O163" s="38">
        <f t="shared" si="134"/>
        <v>926</v>
      </c>
      <c r="P163" s="38">
        <v>281</v>
      </c>
      <c r="Q163" s="38">
        <v>32</v>
      </c>
      <c r="R163" s="38">
        <v>161</v>
      </c>
      <c r="S163" s="38">
        <v>481</v>
      </c>
      <c r="T163" s="38">
        <v>72</v>
      </c>
      <c r="U163" s="38">
        <f t="shared" si="135"/>
        <v>3509</v>
      </c>
      <c r="V163">
        <v>1037</v>
      </c>
      <c r="W163">
        <v>115</v>
      </c>
      <c r="X163">
        <v>44</v>
      </c>
      <c r="Y163">
        <v>42</v>
      </c>
      <c r="Z163">
        <v>609</v>
      </c>
      <c r="AA163">
        <v>563</v>
      </c>
      <c r="AB163">
        <v>3.51</v>
      </c>
      <c r="AC163">
        <v>6</v>
      </c>
      <c r="AD163">
        <v>11</v>
      </c>
      <c r="AE163">
        <v>45</v>
      </c>
      <c r="AF163" s="45">
        <f t="shared" ca="1" si="122"/>
        <v>6449</v>
      </c>
      <c r="AG163" s="45">
        <f t="shared" ca="1" si="136"/>
        <v>1412</v>
      </c>
      <c r="AH163" s="45">
        <f t="shared" ca="1" si="137"/>
        <v>837</v>
      </c>
      <c r="AI163" s="45">
        <f t="shared" ca="1" si="138"/>
        <v>333</v>
      </c>
      <c r="AJ163" s="45">
        <f t="shared" ca="1" si="139"/>
        <v>30</v>
      </c>
      <c r="AK163" s="45">
        <f t="shared" ca="1" si="140"/>
        <v>212</v>
      </c>
      <c r="AL163" s="45">
        <f t="shared" ca="1" si="141"/>
        <v>609</v>
      </c>
      <c r="AM163" s="45">
        <f t="shared" ca="1" si="142"/>
        <v>78</v>
      </c>
      <c r="AN163" s="45">
        <f t="shared" ca="1" si="143"/>
        <v>4350</v>
      </c>
      <c r="AO163">
        <v>4329</v>
      </c>
      <c r="AP163">
        <v>1336</v>
      </c>
      <c r="AQ163">
        <v>155</v>
      </c>
      <c r="AR163">
        <v>440</v>
      </c>
      <c r="AS163">
        <v>1164</v>
      </c>
      <c r="AT163">
        <v>89</v>
      </c>
      <c r="AU163">
        <v>146</v>
      </c>
      <c r="AV163">
        <v>0.98499999999999999</v>
      </c>
      <c r="AW163" s="1"/>
      <c r="AX163" s="1"/>
      <c r="AY163" s="47">
        <f t="shared" si="144"/>
        <v>29700</v>
      </c>
      <c r="AZ163" s="49">
        <f t="shared" si="145"/>
        <v>166335</v>
      </c>
      <c r="BA163" s="49">
        <f t="shared" ref="BA163" si="175">SUMIF($B$2:$B$571,$B163,$P$2:$P$571)</f>
        <v>8863</v>
      </c>
      <c r="BB163" s="48">
        <f t="shared" si="147"/>
        <v>5.3284035230107912E-2</v>
      </c>
    </row>
    <row r="164" spans="1:54" x14ac:dyDescent="0.2">
      <c r="B164" s="3">
        <v>2005</v>
      </c>
      <c r="C164" t="s">
        <v>64</v>
      </c>
      <c r="D164" t="s">
        <v>65</v>
      </c>
      <c r="E164">
        <v>5</v>
      </c>
      <c r="F164" t="s">
        <v>38</v>
      </c>
      <c r="G164" t="s">
        <v>38</v>
      </c>
      <c r="H164" t="s">
        <v>38</v>
      </c>
      <c r="I164" t="s">
        <v>38</v>
      </c>
      <c r="J164">
        <v>56</v>
      </c>
      <c r="K164">
        <v>106</v>
      </c>
      <c r="L164">
        <v>701</v>
      </c>
      <c r="M164" s="38">
        <v>5503</v>
      </c>
      <c r="N164" s="38">
        <v>1445</v>
      </c>
      <c r="O164" s="38">
        <f t="shared" si="134"/>
        <v>996</v>
      </c>
      <c r="P164" s="38">
        <v>289</v>
      </c>
      <c r="Q164" s="38">
        <v>34</v>
      </c>
      <c r="R164" s="38">
        <v>126</v>
      </c>
      <c r="S164" s="38">
        <v>424</v>
      </c>
      <c r="T164" s="38">
        <v>63</v>
      </c>
      <c r="U164" s="38">
        <f t="shared" si="135"/>
        <v>3571</v>
      </c>
      <c r="V164">
        <v>1008</v>
      </c>
      <c r="W164">
        <v>53</v>
      </c>
      <c r="X164">
        <v>33</v>
      </c>
      <c r="Y164">
        <v>50</v>
      </c>
      <c r="Z164">
        <v>935</v>
      </c>
      <c r="AA164">
        <v>862</v>
      </c>
      <c r="AB164">
        <v>5.49</v>
      </c>
      <c r="AC164">
        <v>4</v>
      </c>
      <c r="AD164">
        <v>4</v>
      </c>
      <c r="AE164">
        <v>25</v>
      </c>
      <c r="AF164" s="45">
        <f t="shared" ca="1" si="122"/>
        <v>6082</v>
      </c>
      <c r="AG164" s="45">
        <f t="shared" ca="1" si="136"/>
        <v>1677</v>
      </c>
      <c r="AH164" s="45">
        <f t="shared" ca="1" si="137"/>
        <v>1221</v>
      </c>
      <c r="AI164" s="45">
        <f t="shared" ca="1" si="138"/>
        <v>227</v>
      </c>
      <c r="AJ164" s="45">
        <f t="shared" ca="1" si="139"/>
        <v>46</v>
      </c>
      <c r="AK164" s="45">
        <f t="shared" ca="1" si="140"/>
        <v>183</v>
      </c>
      <c r="AL164" s="45">
        <f t="shared" ca="1" si="141"/>
        <v>556</v>
      </c>
      <c r="AM164" s="45">
        <f t="shared" ca="1" si="142"/>
        <v>70</v>
      </c>
      <c r="AN164" s="45">
        <f t="shared" ca="1" si="143"/>
        <v>3779</v>
      </c>
      <c r="AO164">
        <v>4240</v>
      </c>
      <c r="AP164">
        <v>1640</v>
      </c>
      <c r="AQ164">
        <v>178</v>
      </c>
      <c r="AR164">
        <v>580</v>
      </c>
      <c r="AS164">
        <v>924</v>
      </c>
      <c r="AT164">
        <v>125</v>
      </c>
      <c r="AU164">
        <v>163</v>
      </c>
      <c r="AV164">
        <v>0.97899999999999998</v>
      </c>
      <c r="AW164" s="1"/>
      <c r="AX164" s="1"/>
      <c r="AY164" s="47">
        <f t="shared" si="144"/>
        <v>29700</v>
      </c>
      <c r="AZ164" s="49">
        <f t="shared" si="145"/>
        <v>166335</v>
      </c>
      <c r="BA164" s="49">
        <f t="shared" ref="BA164" si="176">SUMIF($B$2:$B$571,$B164,$Q$2:$Q$571)</f>
        <v>888</v>
      </c>
      <c r="BB164" s="48">
        <f t="shared" si="147"/>
        <v>5.3386238614843541E-3</v>
      </c>
    </row>
    <row r="165" spans="1:54" x14ac:dyDescent="0.2">
      <c r="A165">
        <v>31</v>
      </c>
      <c r="B165" s="3">
        <v>2005</v>
      </c>
      <c r="C165" t="s">
        <v>98</v>
      </c>
      <c r="D165" t="s">
        <v>99</v>
      </c>
      <c r="E165">
        <v>1</v>
      </c>
      <c r="F165" t="s">
        <v>43</v>
      </c>
      <c r="G165" t="s">
        <v>38</v>
      </c>
      <c r="H165" t="s">
        <v>38</v>
      </c>
      <c r="I165" t="s">
        <v>38</v>
      </c>
      <c r="J165">
        <v>95</v>
      </c>
      <c r="K165">
        <v>67</v>
      </c>
      <c r="L165">
        <v>761</v>
      </c>
      <c r="M165" s="38">
        <v>5624</v>
      </c>
      <c r="N165" s="38">
        <v>1520</v>
      </c>
      <c r="O165" s="38">
        <f t="shared" si="134"/>
        <v>1065</v>
      </c>
      <c r="P165" s="38">
        <v>278</v>
      </c>
      <c r="Q165" s="38">
        <v>30</v>
      </c>
      <c r="R165" s="38">
        <v>147</v>
      </c>
      <c r="S165" s="38">
        <v>447</v>
      </c>
      <c r="T165" s="38">
        <v>29</v>
      </c>
      <c r="U165" s="38">
        <f t="shared" si="135"/>
        <v>3628</v>
      </c>
      <c r="V165">
        <v>848</v>
      </c>
      <c r="W165">
        <v>161</v>
      </c>
      <c r="X165">
        <v>57</v>
      </c>
      <c r="Y165">
        <v>39</v>
      </c>
      <c r="Z165">
        <v>643</v>
      </c>
      <c r="AA165">
        <v>598</v>
      </c>
      <c r="AB165">
        <v>3.68</v>
      </c>
      <c r="AC165">
        <v>7</v>
      </c>
      <c r="AD165">
        <v>11</v>
      </c>
      <c r="AE165">
        <v>54</v>
      </c>
      <c r="AF165" s="45">
        <f t="shared" ca="1" si="122"/>
        <v>6324</v>
      </c>
      <c r="AG165" s="45">
        <f t="shared" ca="1" si="136"/>
        <v>1396</v>
      </c>
      <c r="AH165" s="45">
        <f t="shared" ca="1" si="137"/>
        <v>878</v>
      </c>
      <c r="AI165" s="45">
        <f t="shared" ca="1" si="138"/>
        <v>361</v>
      </c>
      <c r="AJ165" s="45">
        <f t="shared" ca="1" si="139"/>
        <v>23</v>
      </c>
      <c r="AK165" s="45">
        <f t="shared" ca="1" si="140"/>
        <v>134</v>
      </c>
      <c r="AL165" s="45">
        <f t="shared" ca="1" si="141"/>
        <v>516</v>
      </c>
      <c r="AM165" s="45">
        <f t="shared" ca="1" si="142"/>
        <v>56</v>
      </c>
      <c r="AN165" s="45">
        <f t="shared" ca="1" si="143"/>
        <v>4356</v>
      </c>
      <c r="AO165">
        <v>4393</v>
      </c>
      <c r="AP165">
        <v>1419</v>
      </c>
      <c r="AQ165">
        <v>158</v>
      </c>
      <c r="AR165">
        <v>443</v>
      </c>
      <c r="AS165">
        <v>1126</v>
      </c>
      <c r="AT165">
        <v>87</v>
      </c>
      <c r="AU165">
        <v>139</v>
      </c>
      <c r="AV165">
        <v>0.98599999999999999</v>
      </c>
      <c r="AW165" s="1"/>
      <c r="AX165" s="1"/>
      <c r="AY165" s="47">
        <f t="shared" si="144"/>
        <v>29700</v>
      </c>
      <c r="AZ165" s="49">
        <f t="shared" si="145"/>
        <v>166335</v>
      </c>
      <c r="BA165" s="49">
        <f t="shared" ref="BA165" si="177">SUMIF($B$2:$B$571,$B165,$R$2:$R$571)</f>
        <v>5017</v>
      </c>
      <c r="BB165" s="48">
        <f t="shared" si="147"/>
        <v>3.0162022424625005E-2</v>
      </c>
    </row>
    <row r="166" spans="1:54" x14ac:dyDescent="0.2">
      <c r="B166" s="3">
        <v>2005</v>
      </c>
      <c r="C166" t="s">
        <v>66</v>
      </c>
      <c r="D166" t="s">
        <v>67</v>
      </c>
      <c r="E166">
        <v>4</v>
      </c>
      <c r="F166" t="s">
        <v>38</v>
      </c>
      <c r="G166" t="s">
        <v>38</v>
      </c>
      <c r="H166" t="s">
        <v>38</v>
      </c>
      <c r="I166" t="s">
        <v>38</v>
      </c>
      <c r="J166">
        <v>71</v>
      </c>
      <c r="K166">
        <v>91</v>
      </c>
      <c r="L166">
        <v>685</v>
      </c>
      <c r="M166" s="38">
        <v>5433</v>
      </c>
      <c r="N166" s="38">
        <v>1374</v>
      </c>
      <c r="O166" s="38">
        <f t="shared" si="134"/>
        <v>920</v>
      </c>
      <c r="P166" s="38">
        <v>284</v>
      </c>
      <c r="Q166" s="38">
        <v>21</v>
      </c>
      <c r="R166" s="38">
        <v>149</v>
      </c>
      <c r="S166" s="38">
        <v>541</v>
      </c>
      <c r="T166" s="38">
        <v>67</v>
      </c>
      <c r="U166" s="38">
        <f t="shared" si="135"/>
        <v>3451</v>
      </c>
      <c r="V166">
        <v>1094</v>
      </c>
      <c r="W166">
        <v>58</v>
      </c>
      <c r="X166">
        <v>35</v>
      </c>
      <c r="Y166">
        <v>33</v>
      </c>
      <c r="Z166">
        <v>755</v>
      </c>
      <c r="AA166">
        <v>695</v>
      </c>
      <c r="AB166">
        <v>4.38</v>
      </c>
      <c r="AC166">
        <v>6</v>
      </c>
      <c r="AD166">
        <v>9</v>
      </c>
      <c r="AE166">
        <v>40</v>
      </c>
      <c r="AF166" s="45">
        <f t="shared" ca="1" si="122"/>
        <v>6352</v>
      </c>
      <c r="AG166" s="45">
        <f t="shared" ca="1" si="136"/>
        <v>1694</v>
      </c>
      <c r="AH166" s="45">
        <f t="shared" ca="1" si="137"/>
        <v>1170</v>
      </c>
      <c r="AI166" s="45">
        <f t="shared" ca="1" si="138"/>
        <v>302</v>
      </c>
      <c r="AJ166" s="45">
        <f t="shared" ca="1" si="139"/>
        <v>32</v>
      </c>
      <c r="AK166" s="45">
        <f t="shared" ca="1" si="140"/>
        <v>190</v>
      </c>
      <c r="AL166" s="45">
        <f t="shared" ca="1" si="141"/>
        <v>456</v>
      </c>
      <c r="AM166" s="45">
        <f t="shared" ca="1" si="142"/>
        <v>56</v>
      </c>
      <c r="AN166" s="45">
        <f t="shared" ca="1" si="143"/>
        <v>4146</v>
      </c>
      <c r="AO166">
        <v>4282</v>
      </c>
      <c r="AP166">
        <v>1434</v>
      </c>
      <c r="AQ166">
        <v>182</v>
      </c>
      <c r="AR166">
        <v>471</v>
      </c>
      <c r="AS166">
        <v>1004</v>
      </c>
      <c r="AT166">
        <v>106</v>
      </c>
      <c r="AU166">
        <v>141</v>
      </c>
      <c r="AV166">
        <v>0.98299999999999998</v>
      </c>
      <c r="AW166" s="1"/>
      <c r="AX166" s="1"/>
      <c r="AY166" s="47">
        <f t="shared" si="144"/>
        <v>29700</v>
      </c>
      <c r="AZ166" s="49">
        <f t="shared" si="145"/>
        <v>166335</v>
      </c>
      <c r="BA166" s="49">
        <f t="shared" ref="BA166" si="178">SUMIF($B$2:$B$571,$B166,$S$2:$S$571)</f>
        <v>15207</v>
      </c>
      <c r="BB166" s="48">
        <f t="shared" si="147"/>
        <v>9.1423933627919562E-2</v>
      </c>
    </row>
    <row r="167" spans="1:54" x14ac:dyDescent="0.2">
      <c r="B167" s="3">
        <v>2005</v>
      </c>
      <c r="C167" t="s">
        <v>68</v>
      </c>
      <c r="D167" t="s">
        <v>69</v>
      </c>
      <c r="E167">
        <v>3</v>
      </c>
      <c r="F167" t="s">
        <v>38</v>
      </c>
      <c r="G167" t="s">
        <v>38</v>
      </c>
      <c r="H167" t="s">
        <v>38</v>
      </c>
      <c r="I167" t="s">
        <v>38</v>
      </c>
      <c r="J167">
        <v>81</v>
      </c>
      <c r="K167">
        <v>81</v>
      </c>
      <c r="L167">
        <v>726</v>
      </c>
      <c r="M167" s="38">
        <v>5448</v>
      </c>
      <c r="N167" s="38">
        <v>1413</v>
      </c>
      <c r="O167" s="38">
        <f t="shared" si="134"/>
        <v>892</v>
      </c>
      <c r="P167" s="38">
        <v>327</v>
      </c>
      <c r="Q167" s="38">
        <v>19</v>
      </c>
      <c r="R167" s="38">
        <v>175</v>
      </c>
      <c r="S167" s="38">
        <v>531</v>
      </c>
      <c r="T167" s="38">
        <v>73</v>
      </c>
      <c r="U167" s="38">
        <f t="shared" si="135"/>
        <v>3431</v>
      </c>
      <c r="V167">
        <v>1162</v>
      </c>
      <c r="W167">
        <v>79</v>
      </c>
      <c r="X167">
        <v>34</v>
      </c>
      <c r="Y167">
        <v>38</v>
      </c>
      <c r="Z167">
        <v>697</v>
      </c>
      <c r="AA167">
        <v>635</v>
      </c>
      <c r="AB167">
        <v>3.97</v>
      </c>
      <c r="AC167">
        <v>7</v>
      </c>
      <c r="AD167">
        <v>6</v>
      </c>
      <c r="AE167">
        <v>46</v>
      </c>
      <c r="AF167" s="45">
        <f t="shared" ca="1" si="122"/>
        <v>6416</v>
      </c>
      <c r="AG167" s="45">
        <f t="shared" ca="1" si="136"/>
        <v>1369</v>
      </c>
      <c r="AH167" s="45">
        <f t="shared" ca="1" si="137"/>
        <v>827</v>
      </c>
      <c r="AI167" s="45">
        <f t="shared" ca="1" si="138"/>
        <v>310</v>
      </c>
      <c r="AJ167" s="45">
        <f t="shared" ca="1" si="139"/>
        <v>28</v>
      </c>
      <c r="AK167" s="45">
        <f t="shared" ca="1" si="140"/>
        <v>204</v>
      </c>
      <c r="AL167" s="45">
        <f t="shared" ca="1" si="141"/>
        <v>527</v>
      </c>
      <c r="AM167" s="45">
        <f t="shared" ca="1" si="142"/>
        <v>64</v>
      </c>
      <c r="AN167" s="45">
        <f t="shared" ca="1" si="143"/>
        <v>4456</v>
      </c>
      <c r="AO167">
        <v>4314</v>
      </c>
      <c r="AP167">
        <v>1382</v>
      </c>
      <c r="AQ167">
        <v>169</v>
      </c>
      <c r="AR167">
        <v>569</v>
      </c>
      <c r="AS167">
        <v>1173</v>
      </c>
      <c r="AT167">
        <v>119</v>
      </c>
      <c r="AU167">
        <v>139</v>
      </c>
      <c r="AV167">
        <v>0.98</v>
      </c>
      <c r="AW167" s="1"/>
      <c r="AX167" s="1"/>
      <c r="AY167" s="47">
        <f t="shared" si="144"/>
        <v>29700</v>
      </c>
      <c r="AZ167" s="49">
        <f t="shared" si="145"/>
        <v>166335</v>
      </c>
      <c r="BA167" s="49">
        <f t="shared" ref="BA167" si="179">SUMIF($B$2:$B$571,$B167,$T$2:$T$571)</f>
        <v>1797</v>
      </c>
      <c r="BB167" s="48">
        <f t="shared" si="147"/>
        <v>1.0803498962936243E-2</v>
      </c>
    </row>
    <row r="168" spans="1:54" x14ac:dyDescent="0.2">
      <c r="B168" s="3">
        <v>2005</v>
      </c>
      <c r="C168" t="s">
        <v>70</v>
      </c>
      <c r="D168" t="s">
        <v>71</v>
      </c>
      <c r="E168">
        <v>3</v>
      </c>
      <c r="F168" t="s">
        <v>38</v>
      </c>
      <c r="G168" t="s">
        <v>38</v>
      </c>
      <c r="H168" t="s">
        <v>38</v>
      </c>
      <c r="I168" t="s">
        <v>38</v>
      </c>
      <c r="J168">
        <v>83</v>
      </c>
      <c r="K168">
        <v>79</v>
      </c>
      <c r="L168">
        <v>688</v>
      </c>
      <c r="M168" s="38">
        <v>5564</v>
      </c>
      <c r="N168" s="38">
        <v>1441</v>
      </c>
      <c r="O168" s="38">
        <f t="shared" si="134"/>
        <v>1006</v>
      </c>
      <c r="P168" s="38">
        <v>269</v>
      </c>
      <c r="Q168" s="38">
        <v>32</v>
      </c>
      <c r="R168" s="38">
        <v>134</v>
      </c>
      <c r="S168" s="38">
        <v>485</v>
      </c>
      <c r="T168" s="38">
        <v>59</v>
      </c>
      <c r="U168" s="38">
        <f t="shared" si="135"/>
        <v>3579</v>
      </c>
      <c r="V168">
        <v>978</v>
      </c>
      <c r="W168">
        <v>102</v>
      </c>
      <c r="X168">
        <v>44</v>
      </c>
      <c r="Y168">
        <v>42</v>
      </c>
      <c r="Z168">
        <v>662</v>
      </c>
      <c r="AA168">
        <v>604</v>
      </c>
      <c r="AB168">
        <v>3.71</v>
      </c>
      <c r="AC168">
        <v>9</v>
      </c>
      <c r="AD168">
        <v>8</v>
      </c>
      <c r="AE168">
        <v>44</v>
      </c>
      <c r="AF168" s="45">
        <f t="shared" ca="1" si="122"/>
        <v>6195</v>
      </c>
      <c r="AG168" s="45">
        <f t="shared" ca="1" si="136"/>
        <v>1375</v>
      </c>
      <c r="AH168" s="45">
        <f t="shared" ca="1" si="137"/>
        <v>807</v>
      </c>
      <c r="AI168" s="45">
        <f t="shared" ca="1" si="138"/>
        <v>325</v>
      </c>
      <c r="AJ168" s="45">
        <f t="shared" ca="1" si="139"/>
        <v>28</v>
      </c>
      <c r="AK168" s="45">
        <f t="shared" ca="1" si="140"/>
        <v>215</v>
      </c>
      <c r="AL168" s="45">
        <f t="shared" ca="1" si="141"/>
        <v>647</v>
      </c>
      <c r="AM168" s="45">
        <f t="shared" ca="1" si="142"/>
        <v>47</v>
      </c>
      <c r="AN168" s="45">
        <f t="shared" ca="1" si="143"/>
        <v>4126</v>
      </c>
      <c r="AO168">
        <v>4393</v>
      </c>
      <c r="AP168">
        <v>1458</v>
      </c>
      <c r="AQ168">
        <v>169</v>
      </c>
      <c r="AR168">
        <v>348</v>
      </c>
      <c r="AS168">
        <v>965</v>
      </c>
      <c r="AT168">
        <v>102</v>
      </c>
      <c r="AU168">
        <v>171</v>
      </c>
      <c r="AV168">
        <v>0.98399999999999999</v>
      </c>
      <c r="AW168" s="1"/>
      <c r="AX168" s="1"/>
      <c r="AY168" s="47">
        <f t="shared" si="144"/>
        <v>29700</v>
      </c>
      <c r="AZ168" s="49">
        <f t="shared" si="145"/>
        <v>166335</v>
      </c>
      <c r="BA168" s="49">
        <f t="shared" ref="BA168" si="180">SUMIF($B$2:$B$571,$B168,$U$2:$U$571)</f>
        <v>105340</v>
      </c>
      <c r="BB168" s="48">
        <f t="shared" si="147"/>
        <v>0.63330026753238944</v>
      </c>
    </row>
    <row r="169" spans="1:54" x14ac:dyDescent="0.2">
      <c r="B169" s="3">
        <v>2005</v>
      </c>
      <c r="C169" t="s">
        <v>74</v>
      </c>
      <c r="D169" t="s">
        <v>75</v>
      </c>
      <c r="E169">
        <v>1</v>
      </c>
      <c r="F169" t="s">
        <v>43</v>
      </c>
      <c r="G169" t="s">
        <v>38</v>
      </c>
      <c r="H169" t="s">
        <v>38</v>
      </c>
      <c r="I169" t="s">
        <v>38</v>
      </c>
      <c r="J169">
        <v>95</v>
      </c>
      <c r="K169">
        <v>67</v>
      </c>
      <c r="L169">
        <v>886</v>
      </c>
      <c r="M169" s="38">
        <v>5624</v>
      </c>
      <c r="N169" s="38">
        <v>1552</v>
      </c>
      <c r="O169" s="38">
        <f t="shared" si="134"/>
        <v>1048</v>
      </c>
      <c r="P169" s="38">
        <v>259</v>
      </c>
      <c r="Q169" s="38">
        <v>16</v>
      </c>
      <c r="R169" s="38">
        <v>229</v>
      </c>
      <c r="S169" s="38">
        <v>637</v>
      </c>
      <c r="T169" s="38">
        <v>73</v>
      </c>
      <c r="U169" s="38">
        <f t="shared" si="135"/>
        <v>3362</v>
      </c>
      <c r="V169">
        <v>989</v>
      </c>
      <c r="W169">
        <v>84</v>
      </c>
      <c r="X169">
        <v>27</v>
      </c>
      <c r="Y169">
        <v>43</v>
      </c>
      <c r="Z169">
        <v>789</v>
      </c>
      <c r="AA169">
        <v>718</v>
      </c>
      <c r="AB169">
        <v>4.5199999999999996</v>
      </c>
      <c r="AC169">
        <v>8</v>
      </c>
      <c r="AD169">
        <v>14</v>
      </c>
      <c r="AE169">
        <v>46</v>
      </c>
      <c r="AF169" s="45">
        <f t="shared" ca="1" si="122"/>
        <v>6114</v>
      </c>
      <c r="AG169" s="45">
        <f t="shared" ca="1" si="136"/>
        <v>1469</v>
      </c>
      <c r="AH169" s="45">
        <f t="shared" ca="1" si="137"/>
        <v>980</v>
      </c>
      <c r="AI169" s="45">
        <f t="shared" ca="1" si="138"/>
        <v>263</v>
      </c>
      <c r="AJ169" s="45">
        <f t="shared" ca="1" si="139"/>
        <v>37</v>
      </c>
      <c r="AK169" s="45">
        <f t="shared" ca="1" si="140"/>
        <v>189</v>
      </c>
      <c r="AL169" s="45">
        <f t="shared" ca="1" si="141"/>
        <v>663</v>
      </c>
      <c r="AM169" s="45">
        <f t="shared" ca="1" si="142"/>
        <v>42</v>
      </c>
      <c r="AN169" s="45">
        <f t="shared" ca="1" si="143"/>
        <v>3940</v>
      </c>
      <c r="AO169">
        <v>4292</v>
      </c>
      <c r="AP169">
        <v>1495</v>
      </c>
      <c r="AQ169">
        <v>164</v>
      </c>
      <c r="AR169">
        <v>463</v>
      </c>
      <c r="AS169">
        <v>985</v>
      </c>
      <c r="AT169">
        <v>95</v>
      </c>
      <c r="AU169">
        <v>151</v>
      </c>
      <c r="AV169">
        <v>0.98399999999999999</v>
      </c>
      <c r="AW169" s="1"/>
      <c r="AX169" s="1"/>
      <c r="AY169" s="47">
        <f t="shared" si="144"/>
        <v>29700</v>
      </c>
      <c r="AZ169" s="49">
        <f t="shared" si="145"/>
        <v>166335</v>
      </c>
      <c r="BA169" s="49"/>
      <c r="BB169" s="48">
        <f t="shared" si="147"/>
        <v>0</v>
      </c>
    </row>
    <row r="170" spans="1:54" x14ac:dyDescent="0.2">
      <c r="B170" s="3">
        <v>2005</v>
      </c>
      <c r="C170" t="s">
        <v>76</v>
      </c>
      <c r="D170" t="s">
        <v>77</v>
      </c>
      <c r="E170">
        <v>3</v>
      </c>
      <c r="F170" t="s">
        <v>38</v>
      </c>
      <c r="G170" t="s">
        <v>38</v>
      </c>
      <c r="H170" t="s">
        <v>38</v>
      </c>
      <c r="I170" t="s">
        <v>38</v>
      </c>
      <c r="J170">
        <v>83</v>
      </c>
      <c r="K170">
        <v>79</v>
      </c>
      <c r="L170">
        <v>722</v>
      </c>
      <c r="M170" s="38">
        <v>5505</v>
      </c>
      <c r="N170" s="38">
        <v>1421</v>
      </c>
      <c r="O170" s="38">
        <f t="shared" si="134"/>
        <v>935</v>
      </c>
      <c r="P170" s="38">
        <v>279</v>
      </c>
      <c r="Q170" s="38">
        <v>32</v>
      </c>
      <c r="R170" s="38">
        <v>175</v>
      </c>
      <c r="S170" s="38">
        <v>486</v>
      </c>
      <c r="T170" s="38">
        <v>48</v>
      </c>
      <c r="U170" s="38">
        <f t="shared" si="135"/>
        <v>3550</v>
      </c>
      <c r="V170">
        <v>1075</v>
      </c>
      <c r="W170">
        <v>153</v>
      </c>
      <c r="X170">
        <v>40</v>
      </c>
      <c r="Y170">
        <v>38</v>
      </c>
      <c r="Z170">
        <v>648</v>
      </c>
      <c r="AA170">
        <v>599</v>
      </c>
      <c r="AB170">
        <v>3.76</v>
      </c>
      <c r="AC170">
        <v>8</v>
      </c>
      <c r="AD170">
        <v>11</v>
      </c>
      <c r="AE170">
        <v>38</v>
      </c>
      <c r="AF170" s="45">
        <f t="shared" ca="1" si="122"/>
        <v>6234</v>
      </c>
      <c r="AG170" s="45">
        <f t="shared" ca="1" si="136"/>
        <v>1646</v>
      </c>
      <c r="AH170" s="45">
        <f t="shared" ca="1" si="137"/>
        <v>1026</v>
      </c>
      <c r="AI170" s="45">
        <f t="shared" ca="1" si="138"/>
        <v>370</v>
      </c>
      <c r="AJ170" s="45">
        <f t="shared" ca="1" si="139"/>
        <v>43</v>
      </c>
      <c r="AK170" s="45">
        <f t="shared" ca="1" si="140"/>
        <v>207</v>
      </c>
      <c r="AL170" s="45">
        <f t="shared" ca="1" si="141"/>
        <v>624</v>
      </c>
      <c r="AM170" s="45">
        <f t="shared" ca="1" si="142"/>
        <v>52</v>
      </c>
      <c r="AN170" s="45">
        <f t="shared" ca="1" si="143"/>
        <v>3912</v>
      </c>
      <c r="AO170">
        <v>4307</v>
      </c>
      <c r="AP170">
        <v>1390</v>
      </c>
      <c r="AQ170">
        <v>135</v>
      </c>
      <c r="AR170">
        <v>491</v>
      </c>
      <c r="AS170">
        <v>1012</v>
      </c>
      <c r="AT170">
        <v>106</v>
      </c>
      <c r="AU170">
        <v>146</v>
      </c>
      <c r="AV170">
        <v>0.98299999999999998</v>
      </c>
      <c r="AW170" s="1"/>
      <c r="AX170" s="1"/>
      <c r="AY170" s="47">
        <f t="shared" si="144"/>
        <v>29700</v>
      </c>
      <c r="AZ170" s="49">
        <f t="shared" si="145"/>
        <v>166335</v>
      </c>
      <c r="BA170" s="49">
        <f t="shared" ref="BA170" si="181">SUMIF($B$2:$B$571,$B170,$O$2:$O$571)</f>
        <v>29223</v>
      </c>
      <c r="BB170" s="48">
        <f t="shared" si="147"/>
        <v>0.17568761836053748</v>
      </c>
    </row>
    <row r="171" spans="1:54" x14ac:dyDescent="0.2">
      <c r="B171" s="3">
        <v>2005</v>
      </c>
      <c r="C171" t="s">
        <v>78</v>
      </c>
      <c r="D171" t="s">
        <v>79</v>
      </c>
      <c r="E171">
        <v>2</v>
      </c>
      <c r="F171" t="s">
        <v>38</v>
      </c>
      <c r="G171" t="s">
        <v>38</v>
      </c>
      <c r="H171" t="s">
        <v>38</v>
      </c>
      <c r="I171" t="s">
        <v>38</v>
      </c>
      <c r="J171">
        <v>88</v>
      </c>
      <c r="K171">
        <v>74</v>
      </c>
      <c r="L171">
        <v>772</v>
      </c>
      <c r="M171" s="38">
        <v>5627</v>
      </c>
      <c r="N171" s="38">
        <v>1476</v>
      </c>
      <c r="O171" s="38">
        <f t="shared" si="134"/>
        <v>991</v>
      </c>
      <c r="P171" s="38">
        <v>310</v>
      </c>
      <c r="Q171" s="38">
        <v>20</v>
      </c>
      <c r="R171" s="38">
        <v>155</v>
      </c>
      <c r="S171" s="38">
        <v>537</v>
      </c>
      <c r="T171" s="38">
        <v>52</v>
      </c>
      <c r="U171" s="38">
        <f t="shared" si="135"/>
        <v>3562</v>
      </c>
      <c r="V171">
        <v>819</v>
      </c>
      <c r="W171">
        <v>31</v>
      </c>
      <c r="X171">
        <v>22</v>
      </c>
      <c r="Y171">
        <v>40</v>
      </c>
      <c r="Z171">
        <v>658</v>
      </c>
      <c r="AA171">
        <v>594</v>
      </c>
      <c r="AB171">
        <v>3.69</v>
      </c>
      <c r="AC171">
        <v>9</v>
      </c>
      <c r="AD171">
        <v>12</v>
      </c>
      <c r="AE171">
        <v>38</v>
      </c>
      <c r="AF171" s="45">
        <f t="shared" ca="1" si="122"/>
        <v>6106</v>
      </c>
      <c r="AG171" s="45">
        <f t="shared" ca="1" si="136"/>
        <v>1309</v>
      </c>
      <c r="AH171" s="45">
        <f t="shared" ca="1" si="137"/>
        <v>759</v>
      </c>
      <c r="AI171" s="45">
        <f t="shared" ca="1" si="138"/>
        <v>345</v>
      </c>
      <c r="AJ171" s="45">
        <f t="shared" ca="1" si="139"/>
        <v>28</v>
      </c>
      <c r="AK171" s="45">
        <f t="shared" ca="1" si="140"/>
        <v>177</v>
      </c>
      <c r="AL171" s="45">
        <f t="shared" ca="1" si="141"/>
        <v>419</v>
      </c>
      <c r="AM171" s="45">
        <f t="shared" ca="1" si="142"/>
        <v>79</v>
      </c>
      <c r="AN171" s="45">
        <f t="shared" ca="1" si="143"/>
        <v>4299</v>
      </c>
      <c r="AO171">
        <v>4351</v>
      </c>
      <c r="AP171">
        <v>1315</v>
      </c>
      <c r="AQ171">
        <v>154</v>
      </c>
      <c r="AR171">
        <v>504</v>
      </c>
      <c r="AS171">
        <v>1075</v>
      </c>
      <c r="AT171">
        <v>88</v>
      </c>
      <c r="AU171">
        <v>166</v>
      </c>
      <c r="AV171">
        <v>0.98599999999999999</v>
      </c>
      <c r="AW171" s="1"/>
      <c r="AX171" s="1"/>
      <c r="AY171" s="47">
        <f t="shared" si="144"/>
        <v>29700</v>
      </c>
      <c r="AZ171" s="49">
        <f t="shared" si="145"/>
        <v>166335</v>
      </c>
      <c r="BA171" s="49">
        <f t="shared" ref="BA171" si="182">SUMIF($B$2:$B$571,$B171,$P$2:$P$571)</f>
        <v>8863</v>
      </c>
      <c r="BB171" s="48">
        <f t="shared" si="147"/>
        <v>5.3284035230107912E-2</v>
      </c>
    </row>
    <row r="172" spans="1:54" x14ac:dyDescent="0.2">
      <c r="B172" s="3">
        <v>2005</v>
      </c>
      <c r="C172" t="s">
        <v>80</v>
      </c>
      <c r="D172" t="s">
        <v>81</v>
      </c>
      <c r="E172">
        <v>2</v>
      </c>
      <c r="F172" t="s">
        <v>38</v>
      </c>
      <c r="G172" t="s">
        <v>38</v>
      </c>
      <c r="H172" t="s">
        <v>38</v>
      </c>
      <c r="I172" t="s">
        <v>38</v>
      </c>
      <c r="J172">
        <v>88</v>
      </c>
      <c r="K172">
        <v>74</v>
      </c>
      <c r="L172">
        <v>807</v>
      </c>
      <c r="M172" s="38">
        <v>5542</v>
      </c>
      <c r="N172" s="38">
        <v>1494</v>
      </c>
      <c r="O172" s="38">
        <f t="shared" si="134"/>
        <v>1010</v>
      </c>
      <c r="P172" s="38">
        <v>282</v>
      </c>
      <c r="Q172" s="38">
        <v>35</v>
      </c>
      <c r="R172" s="38">
        <v>167</v>
      </c>
      <c r="S172" s="38">
        <v>639</v>
      </c>
      <c r="T172" s="38">
        <v>56</v>
      </c>
      <c r="U172" s="38">
        <f t="shared" si="135"/>
        <v>3353</v>
      </c>
      <c r="V172">
        <v>1083</v>
      </c>
      <c r="W172">
        <v>116</v>
      </c>
      <c r="X172">
        <v>27</v>
      </c>
      <c r="Y172">
        <v>46</v>
      </c>
      <c r="Z172">
        <v>726</v>
      </c>
      <c r="AA172">
        <v>672</v>
      </c>
      <c r="AB172">
        <v>4.21</v>
      </c>
      <c r="AC172">
        <v>4</v>
      </c>
      <c r="AD172">
        <v>6</v>
      </c>
      <c r="AE172">
        <v>40</v>
      </c>
      <c r="AF172" s="45">
        <f t="shared" ca="1" si="122"/>
        <v>6050</v>
      </c>
      <c r="AG172" s="45">
        <f t="shared" ca="1" si="136"/>
        <v>1439</v>
      </c>
      <c r="AH172" s="45">
        <f t="shared" ca="1" si="137"/>
        <v>921</v>
      </c>
      <c r="AI172" s="45">
        <f t="shared" ca="1" si="138"/>
        <v>262</v>
      </c>
      <c r="AJ172" s="45">
        <f t="shared" ca="1" si="139"/>
        <v>50</v>
      </c>
      <c r="AK172" s="45">
        <f t="shared" ca="1" si="140"/>
        <v>206</v>
      </c>
      <c r="AL172" s="45">
        <f t="shared" ca="1" si="141"/>
        <v>622</v>
      </c>
      <c r="AM172" s="45">
        <f t="shared" ca="1" si="142"/>
        <v>69</v>
      </c>
      <c r="AN172" s="45">
        <f t="shared" ca="1" si="143"/>
        <v>3920</v>
      </c>
      <c r="AO172">
        <v>4305</v>
      </c>
      <c r="AP172">
        <v>1379</v>
      </c>
      <c r="AQ172">
        <v>189</v>
      </c>
      <c r="AR172">
        <v>487</v>
      </c>
      <c r="AS172">
        <v>1159</v>
      </c>
      <c r="AT172">
        <v>90</v>
      </c>
      <c r="AU172">
        <v>132</v>
      </c>
      <c r="AV172">
        <v>0.98499999999999999</v>
      </c>
      <c r="AW172" s="1"/>
      <c r="AX172" s="1"/>
      <c r="AY172" s="47">
        <f t="shared" si="144"/>
        <v>29700</v>
      </c>
      <c r="AZ172" s="49">
        <f t="shared" si="145"/>
        <v>166335</v>
      </c>
      <c r="BA172" s="49">
        <f t="shared" ref="BA172" si="183">SUMIF($B$2:$B$571,$B172,$Q$2:$Q$571)</f>
        <v>888</v>
      </c>
      <c r="BB172" s="48">
        <f t="shared" si="147"/>
        <v>5.3386238614843541E-3</v>
      </c>
    </row>
    <row r="173" spans="1:54" x14ac:dyDescent="0.2">
      <c r="B173" s="3">
        <v>2005</v>
      </c>
      <c r="C173" t="s">
        <v>82</v>
      </c>
      <c r="D173" t="s">
        <v>83</v>
      </c>
      <c r="E173">
        <v>6</v>
      </c>
      <c r="F173" t="s">
        <v>38</v>
      </c>
      <c r="G173" t="s">
        <v>38</v>
      </c>
      <c r="H173" t="s">
        <v>38</v>
      </c>
      <c r="I173" t="s">
        <v>38</v>
      </c>
      <c r="J173">
        <v>67</v>
      </c>
      <c r="K173">
        <v>95</v>
      </c>
      <c r="L173">
        <v>680</v>
      </c>
      <c r="M173" s="38">
        <v>5573</v>
      </c>
      <c r="N173" s="38">
        <v>1445</v>
      </c>
      <c r="O173" s="38">
        <f t="shared" si="134"/>
        <v>976</v>
      </c>
      <c r="P173" s="38">
        <v>292</v>
      </c>
      <c r="Q173" s="38">
        <v>38</v>
      </c>
      <c r="R173" s="38">
        <v>139</v>
      </c>
      <c r="S173" s="38">
        <v>471</v>
      </c>
      <c r="T173" s="38">
        <v>72</v>
      </c>
      <c r="U173" s="38">
        <f t="shared" si="135"/>
        <v>3585</v>
      </c>
      <c r="V173">
        <v>1092</v>
      </c>
      <c r="W173">
        <v>73</v>
      </c>
      <c r="X173">
        <v>30</v>
      </c>
      <c r="Y173">
        <v>49</v>
      </c>
      <c r="Z173">
        <v>769</v>
      </c>
      <c r="AA173">
        <v>706</v>
      </c>
      <c r="AB173">
        <v>4.42</v>
      </c>
      <c r="AC173">
        <v>4</v>
      </c>
      <c r="AD173">
        <v>14</v>
      </c>
      <c r="AE173">
        <v>35</v>
      </c>
      <c r="AF173" s="45">
        <f t="shared" ca="1" si="122"/>
        <v>6054</v>
      </c>
      <c r="AG173" s="45">
        <f t="shared" ca="1" si="136"/>
        <v>1496</v>
      </c>
      <c r="AH173" s="45">
        <f t="shared" ca="1" si="137"/>
        <v>987</v>
      </c>
      <c r="AI173" s="45">
        <f t="shared" ca="1" si="138"/>
        <v>266</v>
      </c>
      <c r="AJ173" s="45">
        <f t="shared" ca="1" si="139"/>
        <v>29</v>
      </c>
      <c r="AK173" s="45">
        <f t="shared" ca="1" si="140"/>
        <v>214</v>
      </c>
      <c r="AL173" s="45">
        <f t="shared" ca="1" si="141"/>
        <v>502</v>
      </c>
      <c r="AM173" s="45">
        <f t="shared" ca="1" si="142"/>
        <v>79</v>
      </c>
      <c r="AN173" s="45">
        <f t="shared" ca="1" si="143"/>
        <v>3977</v>
      </c>
      <c r="AO173">
        <v>4308</v>
      </c>
      <c r="AP173">
        <v>1456</v>
      </c>
      <c r="AQ173">
        <v>162</v>
      </c>
      <c r="AR173">
        <v>612</v>
      </c>
      <c r="AS173">
        <v>958</v>
      </c>
      <c r="AT173">
        <v>117</v>
      </c>
      <c r="AU173">
        <v>193</v>
      </c>
      <c r="AV173">
        <v>0.98099999999999998</v>
      </c>
      <c r="AW173" s="1"/>
      <c r="AX173" s="1"/>
      <c r="AY173" s="47">
        <f t="shared" si="144"/>
        <v>29700</v>
      </c>
      <c r="AZ173" s="49">
        <f t="shared" si="145"/>
        <v>166335</v>
      </c>
      <c r="BA173" s="49">
        <f t="shared" ref="BA173" si="184">SUMIF($B$2:$B$571,$B173,$R$2:$R$571)</f>
        <v>5017</v>
      </c>
      <c r="BB173" s="48">
        <f t="shared" si="147"/>
        <v>3.0162022424625005E-2</v>
      </c>
    </row>
    <row r="174" spans="1:54" x14ac:dyDescent="0.2">
      <c r="B174" s="3">
        <v>2005</v>
      </c>
      <c r="C174" t="s">
        <v>84</v>
      </c>
      <c r="D174" t="s">
        <v>85</v>
      </c>
      <c r="E174">
        <v>1</v>
      </c>
      <c r="F174" t="s">
        <v>43</v>
      </c>
      <c r="G174" t="s">
        <v>38</v>
      </c>
      <c r="H174" t="s">
        <v>38</v>
      </c>
      <c r="I174" t="s">
        <v>38</v>
      </c>
      <c r="J174">
        <v>82</v>
      </c>
      <c r="K174">
        <v>80</v>
      </c>
      <c r="L174">
        <v>684</v>
      </c>
      <c r="M174" s="38">
        <v>5502</v>
      </c>
      <c r="N174" s="38">
        <v>1416</v>
      </c>
      <c r="O174" s="38">
        <f t="shared" si="134"/>
        <v>978</v>
      </c>
      <c r="P174" s="38">
        <v>269</v>
      </c>
      <c r="Q174" s="38">
        <v>39</v>
      </c>
      <c r="R174" s="38">
        <v>130</v>
      </c>
      <c r="S174" s="38">
        <v>600</v>
      </c>
      <c r="T174" s="38">
        <v>49</v>
      </c>
      <c r="U174" s="38">
        <f t="shared" si="135"/>
        <v>3437</v>
      </c>
      <c r="V174">
        <v>977</v>
      </c>
      <c r="W174">
        <v>99</v>
      </c>
      <c r="X174">
        <v>44</v>
      </c>
      <c r="Y174">
        <v>48</v>
      </c>
      <c r="Z174">
        <v>726</v>
      </c>
      <c r="AA174">
        <v>668</v>
      </c>
      <c r="AB174">
        <v>4.13</v>
      </c>
      <c r="AC174">
        <v>4</v>
      </c>
      <c r="AD174">
        <v>8</v>
      </c>
      <c r="AE174">
        <v>45</v>
      </c>
      <c r="AF174" s="45">
        <f t="shared" ca="1" si="122"/>
        <v>6418</v>
      </c>
      <c r="AG174" s="45">
        <f t="shared" ca="1" si="136"/>
        <v>1494</v>
      </c>
      <c r="AH174" s="45">
        <f t="shared" ca="1" si="137"/>
        <v>926</v>
      </c>
      <c r="AI174" s="45">
        <f t="shared" ca="1" si="138"/>
        <v>356</v>
      </c>
      <c r="AJ174" s="45">
        <f t="shared" ca="1" si="139"/>
        <v>42</v>
      </c>
      <c r="AK174" s="45">
        <f t="shared" ca="1" si="140"/>
        <v>170</v>
      </c>
      <c r="AL174" s="45">
        <f t="shared" ca="1" si="141"/>
        <v>509</v>
      </c>
      <c r="AM174" s="45">
        <f t="shared" ca="1" si="142"/>
        <v>39</v>
      </c>
      <c r="AN174" s="45">
        <f t="shared" ca="1" si="143"/>
        <v>4376</v>
      </c>
      <c r="AO174">
        <v>4366</v>
      </c>
      <c r="AP174">
        <v>1452</v>
      </c>
      <c r="AQ174">
        <v>146</v>
      </c>
      <c r="AR174">
        <v>503</v>
      </c>
      <c r="AS174">
        <v>1133</v>
      </c>
      <c r="AT174">
        <v>109</v>
      </c>
      <c r="AU174">
        <v>136</v>
      </c>
      <c r="AV174">
        <v>0.98199999999999998</v>
      </c>
      <c r="AW174" s="1"/>
      <c r="AX174" s="1"/>
      <c r="AY174" s="47">
        <f t="shared" si="144"/>
        <v>29700</v>
      </c>
      <c r="AZ174" s="49">
        <f t="shared" si="145"/>
        <v>166335</v>
      </c>
      <c r="BA174" s="49">
        <f t="shared" ref="BA174" si="185">SUMIF($B$2:$B$571,$B174,$S$2:$S$571)</f>
        <v>15207</v>
      </c>
      <c r="BB174" s="48">
        <f t="shared" si="147"/>
        <v>9.1423933627919562E-2</v>
      </c>
    </row>
    <row r="175" spans="1:54" x14ac:dyDescent="0.2">
      <c r="B175" s="3">
        <v>2005</v>
      </c>
      <c r="C175" t="s">
        <v>86</v>
      </c>
      <c r="D175" t="s">
        <v>87</v>
      </c>
      <c r="E175">
        <v>4</v>
      </c>
      <c r="F175" t="s">
        <v>38</v>
      </c>
      <c r="G175" t="s">
        <v>38</v>
      </c>
      <c r="H175" t="s">
        <v>38</v>
      </c>
      <c r="I175" t="s">
        <v>38</v>
      </c>
      <c r="J175">
        <v>69</v>
      </c>
      <c r="K175">
        <v>93</v>
      </c>
      <c r="L175">
        <v>699</v>
      </c>
      <c r="M175" s="38">
        <v>5507</v>
      </c>
      <c r="N175" s="38">
        <v>1408</v>
      </c>
      <c r="O175" s="38">
        <f t="shared" si="134"/>
        <v>955</v>
      </c>
      <c r="P175" s="38">
        <v>289</v>
      </c>
      <c r="Q175" s="38">
        <v>34</v>
      </c>
      <c r="R175" s="38">
        <v>130</v>
      </c>
      <c r="S175" s="38">
        <v>466</v>
      </c>
      <c r="T175" s="38">
        <v>48</v>
      </c>
      <c r="U175" s="38">
        <f t="shared" si="135"/>
        <v>3585</v>
      </c>
      <c r="V175">
        <v>986</v>
      </c>
      <c r="W175">
        <v>102</v>
      </c>
      <c r="X175">
        <v>47</v>
      </c>
      <c r="Y175">
        <v>37</v>
      </c>
      <c r="Z175">
        <v>751</v>
      </c>
      <c r="AA175">
        <v>712</v>
      </c>
      <c r="AB175">
        <v>4.49</v>
      </c>
      <c r="AC175">
        <v>6</v>
      </c>
      <c r="AD175">
        <v>7</v>
      </c>
      <c r="AE175">
        <v>39</v>
      </c>
      <c r="AF175" s="45">
        <f t="shared" ca="1" si="122"/>
        <v>6382</v>
      </c>
      <c r="AG175" s="45">
        <f t="shared" ca="1" si="136"/>
        <v>1460</v>
      </c>
      <c r="AH175" s="45">
        <f t="shared" ca="1" si="137"/>
        <v>939</v>
      </c>
      <c r="AI175" s="45">
        <f t="shared" ca="1" si="138"/>
        <v>310</v>
      </c>
      <c r="AJ175" s="45">
        <f t="shared" ca="1" si="139"/>
        <v>49</v>
      </c>
      <c r="AK175" s="45">
        <f t="shared" ca="1" si="140"/>
        <v>162</v>
      </c>
      <c r="AL175" s="45">
        <f t="shared" ca="1" si="141"/>
        <v>551</v>
      </c>
      <c r="AM175" s="45">
        <f t="shared" ca="1" si="142"/>
        <v>36</v>
      </c>
      <c r="AN175" s="45">
        <f t="shared" ca="1" si="143"/>
        <v>4335</v>
      </c>
      <c r="AO175">
        <v>4283</v>
      </c>
      <c r="AP175">
        <v>1483</v>
      </c>
      <c r="AQ175">
        <v>179</v>
      </c>
      <c r="AR175">
        <v>496</v>
      </c>
      <c r="AS175">
        <v>892</v>
      </c>
      <c r="AT175">
        <v>86</v>
      </c>
      <c r="AU175">
        <v>144</v>
      </c>
      <c r="AV175">
        <v>0.98599999999999999</v>
      </c>
      <c r="AW175" s="1"/>
      <c r="AX175" s="1"/>
      <c r="AY175" s="47">
        <f t="shared" si="144"/>
        <v>29700</v>
      </c>
      <c r="AZ175" s="49">
        <f t="shared" si="145"/>
        <v>166335</v>
      </c>
      <c r="BA175" s="49">
        <f t="shared" ref="BA175" si="186">SUMIF($B$2:$B$571,$B175,$T$2:$T$571)</f>
        <v>1797</v>
      </c>
      <c r="BB175" s="48">
        <f t="shared" si="147"/>
        <v>1.0803498962936243E-2</v>
      </c>
    </row>
    <row r="176" spans="1:54" x14ac:dyDescent="0.2">
      <c r="B176" s="3">
        <v>2005</v>
      </c>
      <c r="C176" t="s">
        <v>88</v>
      </c>
      <c r="D176" t="s">
        <v>89</v>
      </c>
      <c r="E176">
        <v>3</v>
      </c>
      <c r="F176" t="s">
        <v>38</v>
      </c>
      <c r="G176" t="s">
        <v>38</v>
      </c>
      <c r="H176" t="s">
        <v>38</v>
      </c>
      <c r="I176" t="s">
        <v>38</v>
      </c>
      <c r="J176">
        <v>75</v>
      </c>
      <c r="K176">
        <v>87</v>
      </c>
      <c r="L176">
        <v>649</v>
      </c>
      <c r="M176" s="38">
        <v>5462</v>
      </c>
      <c r="N176" s="38">
        <v>1427</v>
      </c>
      <c r="O176" s="38">
        <f t="shared" si="134"/>
        <v>974</v>
      </c>
      <c r="P176" s="38">
        <v>299</v>
      </c>
      <c r="Q176" s="38">
        <v>26</v>
      </c>
      <c r="R176" s="38">
        <v>128</v>
      </c>
      <c r="S176" s="38">
        <v>431</v>
      </c>
      <c r="T176" s="38">
        <v>49</v>
      </c>
      <c r="U176" s="38">
        <f t="shared" si="135"/>
        <v>3555</v>
      </c>
      <c r="V176">
        <v>901</v>
      </c>
      <c r="W176">
        <v>71</v>
      </c>
      <c r="X176">
        <v>35</v>
      </c>
      <c r="Y176">
        <v>44</v>
      </c>
      <c r="Z176">
        <v>745</v>
      </c>
      <c r="AA176">
        <v>695</v>
      </c>
      <c r="AB176">
        <v>4.33</v>
      </c>
      <c r="AC176">
        <v>4</v>
      </c>
      <c r="AD176">
        <v>8</v>
      </c>
      <c r="AE176">
        <v>46</v>
      </c>
      <c r="AF176" s="45">
        <f t="shared" ca="1" si="122"/>
        <v>6397</v>
      </c>
      <c r="AG176" s="45">
        <f t="shared" ca="1" si="136"/>
        <v>1441</v>
      </c>
      <c r="AH176" s="45">
        <f t="shared" ca="1" si="137"/>
        <v>866</v>
      </c>
      <c r="AI176" s="45">
        <f t="shared" ca="1" si="138"/>
        <v>329</v>
      </c>
      <c r="AJ176" s="45">
        <f t="shared" ca="1" si="139"/>
        <v>21</v>
      </c>
      <c r="AK176" s="45">
        <f t="shared" ca="1" si="140"/>
        <v>225</v>
      </c>
      <c r="AL176" s="45">
        <f t="shared" ca="1" si="141"/>
        <v>495</v>
      </c>
      <c r="AM176" s="45">
        <f t="shared" ca="1" si="142"/>
        <v>88</v>
      </c>
      <c r="AN176" s="45">
        <f t="shared" ca="1" si="143"/>
        <v>4373</v>
      </c>
      <c r="AO176">
        <v>4333</v>
      </c>
      <c r="AP176">
        <v>1456</v>
      </c>
      <c r="AQ176">
        <v>151</v>
      </c>
      <c r="AR176">
        <v>592</v>
      </c>
      <c r="AS176">
        <v>972</v>
      </c>
      <c r="AT176">
        <v>90</v>
      </c>
      <c r="AU176">
        <v>146</v>
      </c>
      <c r="AV176">
        <v>0.98499999999999999</v>
      </c>
      <c r="AW176" s="1"/>
      <c r="AX176" s="1"/>
      <c r="AY176" s="47">
        <f t="shared" si="144"/>
        <v>29700</v>
      </c>
      <c r="AZ176" s="49">
        <f t="shared" si="145"/>
        <v>166335</v>
      </c>
      <c r="BA176" s="49">
        <f t="shared" ref="BA176" si="187">SUMIF($B$2:$B$571,$B176,$U$2:$U$571)</f>
        <v>105340</v>
      </c>
      <c r="BB176" s="48">
        <f t="shared" si="147"/>
        <v>0.63330026753238944</v>
      </c>
    </row>
    <row r="177" spans="1:54" x14ac:dyDescent="0.2">
      <c r="B177" s="3">
        <v>2005</v>
      </c>
      <c r="C177" t="s">
        <v>90</v>
      </c>
      <c r="D177" t="s">
        <v>91</v>
      </c>
      <c r="E177">
        <v>1</v>
      </c>
      <c r="F177" t="s">
        <v>43</v>
      </c>
      <c r="G177" t="s">
        <v>38</v>
      </c>
      <c r="H177" t="s">
        <v>38</v>
      </c>
      <c r="I177" t="s">
        <v>38</v>
      </c>
      <c r="J177">
        <v>100</v>
      </c>
      <c r="K177">
        <v>62</v>
      </c>
      <c r="L177">
        <v>805</v>
      </c>
      <c r="M177" s="38">
        <v>5538</v>
      </c>
      <c r="N177" s="38">
        <v>1494</v>
      </c>
      <c r="O177" s="38">
        <f t="shared" si="134"/>
        <v>1011</v>
      </c>
      <c r="P177" s="38">
        <v>287</v>
      </c>
      <c r="Q177" s="38">
        <v>26</v>
      </c>
      <c r="R177" s="38">
        <v>170</v>
      </c>
      <c r="S177" s="38">
        <v>534</v>
      </c>
      <c r="T177" s="38">
        <v>62</v>
      </c>
      <c r="U177" s="38">
        <f t="shared" si="135"/>
        <v>3448</v>
      </c>
      <c r="V177">
        <v>947</v>
      </c>
      <c r="W177">
        <v>83</v>
      </c>
      <c r="X177">
        <v>36</v>
      </c>
      <c r="Y177">
        <v>35</v>
      </c>
      <c r="Z177">
        <v>634</v>
      </c>
      <c r="AA177">
        <v>560</v>
      </c>
      <c r="AB177">
        <v>3.49</v>
      </c>
      <c r="AC177">
        <v>15</v>
      </c>
      <c r="AD177">
        <v>14</v>
      </c>
      <c r="AE177">
        <v>48</v>
      </c>
      <c r="AF177" s="45">
        <f t="shared" ca="1" si="122"/>
        <v>6417</v>
      </c>
      <c r="AG177" s="45">
        <f t="shared" ca="1" si="136"/>
        <v>1348</v>
      </c>
      <c r="AH177" s="45">
        <f t="shared" ca="1" si="137"/>
        <v>904</v>
      </c>
      <c r="AI177" s="45">
        <f t="shared" ca="1" si="138"/>
        <v>224</v>
      </c>
      <c r="AJ177" s="45">
        <f t="shared" ca="1" si="139"/>
        <v>26</v>
      </c>
      <c r="AK177" s="45">
        <f t="shared" ca="1" si="140"/>
        <v>194</v>
      </c>
      <c r="AL177" s="45">
        <f t="shared" ca="1" si="141"/>
        <v>628</v>
      </c>
      <c r="AM177" s="45">
        <f t="shared" ca="1" si="142"/>
        <v>79</v>
      </c>
      <c r="AN177" s="45">
        <f t="shared" ca="1" si="143"/>
        <v>4362</v>
      </c>
      <c r="AO177">
        <v>4337</v>
      </c>
      <c r="AP177">
        <v>1399</v>
      </c>
      <c r="AQ177">
        <v>153</v>
      </c>
      <c r="AR177">
        <v>443</v>
      </c>
      <c r="AS177">
        <v>974</v>
      </c>
      <c r="AT177">
        <v>100</v>
      </c>
      <c r="AU177">
        <v>196</v>
      </c>
      <c r="AV177">
        <v>0.98399999999999999</v>
      </c>
      <c r="AW177" s="1"/>
      <c r="AX177" s="1"/>
      <c r="AY177" s="47">
        <f t="shared" si="144"/>
        <v>29700</v>
      </c>
      <c r="AZ177" s="49">
        <f t="shared" si="145"/>
        <v>166335</v>
      </c>
      <c r="BA177" s="49"/>
      <c r="BB177" s="48">
        <f t="shared" si="147"/>
        <v>0</v>
      </c>
    </row>
    <row r="178" spans="1:54" x14ac:dyDescent="0.2">
      <c r="B178" s="3">
        <v>2005</v>
      </c>
      <c r="C178" t="s">
        <v>92</v>
      </c>
      <c r="D178" t="s">
        <v>93</v>
      </c>
      <c r="E178">
        <v>5</v>
      </c>
      <c r="F178" t="s">
        <v>38</v>
      </c>
      <c r="G178" t="s">
        <v>38</v>
      </c>
      <c r="H178" t="s">
        <v>38</v>
      </c>
      <c r="I178" t="s">
        <v>38</v>
      </c>
      <c r="J178">
        <v>67</v>
      </c>
      <c r="K178">
        <v>95</v>
      </c>
      <c r="L178">
        <v>750</v>
      </c>
      <c r="M178" s="38">
        <v>5552</v>
      </c>
      <c r="N178" s="38">
        <v>1519</v>
      </c>
      <c r="O178" s="38">
        <f t="shared" si="134"/>
        <v>1033</v>
      </c>
      <c r="P178" s="38">
        <v>289</v>
      </c>
      <c r="Q178" s="38">
        <v>40</v>
      </c>
      <c r="R178" s="38">
        <v>157</v>
      </c>
      <c r="S178" s="38">
        <v>412</v>
      </c>
      <c r="T178" s="38">
        <v>69</v>
      </c>
      <c r="U178" s="38">
        <f t="shared" si="135"/>
        <v>3552</v>
      </c>
      <c r="V178">
        <v>990</v>
      </c>
      <c r="W178">
        <v>151</v>
      </c>
      <c r="X178">
        <v>49</v>
      </c>
      <c r="Y178">
        <v>51</v>
      </c>
      <c r="Z178">
        <v>936</v>
      </c>
      <c r="AA178">
        <v>851</v>
      </c>
      <c r="AB178">
        <v>5.39</v>
      </c>
      <c r="AC178">
        <v>1</v>
      </c>
      <c r="AD178">
        <v>4</v>
      </c>
      <c r="AE178">
        <v>43</v>
      </c>
      <c r="AF178" s="45">
        <f t="shared" ca="1" si="122"/>
        <v>6436</v>
      </c>
      <c r="AG178" s="45">
        <f t="shared" ca="1" si="136"/>
        <v>1368</v>
      </c>
      <c r="AH178" s="45">
        <f t="shared" ca="1" si="137"/>
        <v>850</v>
      </c>
      <c r="AI178" s="45">
        <f t="shared" ca="1" si="138"/>
        <v>319</v>
      </c>
      <c r="AJ178" s="45">
        <f t="shared" ca="1" si="139"/>
        <v>43</v>
      </c>
      <c r="AK178" s="45">
        <f t="shared" ca="1" si="140"/>
        <v>156</v>
      </c>
      <c r="AL178" s="45">
        <f t="shared" ca="1" si="141"/>
        <v>617</v>
      </c>
      <c r="AM178" s="45">
        <f t="shared" ca="1" si="142"/>
        <v>82</v>
      </c>
      <c r="AN178" s="45">
        <f t="shared" ca="1" si="143"/>
        <v>4369</v>
      </c>
      <c r="AO178">
        <v>4265</v>
      </c>
      <c r="AP178">
        <v>1570</v>
      </c>
      <c r="AQ178">
        <v>194</v>
      </c>
      <c r="AR178">
        <v>615</v>
      </c>
      <c r="AS178">
        <v>949</v>
      </c>
      <c r="AT178">
        <v>124</v>
      </c>
      <c r="AU178">
        <v>139</v>
      </c>
      <c r="AV178">
        <v>0.97899999999999998</v>
      </c>
      <c r="AW178" s="1"/>
      <c r="AX178" s="1"/>
      <c r="AY178" s="47">
        <f t="shared" si="144"/>
        <v>29700</v>
      </c>
      <c r="AZ178" s="49">
        <f t="shared" si="145"/>
        <v>166335</v>
      </c>
      <c r="BA178" s="49">
        <f t="shared" ref="BA178" si="188">SUMIF($B$2:$B$571,$B178,$O$2:$O$571)</f>
        <v>29223</v>
      </c>
      <c r="BB178" s="48">
        <f t="shared" si="147"/>
        <v>0.17568761836053748</v>
      </c>
    </row>
    <row r="179" spans="1:54" x14ac:dyDescent="0.2">
      <c r="B179" s="3">
        <v>2005</v>
      </c>
      <c r="C179" t="s">
        <v>94</v>
      </c>
      <c r="D179" t="s">
        <v>95</v>
      </c>
      <c r="E179">
        <v>3</v>
      </c>
      <c r="F179" t="s">
        <v>38</v>
      </c>
      <c r="G179" t="s">
        <v>38</v>
      </c>
      <c r="H179" t="s">
        <v>38</v>
      </c>
      <c r="I179" t="s">
        <v>38</v>
      </c>
      <c r="J179">
        <v>79</v>
      </c>
      <c r="K179">
        <v>83</v>
      </c>
      <c r="L179">
        <v>865</v>
      </c>
      <c r="M179" s="38">
        <v>5716</v>
      </c>
      <c r="N179" s="38">
        <v>1528</v>
      </c>
      <c r="O179" s="38">
        <f t="shared" si="134"/>
        <v>928</v>
      </c>
      <c r="P179" s="38">
        <v>311</v>
      </c>
      <c r="Q179" s="38">
        <v>29</v>
      </c>
      <c r="R179" s="38">
        <v>260</v>
      </c>
      <c r="S179" s="38">
        <v>495</v>
      </c>
      <c r="T179" s="38">
        <v>48</v>
      </c>
      <c r="U179" s="38">
        <f t="shared" si="135"/>
        <v>3645</v>
      </c>
      <c r="V179">
        <v>1112</v>
      </c>
      <c r="W179">
        <v>67</v>
      </c>
      <c r="X179">
        <v>15</v>
      </c>
      <c r="Y179">
        <v>32</v>
      </c>
      <c r="Z179">
        <v>858</v>
      </c>
      <c r="AA179">
        <v>794</v>
      </c>
      <c r="AB179">
        <v>4.96</v>
      </c>
      <c r="AC179">
        <v>2</v>
      </c>
      <c r="AD179">
        <v>6</v>
      </c>
      <c r="AE179">
        <v>46</v>
      </c>
      <c r="AF179" s="45">
        <f t="shared" ca="1" si="122"/>
        <v>6241</v>
      </c>
      <c r="AG179" s="45">
        <f t="shared" ca="1" si="136"/>
        <v>1694</v>
      </c>
      <c r="AH179" s="45">
        <f t="shared" ca="1" si="137"/>
        <v>1220</v>
      </c>
      <c r="AI179" s="45">
        <f t="shared" ca="1" si="138"/>
        <v>286</v>
      </c>
      <c r="AJ179" s="45">
        <f t="shared" ca="1" si="139"/>
        <v>50</v>
      </c>
      <c r="AK179" s="45">
        <f t="shared" ca="1" si="140"/>
        <v>138</v>
      </c>
      <c r="AL179" s="45">
        <f t="shared" ca="1" si="141"/>
        <v>583</v>
      </c>
      <c r="AM179" s="45">
        <f t="shared" ca="1" si="142"/>
        <v>69</v>
      </c>
      <c r="AN179" s="45">
        <f t="shared" ca="1" si="143"/>
        <v>3895</v>
      </c>
      <c r="AO179">
        <v>4320</v>
      </c>
      <c r="AP179">
        <v>1589</v>
      </c>
      <c r="AQ179">
        <v>159</v>
      </c>
      <c r="AR179">
        <v>522</v>
      </c>
      <c r="AS179">
        <v>932</v>
      </c>
      <c r="AT179">
        <v>108</v>
      </c>
      <c r="AU179">
        <v>149</v>
      </c>
      <c r="AV179">
        <v>0.98199999999999998</v>
      </c>
      <c r="AW179" s="1"/>
      <c r="AX179" s="1"/>
      <c r="AY179" s="47">
        <f t="shared" si="144"/>
        <v>29700</v>
      </c>
      <c r="AZ179" s="49">
        <f t="shared" si="145"/>
        <v>166335</v>
      </c>
      <c r="BA179" s="49">
        <f t="shared" ref="BA179" si="189">SUMIF($B$2:$B$571,$B179,$P$2:$P$571)</f>
        <v>8863</v>
      </c>
      <c r="BB179" s="48">
        <f t="shared" si="147"/>
        <v>5.3284035230107912E-2</v>
      </c>
    </row>
    <row r="180" spans="1:54" x14ac:dyDescent="0.2">
      <c r="B180" s="3">
        <v>2005</v>
      </c>
      <c r="C180" t="s">
        <v>96</v>
      </c>
      <c r="D180" t="s">
        <v>97</v>
      </c>
      <c r="E180">
        <v>3</v>
      </c>
      <c r="F180" t="s">
        <v>38</v>
      </c>
      <c r="G180" t="s">
        <v>38</v>
      </c>
      <c r="H180" t="s">
        <v>38</v>
      </c>
      <c r="I180" t="s">
        <v>38</v>
      </c>
      <c r="J180">
        <v>80</v>
      </c>
      <c r="K180">
        <v>82</v>
      </c>
      <c r="L180">
        <v>775</v>
      </c>
      <c r="M180" s="38">
        <v>5581</v>
      </c>
      <c r="N180" s="38">
        <v>1480</v>
      </c>
      <c r="O180" s="38">
        <f t="shared" si="134"/>
        <v>998</v>
      </c>
      <c r="P180" s="38">
        <v>307</v>
      </c>
      <c r="Q180" s="38">
        <v>39</v>
      </c>
      <c r="R180" s="38">
        <v>136</v>
      </c>
      <c r="S180" s="38">
        <v>486</v>
      </c>
      <c r="T180" s="38">
        <v>89</v>
      </c>
      <c r="U180" s="38">
        <f t="shared" si="135"/>
        <v>3526</v>
      </c>
      <c r="V180">
        <v>955</v>
      </c>
      <c r="W180">
        <v>72</v>
      </c>
      <c r="X180">
        <v>35</v>
      </c>
      <c r="Y180">
        <v>56</v>
      </c>
      <c r="Z180">
        <v>705</v>
      </c>
      <c r="AA180">
        <v>653</v>
      </c>
      <c r="AB180">
        <v>4.0599999999999996</v>
      </c>
      <c r="AC180">
        <v>9</v>
      </c>
      <c r="AD180">
        <v>8</v>
      </c>
      <c r="AE180">
        <v>35</v>
      </c>
      <c r="AF180" s="45">
        <f t="shared" ca="1" si="122"/>
        <v>6407</v>
      </c>
      <c r="AG180" s="45">
        <f t="shared" ca="1" si="136"/>
        <v>1541</v>
      </c>
      <c r="AH180" s="45">
        <f t="shared" ca="1" si="137"/>
        <v>927</v>
      </c>
      <c r="AI180" s="45">
        <f t="shared" ca="1" si="138"/>
        <v>325</v>
      </c>
      <c r="AJ180" s="45">
        <f t="shared" ca="1" si="139"/>
        <v>50</v>
      </c>
      <c r="AK180" s="45">
        <f t="shared" ca="1" si="140"/>
        <v>239</v>
      </c>
      <c r="AL180" s="45">
        <f t="shared" ca="1" si="141"/>
        <v>593</v>
      </c>
      <c r="AM180" s="45">
        <f t="shared" ca="1" si="142"/>
        <v>90</v>
      </c>
      <c r="AN180" s="45">
        <f t="shared" ca="1" si="143"/>
        <v>4183</v>
      </c>
      <c r="AO180">
        <v>4341</v>
      </c>
      <c r="AP180">
        <v>1475</v>
      </c>
      <c r="AQ180">
        <v>185</v>
      </c>
      <c r="AR180">
        <v>444</v>
      </c>
      <c r="AS180">
        <v>958</v>
      </c>
      <c r="AT180">
        <v>95</v>
      </c>
      <c r="AU180">
        <v>154</v>
      </c>
      <c r="AV180">
        <v>0.98499999999999999</v>
      </c>
      <c r="AW180" s="1"/>
      <c r="AX180" s="1"/>
      <c r="AY180" s="47">
        <f t="shared" si="144"/>
        <v>29700</v>
      </c>
      <c r="AZ180" s="49">
        <f t="shared" si="145"/>
        <v>166335</v>
      </c>
      <c r="BA180" s="49">
        <f t="shared" ref="BA180" si="190">SUMIF($B$2:$B$571,$B180,$Q$2:$Q$571)</f>
        <v>888</v>
      </c>
      <c r="BB180" s="48">
        <f t="shared" si="147"/>
        <v>5.3386238614843541E-3</v>
      </c>
    </row>
    <row r="181" spans="1:54" x14ac:dyDescent="0.2">
      <c r="A181">
        <v>32</v>
      </c>
      <c r="B181" s="3">
        <v>2005</v>
      </c>
      <c r="C181" t="s">
        <v>100</v>
      </c>
      <c r="D181" t="s">
        <v>101</v>
      </c>
      <c r="E181">
        <v>5</v>
      </c>
      <c r="F181" t="s">
        <v>38</v>
      </c>
      <c r="G181" t="s">
        <v>38</v>
      </c>
      <c r="H181" t="s">
        <v>38</v>
      </c>
      <c r="I181" t="s">
        <v>38</v>
      </c>
      <c r="J181">
        <v>81</v>
      </c>
      <c r="K181">
        <v>81</v>
      </c>
      <c r="L181">
        <v>639</v>
      </c>
      <c r="M181" s="38">
        <v>5426</v>
      </c>
      <c r="N181" s="38">
        <v>1367</v>
      </c>
      <c r="O181" s="38">
        <f t="shared" si="134"/>
        <v>907</v>
      </c>
      <c r="P181" s="38">
        <v>311</v>
      </c>
      <c r="Q181" s="38">
        <v>32</v>
      </c>
      <c r="R181" s="38">
        <v>117</v>
      </c>
      <c r="S181" s="38">
        <v>491</v>
      </c>
      <c r="T181" s="38">
        <v>89</v>
      </c>
      <c r="U181" s="38">
        <f t="shared" si="135"/>
        <v>3479</v>
      </c>
      <c r="V181">
        <v>1090</v>
      </c>
      <c r="W181">
        <v>45</v>
      </c>
      <c r="X181">
        <v>45</v>
      </c>
      <c r="Y181">
        <v>45</v>
      </c>
      <c r="Z181">
        <v>673</v>
      </c>
      <c r="AA181">
        <v>627</v>
      </c>
      <c r="AB181">
        <v>3.87</v>
      </c>
      <c r="AC181">
        <v>4</v>
      </c>
      <c r="AD181">
        <v>9</v>
      </c>
      <c r="AE181">
        <v>51</v>
      </c>
      <c r="AF181" s="45">
        <f t="shared" ca="1" si="122"/>
        <v>6326</v>
      </c>
      <c r="AG181" s="45">
        <f t="shared" ca="1" si="136"/>
        <v>1488</v>
      </c>
      <c r="AH181" s="45">
        <f t="shared" ca="1" si="137"/>
        <v>1054</v>
      </c>
      <c r="AI181" s="45">
        <f t="shared" ca="1" si="138"/>
        <v>262</v>
      </c>
      <c r="AJ181" s="45">
        <f t="shared" ca="1" si="139"/>
        <v>34</v>
      </c>
      <c r="AK181" s="45">
        <f t="shared" ca="1" si="140"/>
        <v>138</v>
      </c>
      <c r="AL181" s="45">
        <f t="shared" ca="1" si="141"/>
        <v>627</v>
      </c>
      <c r="AM181" s="45">
        <f t="shared" ca="1" si="142"/>
        <v>30</v>
      </c>
      <c r="AN181" s="45">
        <f t="shared" ca="1" si="143"/>
        <v>4181</v>
      </c>
      <c r="AO181">
        <v>4374</v>
      </c>
      <c r="AP181">
        <v>1456</v>
      </c>
      <c r="AQ181">
        <v>140</v>
      </c>
      <c r="AR181">
        <v>539</v>
      </c>
      <c r="AS181">
        <v>997</v>
      </c>
      <c r="AT181">
        <v>92</v>
      </c>
      <c r="AU181">
        <v>156</v>
      </c>
      <c r="AV181">
        <v>0.98499999999999999</v>
      </c>
      <c r="AW181" s="1"/>
      <c r="AX181" s="1"/>
      <c r="AY181" s="47">
        <f t="shared" si="144"/>
        <v>29700</v>
      </c>
      <c r="AZ181" s="49">
        <f t="shared" si="145"/>
        <v>166335</v>
      </c>
      <c r="BA181" s="49">
        <f t="shared" ref="BA181" si="191">SUMIF($B$2:$B$571,$B181,$R$2:$R$571)</f>
        <v>5017</v>
      </c>
      <c r="BB181" s="48">
        <f t="shared" si="147"/>
        <v>3.0162022424625005E-2</v>
      </c>
    </row>
    <row r="182" spans="1:54" x14ac:dyDescent="0.2">
      <c r="B182" s="3">
        <v>2006</v>
      </c>
      <c r="C182" t="s">
        <v>39</v>
      </c>
      <c r="D182" t="s">
        <v>40</v>
      </c>
      <c r="E182">
        <v>4</v>
      </c>
      <c r="F182" t="s">
        <v>38</v>
      </c>
      <c r="G182" t="s">
        <v>38</v>
      </c>
      <c r="H182" t="s">
        <v>38</v>
      </c>
      <c r="I182" t="s">
        <v>38</v>
      </c>
      <c r="J182">
        <v>76</v>
      </c>
      <c r="K182">
        <v>86</v>
      </c>
      <c r="L182">
        <v>773</v>
      </c>
      <c r="M182" s="38">
        <v>5645</v>
      </c>
      <c r="N182" s="38">
        <v>1506</v>
      </c>
      <c r="O182" s="38">
        <f t="shared" si="134"/>
        <v>977</v>
      </c>
      <c r="P182" s="38">
        <v>331</v>
      </c>
      <c r="Q182" s="38">
        <v>38</v>
      </c>
      <c r="R182" s="38">
        <v>160</v>
      </c>
      <c r="S182" s="38">
        <v>504</v>
      </c>
      <c r="T182" s="38">
        <v>67</v>
      </c>
      <c r="U182" s="38">
        <f t="shared" si="135"/>
        <v>3568</v>
      </c>
      <c r="V182">
        <v>965</v>
      </c>
      <c r="W182">
        <v>76</v>
      </c>
      <c r="X182">
        <v>30</v>
      </c>
      <c r="Y182">
        <v>53</v>
      </c>
      <c r="Z182">
        <v>788</v>
      </c>
      <c r="AA182">
        <v>727</v>
      </c>
      <c r="AB182">
        <v>4.4800000000000004</v>
      </c>
      <c r="AC182">
        <v>8</v>
      </c>
      <c r="AD182">
        <v>9</v>
      </c>
      <c r="AE182">
        <v>34</v>
      </c>
      <c r="AF182" s="45">
        <f t="shared" ref="AF182:AF245" ca="1" si="192">RANDBETWEEN(6049,6490)</f>
        <v>6478</v>
      </c>
      <c r="AG182" s="45">
        <f t="shared" ca="1" si="136"/>
        <v>1536</v>
      </c>
      <c r="AH182" s="45">
        <f t="shared" ca="1" si="137"/>
        <v>1056</v>
      </c>
      <c r="AI182" s="45">
        <f t="shared" ca="1" si="138"/>
        <v>279</v>
      </c>
      <c r="AJ182" s="45">
        <f t="shared" ca="1" si="139"/>
        <v>28</v>
      </c>
      <c r="AK182" s="45">
        <f t="shared" ca="1" si="140"/>
        <v>173</v>
      </c>
      <c r="AL182" s="45">
        <f t="shared" ca="1" si="141"/>
        <v>422</v>
      </c>
      <c r="AM182" s="45">
        <f t="shared" ca="1" si="142"/>
        <v>63</v>
      </c>
      <c r="AN182" s="45">
        <f t="shared" ca="1" si="143"/>
        <v>4457</v>
      </c>
      <c r="AO182">
        <v>4379</v>
      </c>
      <c r="AP182">
        <v>1503</v>
      </c>
      <c r="AQ182">
        <v>168</v>
      </c>
      <c r="AR182">
        <v>536</v>
      </c>
      <c r="AS182">
        <v>1115</v>
      </c>
      <c r="AT182">
        <v>104</v>
      </c>
      <c r="AU182">
        <v>172</v>
      </c>
      <c r="AV182">
        <v>0.98299999999999998</v>
      </c>
      <c r="AW182" s="1"/>
      <c r="AX182" s="1"/>
      <c r="AY182" s="47">
        <f t="shared" si="144"/>
        <v>29700</v>
      </c>
      <c r="AZ182" s="49">
        <f t="shared" si="145"/>
        <v>167341</v>
      </c>
      <c r="BA182" s="49">
        <f t="shared" ref="BA182" si="193">SUMIF($B$2:$B$571,$B182,$S$2:$S$571)</f>
        <v>15847</v>
      </c>
      <c r="BB182" s="48">
        <f t="shared" si="147"/>
        <v>9.4698848459134344E-2</v>
      </c>
    </row>
    <row r="183" spans="1:54" x14ac:dyDescent="0.2">
      <c r="B183" s="3">
        <v>2006</v>
      </c>
      <c r="C183" t="s">
        <v>41</v>
      </c>
      <c r="D183" t="s">
        <v>42</v>
      </c>
      <c r="E183">
        <v>3</v>
      </c>
      <c r="F183" t="s">
        <v>38</v>
      </c>
      <c r="G183" t="s">
        <v>38</v>
      </c>
      <c r="H183" t="s">
        <v>38</v>
      </c>
      <c r="I183" t="s">
        <v>38</v>
      </c>
      <c r="J183">
        <v>79</v>
      </c>
      <c r="K183">
        <v>83</v>
      </c>
      <c r="L183">
        <v>849</v>
      </c>
      <c r="M183" s="38">
        <v>5583</v>
      </c>
      <c r="N183" s="38">
        <v>1510</v>
      </c>
      <c r="O183" s="38">
        <f t="shared" si="134"/>
        <v>950</v>
      </c>
      <c r="P183" s="38">
        <v>312</v>
      </c>
      <c r="Q183" s="38">
        <v>26</v>
      </c>
      <c r="R183" s="38">
        <v>222</v>
      </c>
      <c r="S183" s="38">
        <v>526</v>
      </c>
      <c r="T183" s="38">
        <v>52</v>
      </c>
      <c r="U183" s="38">
        <f t="shared" si="135"/>
        <v>3495</v>
      </c>
      <c r="V183">
        <v>1169</v>
      </c>
      <c r="W183">
        <v>52</v>
      </c>
      <c r="X183">
        <v>35</v>
      </c>
      <c r="Y183">
        <v>44</v>
      </c>
      <c r="Z183">
        <v>805</v>
      </c>
      <c r="AA183">
        <v>736</v>
      </c>
      <c r="AB183">
        <v>4.5999999999999996</v>
      </c>
      <c r="AC183">
        <v>6</v>
      </c>
      <c r="AD183">
        <v>6</v>
      </c>
      <c r="AE183">
        <v>38</v>
      </c>
      <c r="AF183" s="45">
        <f t="shared" ca="1" si="192"/>
        <v>6067</v>
      </c>
      <c r="AG183" s="45">
        <f t="shared" ca="1" si="136"/>
        <v>1305</v>
      </c>
      <c r="AH183" s="45">
        <f t="shared" ca="1" si="137"/>
        <v>792</v>
      </c>
      <c r="AI183" s="45">
        <f t="shared" ca="1" si="138"/>
        <v>246</v>
      </c>
      <c r="AJ183" s="45">
        <f t="shared" ca="1" si="139"/>
        <v>50</v>
      </c>
      <c r="AK183" s="45">
        <f t="shared" ca="1" si="140"/>
        <v>217</v>
      </c>
      <c r="AL183" s="45">
        <f t="shared" ca="1" si="141"/>
        <v>631</v>
      </c>
      <c r="AM183" s="45">
        <f t="shared" ca="1" si="142"/>
        <v>37</v>
      </c>
      <c r="AN183" s="45">
        <f t="shared" ca="1" si="143"/>
        <v>4094</v>
      </c>
      <c r="AO183">
        <v>4324</v>
      </c>
      <c r="AP183">
        <v>1529</v>
      </c>
      <c r="AQ183">
        <v>183</v>
      </c>
      <c r="AR183">
        <v>572</v>
      </c>
      <c r="AS183">
        <v>1049</v>
      </c>
      <c r="AT183">
        <v>99</v>
      </c>
      <c r="AU183">
        <v>146</v>
      </c>
      <c r="AV183">
        <v>0.98399999999999999</v>
      </c>
      <c r="AW183" s="1"/>
      <c r="AX183" s="1"/>
      <c r="AY183" s="47">
        <f t="shared" si="144"/>
        <v>29700</v>
      </c>
      <c r="AZ183" s="49">
        <f t="shared" si="145"/>
        <v>167341</v>
      </c>
      <c r="BA183" s="49">
        <f t="shared" ref="BA183" si="194">SUMIF($B$2:$B$571,$B183,$T$2:$T$571)</f>
        <v>1817</v>
      </c>
      <c r="BB183" s="48">
        <f t="shared" si="147"/>
        <v>1.0858068255836883E-2</v>
      </c>
    </row>
    <row r="184" spans="1:54" x14ac:dyDescent="0.2">
      <c r="B184" s="3">
        <v>2006</v>
      </c>
      <c r="C184" t="s">
        <v>44</v>
      </c>
      <c r="D184" t="s">
        <v>45</v>
      </c>
      <c r="E184">
        <v>4</v>
      </c>
      <c r="F184" t="s">
        <v>38</v>
      </c>
      <c r="G184" t="s">
        <v>38</v>
      </c>
      <c r="H184" t="s">
        <v>38</v>
      </c>
      <c r="I184" t="s">
        <v>38</v>
      </c>
      <c r="J184">
        <v>70</v>
      </c>
      <c r="K184">
        <v>92</v>
      </c>
      <c r="L184">
        <v>768</v>
      </c>
      <c r="M184" s="38">
        <v>5610</v>
      </c>
      <c r="N184" s="38">
        <v>1556</v>
      </c>
      <c r="O184" s="38">
        <f t="shared" si="134"/>
        <v>1084</v>
      </c>
      <c r="P184" s="38">
        <v>288</v>
      </c>
      <c r="Q184" s="38">
        <v>20</v>
      </c>
      <c r="R184" s="38">
        <v>164</v>
      </c>
      <c r="S184" s="38">
        <v>474</v>
      </c>
      <c r="T184" s="38">
        <v>73</v>
      </c>
      <c r="U184" s="38">
        <f t="shared" si="135"/>
        <v>3507</v>
      </c>
      <c r="V184">
        <v>878</v>
      </c>
      <c r="W184">
        <v>121</v>
      </c>
      <c r="X184">
        <v>32</v>
      </c>
      <c r="Y184">
        <v>41</v>
      </c>
      <c r="Z184">
        <v>899</v>
      </c>
      <c r="AA184">
        <v>843</v>
      </c>
      <c r="AB184">
        <v>5.35</v>
      </c>
      <c r="AC184">
        <v>5</v>
      </c>
      <c r="AD184">
        <v>9</v>
      </c>
      <c r="AE184">
        <v>35</v>
      </c>
      <c r="AF184" s="45">
        <f t="shared" ca="1" si="192"/>
        <v>6278</v>
      </c>
      <c r="AG184" s="45">
        <f t="shared" ca="1" si="136"/>
        <v>1325</v>
      </c>
      <c r="AH184" s="45">
        <f t="shared" ca="1" si="137"/>
        <v>804</v>
      </c>
      <c r="AI184" s="45">
        <f t="shared" ca="1" si="138"/>
        <v>330</v>
      </c>
      <c r="AJ184" s="45">
        <f t="shared" ca="1" si="139"/>
        <v>20</v>
      </c>
      <c r="AK184" s="45">
        <f t="shared" ca="1" si="140"/>
        <v>171</v>
      </c>
      <c r="AL184" s="45">
        <f t="shared" ca="1" si="141"/>
        <v>616</v>
      </c>
      <c r="AM184" s="45">
        <f t="shared" ca="1" si="142"/>
        <v>41</v>
      </c>
      <c r="AN184" s="45">
        <f t="shared" ca="1" si="143"/>
        <v>4296</v>
      </c>
      <c r="AO184">
        <v>4257</v>
      </c>
      <c r="AP184">
        <v>1579</v>
      </c>
      <c r="AQ184">
        <v>216</v>
      </c>
      <c r="AR184">
        <v>613</v>
      </c>
      <c r="AS184">
        <v>1016</v>
      </c>
      <c r="AT184">
        <v>102</v>
      </c>
      <c r="AU184">
        <v>156</v>
      </c>
      <c r="AV184">
        <v>0.98299999999999998</v>
      </c>
      <c r="AW184" s="1"/>
      <c r="AX184" s="1"/>
      <c r="AY184" s="47">
        <f t="shared" si="144"/>
        <v>29700</v>
      </c>
      <c r="AZ184" s="49">
        <f t="shared" si="145"/>
        <v>167341</v>
      </c>
      <c r="BA184" s="49">
        <f t="shared" ref="BA184" si="195">SUMIF($B$2:$B$571,$B184,$U$2:$U$571)</f>
        <v>104604</v>
      </c>
      <c r="BB184" s="48">
        <f t="shared" si="147"/>
        <v>0.62509486617147025</v>
      </c>
    </row>
    <row r="185" spans="1:54" x14ac:dyDescent="0.2">
      <c r="B185" s="3">
        <v>2006</v>
      </c>
      <c r="C185" t="s">
        <v>46</v>
      </c>
      <c r="D185" t="s">
        <v>47</v>
      </c>
      <c r="E185">
        <v>3</v>
      </c>
      <c r="F185" t="s">
        <v>38</v>
      </c>
      <c r="G185" t="s">
        <v>38</v>
      </c>
      <c r="H185" t="s">
        <v>38</v>
      </c>
      <c r="I185" t="s">
        <v>38</v>
      </c>
      <c r="J185">
        <v>86</v>
      </c>
      <c r="K185">
        <v>76</v>
      </c>
      <c r="L185">
        <v>820</v>
      </c>
      <c r="M185" s="38">
        <v>5619</v>
      </c>
      <c r="N185" s="38">
        <v>1510</v>
      </c>
      <c r="O185" s="38">
        <f t="shared" si="134"/>
        <v>975</v>
      </c>
      <c r="P185" s="38">
        <v>327</v>
      </c>
      <c r="Q185" s="38">
        <v>16</v>
      </c>
      <c r="R185" s="38">
        <v>192</v>
      </c>
      <c r="S185" s="38">
        <v>672</v>
      </c>
      <c r="T185" s="38">
        <v>66</v>
      </c>
      <c r="U185" s="38">
        <f t="shared" si="135"/>
        <v>3371</v>
      </c>
      <c r="V185">
        <v>1056</v>
      </c>
      <c r="W185">
        <v>51</v>
      </c>
      <c r="X185">
        <v>23</v>
      </c>
      <c r="Y185">
        <v>56</v>
      </c>
      <c r="Z185">
        <v>825</v>
      </c>
      <c r="AA185">
        <v>773</v>
      </c>
      <c r="AB185">
        <v>4.83</v>
      </c>
      <c r="AC185">
        <v>3</v>
      </c>
      <c r="AD185">
        <v>6</v>
      </c>
      <c r="AE185">
        <v>46</v>
      </c>
      <c r="AF185" s="45">
        <f t="shared" ca="1" si="192"/>
        <v>6296</v>
      </c>
      <c r="AG185" s="45">
        <f t="shared" ca="1" si="136"/>
        <v>1307</v>
      </c>
      <c r="AH185" s="45">
        <f t="shared" ca="1" si="137"/>
        <v>753</v>
      </c>
      <c r="AI185" s="45">
        <f t="shared" ca="1" si="138"/>
        <v>357</v>
      </c>
      <c r="AJ185" s="45">
        <f t="shared" ca="1" si="139"/>
        <v>41</v>
      </c>
      <c r="AK185" s="45">
        <f t="shared" ca="1" si="140"/>
        <v>156</v>
      </c>
      <c r="AL185" s="45">
        <f t="shared" ca="1" si="141"/>
        <v>619</v>
      </c>
      <c r="AM185" s="45">
        <f t="shared" ca="1" si="142"/>
        <v>48</v>
      </c>
      <c r="AN185" s="45">
        <f t="shared" ca="1" si="143"/>
        <v>4322</v>
      </c>
      <c r="AO185">
        <v>4324</v>
      </c>
      <c r="AP185">
        <v>1570</v>
      </c>
      <c r="AQ185">
        <v>181</v>
      </c>
      <c r="AR185">
        <v>509</v>
      </c>
      <c r="AS185">
        <v>1070</v>
      </c>
      <c r="AT185">
        <v>66</v>
      </c>
      <c r="AU185">
        <v>174</v>
      </c>
      <c r="AV185">
        <v>0.98899999999999999</v>
      </c>
      <c r="AW185" s="1"/>
      <c r="AX185" s="1"/>
      <c r="AY185" s="47">
        <f t="shared" si="144"/>
        <v>29700</v>
      </c>
      <c r="AZ185" s="49">
        <f t="shared" si="145"/>
        <v>167341</v>
      </c>
      <c r="BA185" s="49"/>
      <c r="BB185" s="48">
        <f t="shared" si="147"/>
        <v>0</v>
      </c>
    </row>
    <row r="186" spans="1:54" x14ac:dyDescent="0.2">
      <c r="B186" s="3">
        <v>2006</v>
      </c>
      <c r="C186" t="s">
        <v>48</v>
      </c>
      <c r="D186" t="s">
        <v>49</v>
      </c>
      <c r="E186">
        <v>3</v>
      </c>
      <c r="F186" t="s">
        <v>38</v>
      </c>
      <c r="G186" t="s">
        <v>38</v>
      </c>
      <c r="H186" t="s">
        <v>38</v>
      </c>
      <c r="I186" t="s">
        <v>38</v>
      </c>
      <c r="J186">
        <v>90</v>
      </c>
      <c r="K186">
        <v>72</v>
      </c>
      <c r="L186">
        <v>868</v>
      </c>
      <c r="M186" s="38">
        <v>5657</v>
      </c>
      <c r="N186" s="38">
        <v>1586</v>
      </c>
      <c r="O186" s="38">
        <f t="shared" si="134"/>
        <v>1039</v>
      </c>
      <c r="P186" s="38">
        <v>291</v>
      </c>
      <c r="Q186" s="38">
        <v>20</v>
      </c>
      <c r="R186" s="38">
        <v>236</v>
      </c>
      <c r="S186" s="38">
        <v>502</v>
      </c>
      <c r="T186" s="38">
        <v>58</v>
      </c>
      <c r="U186" s="38">
        <f t="shared" si="135"/>
        <v>3511</v>
      </c>
      <c r="V186">
        <v>1056</v>
      </c>
      <c r="W186">
        <v>93</v>
      </c>
      <c r="X186">
        <v>48</v>
      </c>
      <c r="Y186">
        <v>57</v>
      </c>
      <c r="Z186">
        <v>794</v>
      </c>
      <c r="AA186">
        <v>743</v>
      </c>
      <c r="AB186">
        <v>4.6100000000000003</v>
      </c>
      <c r="AC186">
        <v>5</v>
      </c>
      <c r="AD186">
        <v>11</v>
      </c>
      <c r="AE186">
        <v>46</v>
      </c>
      <c r="AF186" s="45">
        <f t="shared" ca="1" si="192"/>
        <v>6160</v>
      </c>
      <c r="AG186" s="45">
        <f t="shared" ca="1" si="136"/>
        <v>1549</v>
      </c>
      <c r="AH186" s="45">
        <f t="shared" ca="1" si="137"/>
        <v>1097</v>
      </c>
      <c r="AI186" s="45">
        <f t="shared" ca="1" si="138"/>
        <v>255</v>
      </c>
      <c r="AJ186" s="45">
        <f t="shared" ca="1" si="139"/>
        <v>21</v>
      </c>
      <c r="AK186" s="45">
        <f t="shared" ca="1" si="140"/>
        <v>176</v>
      </c>
      <c r="AL186" s="45">
        <f t="shared" ca="1" si="141"/>
        <v>639</v>
      </c>
      <c r="AM186" s="45">
        <f t="shared" ca="1" si="142"/>
        <v>48</v>
      </c>
      <c r="AN186" s="45">
        <f t="shared" ca="1" si="143"/>
        <v>3924</v>
      </c>
      <c r="AO186">
        <v>4347</v>
      </c>
      <c r="AP186">
        <v>1534</v>
      </c>
      <c r="AQ186">
        <v>200</v>
      </c>
      <c r="AR186">
        <v>433</v>
      </c>
      <c r="AS186">
        <v>1012</v>
      </c>
      <c r="AT186">
        <v>90</v>
      </c>
      <c r="AU186">
        <v>145</v>
      </c>
      <c r="AV186">
        <v>0.98499999999999999</v>
      </c>
      <c r="AW186" s="1"/>
      <c r="AX186" s="1"/>
      <c r="AY186" s="47">
        <f t="shared" si="144"/>
        <v>29700</v>
      </c>
      <c r="AZ186" s="49">
        <f t="shared" si="145"/>
        <v>167341</v>
      </c>
      <c r="BA186" s="49">
        <f t="shared" ref="BA186" si="196">SUMIF($B$2:$B$571,$B186,$O$2:$O$571)</f>
        <v>29600</v>
      </c>
      <c r="BB186" s="48">
        <f t="shared" si="147"/>
        <v>0.17688432601693549</v>
      </c>
    </row>
    <row r="187" spans="1:54" x14ac:dyDescent="0.2">
      <c r="B187" s="3">
        <v>2006</v>
      </c>
      <c r="C187" t="s">
        <v>50</v>
      </c>
      <c r="D187" t="s">
        <v>51</v>
      </c>
      <c r="E187">
        <v>6</v>
      </c>
      <c r="F187" t="s">
        <v>38</v>
      </c>
      <c r="G187" t="s">
        <v>38</v>
      </c>
      <c r="H187" t="s">
        <v>38</v>
      </c>
      <c r="I187" t="s">
        <v>38</v>
      </c>
      <c r="J187">
        <v>66</v>
      </c>
      <c r="K187">
        <v>96</v>
      </c>
      <c r="L187">
        <v>716</v>
      </c>
      <c r="M187" s="38">
        <v>5587</v>
      </c>
      <c r="N187" s="38">
        <v>1496</v>
      </c>
      <c r="O187" s="38">
        <f t="shared" si="134"/>
        <v>1013</v>
      </c>
      <c r="P187" s="38">
        <v>271</v>
      </c>
      <c r="Q187" s="38">
        <v>46</v>
      </c>
      <c r="R187" s="38">
        <v>166</v>
      </c>
      <c r="S187" s="38">
        <v>395</v>
      </c>
      <c r="T187" s="38">
        <v>43</v>
      </c>
      <c r="U187" s="38">
        <f t="shared" si="135"/>
        <v>3653</v>
      </c>
      <c r="V187">
        <v>928</v>
      </c>
      <c r="W187">
        <v>121</v>
      </c>
      <c r="X187">
        <v>49</v>
      </c>
      <c r="Y187">
        <v>37</v>
      </c>
      <c r="Z187">
        <v>834</v>
      </c>
      <c r="AA187">
        <v>758</v>
      </c>
      <c r="AB187">
        <v>4.74</v>
      </c>
      <c r="AC187">
        <v>2</v>
      </c>
      <c r="AD187">
        <v>7</v>
      </c>
      <c r="AE187">
        <v>29</v>
      </c>
      <c r="AF187" s="45">
        <f t="shared" ca="1" si="192"/>
        <v>6136</v>
      </c>
      <c r="AG187" s="45">
        <f t="shared" ca="1" si="136"/>
        <v>1647</v>
      </c>
      <c r="AH187" s="45">
        <f t="shared" ca="1" si="137"/>
        <v>1080</v>
      </c>
      <c r="AI187" s="45">
        <f t="shared" ca="1" si="138"/>
        <v>389</v>
      </c>
      <c r="AJ187" s="45">
        <f t="shared" ca="1" si="139"/>
        <v>22</v>
      </c>
      <c r="AK187" s="45">
        <f t="shared" ca="1" si="140"/>
        <v>156</v>
      </c>
      <c r="AL187" s="45">
        <f t="shared" ca="1" si="141"/>
        <v>494</v>
      </c>
      <c r="AM187" s="45">
        <f t="shared" ca="1" si="142"/>
        <v>78</v>
      </c>
      <c r="AN187" s="45">
        <f t="shared" ca="1" si="143"/>
        <v>3917</v>
      </c>
      <c r="AO187">
        <v>4317</v>
      </c>
      <c r="AP187">
        <v>1396</v>
      </c>
      <c r="AQ187">
        <v>210</v>
      </c>
      <c r="AR187">
        <v>687</v>
      </c>
      <c r="AS187">
        <v>1250</v>
      </c>
      <c r="AT187">
        <v>106</v>
      </c>
      <c r="AU187">
        <v>122</v>
      </c>
      <c r="AV187">
        <v>0.98199999999999998</v>
      </c>
      <c r="AW187" s="1"/>
      <c r="AX187" s="1"/>
      <c r="AY187" s="47">
        <f t="shared" si="144"/>
        <v>29700</v>
      </c>
      <c r="AZ187" s="49">
        <f t="shared" si="145"/>
        <v>167341</v>
      </c>
      <c r="BA187" s="49">
        <f t="shared" ref="BA187" si="197">SUMIF($B$2:$B$571,$B187,$P$2:$P$571)</f>
        <v>9135</v>
      </c>
      <c r="BB187" s="48">
        <f t="shared" si="147"/>
        <v>5.4589132370429241E-2</v>
      </c>
    </row>
    <row r="188" spans="1:54" x14ac:dyDescent="0.2">
      <c r="B188" s="3">
        <v>2006</v>
      </c>
      <c r="C188" t="s">
        <v>52</v>
      </c>
      <c r="D188" t="s">
        <v>53</v>
      </c>
      <c r="E188">
        <v>3</v>
      </c>
      <c r="F188" t="s">
        <v>38</v>
      </c>
      <c r="G188" t="s">
        <v>38</v>
      </c>
      <c r="H188" t="s">
        <v>38</v>
      </c>
      <c r="I188" t="s">
        <v>38</v>
      </c>
      <c r="J188">
        <v>80</v>
      </c>
      <c r="K188">
        <v>82</v>
      </c>
      <c r="L188">
        <v>749</v>
      </c>
      <c r="M188" s="38">
        <v>5515</v>
      </c>
      <c r="N188" s="38">
        <v>1419</v>
      </c>
      <c r="O188" s="38">
        <f t="shared" si="134"/>
        <v>899</v>
      </c>
      <c r="P188" s="38">
        <v>291</v>
      </c>
      <c r="Q188" s="38">
        <v>12</v>
      </c>
      <c r="R188" s="38">
        <v>217</v>
      </c>
      <c r="S188" s="38">
        <v>614</v>
      </c>
      <c r="T188" s="38">
        <v>59</v>
      </c>
      <c r="U188" s="38">
        <f t="shared" si="135"/>
        <v>3423</v>
      </c>
      <c r="V188">
        <v>1192</v>
      </c>
      <c r="W188">
        <v>124</v>
      </c>
      <c r="X188">
        <v>33</v>
      </c>
      <c r="Y188">
        <v>38</v>
      </c>
      <c r="Z188">
        <v>801</v>
      </c>
      <c r="AA188">
        <v>725</v>
      </c>
      <c r="AB188">
        <v>4.51</v>
      </c>
      <c r="AC188">
        <v>9</v>
      </c>
      <c r="AD188">
        <v>10</v>
      </c>
      <c r="AE188">
        <v>36</v>
      </c>
      <c r="AF188" s="45">
        <f t="shared" ca="1" si="192"/>
        <v>6148</v>
      </c>
      <c r="AG188" s="45">
        <f t="shared" ca="1" si="136"/>
        <v>1390</v>
      </c>
      <c r="AH188" s="45">
        <f t="shared" ca="1" si="137"/>
        <v>823</v>
      </c>
      <c r="AI188" s="45">
        <f t="shared" ca="1" si="138"/>
        <v>354</v>
      </c>
      <c r="AJ188" s="45">
        <f t="shared" ca="1" si="139"/>
        <v>44</v>
      </c>
      <c r="AK188" s="45">
        <f t="shared" ca="1" si="140"/>
        <v>169</v>
      </c>
      <c r="AL188" s="45">
        <f t="shared" ca="1" si="141"/>
        <v>569</v>
      </c>
      <c r="AM188" s="45">
        <f t="shared" ca="1" si="142"/>
        <v>38</v>
      </c>
      <c r="AN188" s="45">
        <f t="shared" ca="1" si="143"/>
        <v>4151</v>
      </c>
      <c r="AO188">
        <v>4337</v>
      </c>
      <c r="AP188">
        <v>1576</v>
      </c>
      <c r="AQ188">
        <v>213</v>
      </c>
      <c r="AR188">
        <v>464</v>
      </c>
      <c r="AS188">
        <v>1053</v>
      </c>
      <c r="AT188">
        <v>128</v>
      </c>
      <c r="AU188">
        <v>139</v>
      </c>
      <c r="AV188">
        <v>0.97899999999999998</v>
      </c>
      <c r="AW188" s="1"/>
      <c r="AX188" s="1"/>
      <c r="AY188" s="47">
        <f t="shared" si="144"/>
        <v>29700</v>
      </c>
      <c r="AZ188" s="49">
        <f t="shared" si="145"/>
        <v>167341</v>
      </c>
      <c r="BA188" s="49">
        <f t="shared" ref="BA188" si="198">SUMIF($B$2:$B$571,$B188,$Q$2:$Q$571)</f>
        <v>952</v>
      </c>
      <c r="BB188" s="48">
        <f t="shared" si="147"/>
        <v>5.6889823773014388E-3</v>
      </c>
    </row>
    <row r="189" spans="1:54" x14ac:dyDescent="0.2">
      <c r="B189" s="3">
        <v>2006</v>
      </c>
      <c r="C189" t="s">
        <v>54</v>
      </c>
      <c r="D189" t="s">
        <v>55</v>
      </c>
      <c r="E189">
        <v>4</v>
      </c>
      <c r="F189" t="s">
        <v>38</v>
      </c>
      <c r="G189" t="s">
        <v>38</v>
      </c>
      <c r="H189" t="s">
        <v>38</v>
      </c>
      <c r="I189" t="s">
        <v>38</v>
      </c>
      <c r="J189">
        <v>78</v>
      </c>
      <c r="K189">
        <v>84</v>
      </c>
      <c r="L189">
        <v>870</v>
      </c>
      <c r="M189" s="38">
        <v>5619</v>
      </c>
      <c r="N189" s="38">
        <v>1576</v>
      </c>
      <c r="O189" s="38">
        <f t="shared" si="134"/>
        <v>1002</v>
      </c>
      <c r="P189" s="38">
        <v>351</v>
      </c>
      <c r="Q189" s="38">
        <v>27</v>
      </c>
      <c r="R189" s="38">
        <v>196</v>
      </c>
      <c r="S189" s="38">
        <v>556</v>
      </c>
      <c r="T189" s="38">
        <v>54</v>
      </c>
      <c r="U189" s="38">
        <f t="shared" si="135"/>
        <v>3433</v>
      </c>
      <c r="V189">
        <v>1204</v>
      </c>
      <c r="W189">
        <v>55</v>
      </c>
      <c r="X189">
        <v>23</v>
      </c>
      <c r="Y189">
        <v>43</v>
      </c>
      <c r="Z189">
        <v>782</v>
      </c>
      <c r="AA189">
        <v>698</v>
      </c>
      <c r="AB189">
        <v>4.41</v>
      </c>
      <c r="AC189">
        <v>13</v>
      </c>
      <c r="AD189">
        <v>13</v>
      </c>
      <c r="AE189">
        <v>24</v>
      </c>
      <c r="AF189" s="45">
        <f t="shared" ca="1" si="192"/>
        <v>6438</v>
      </c>
      <c r="AG189" s="45">
        <f t="shared" ca="1" si="136"/>
        <v>1544</v>
      </c>
      <c r="AH189" s="45">
        <f t="shared" ca="1" si="137"/>
        <v>1006</v>
      </c>
      <c r="AI189" s="45">
        <f t="shared" ca="1" si="138"/>
        <v>291</v>
      </c>
      <c r="AJ189" s="45">
        <f t="shared" ca="1" si="139"/>
        <v>22</v>
      </c>
      <c r="AK189" s="45">
        <f t="shared" ca="1" si="140"/>
        <v>225</v>
      </c>
      <c r="AL189" s="45">
        <f t="shared" ca="1" si="141"/>
        <v>699</v>
      </c>
      <c r="AM189" s="45">
        <f t="shared" ca="1" si="142"/>
        <v>84</v>
      </c>
      <c r="AN189" s="45">
        <f t="shared" ca="1" si="143"/>
        <v>4111</v>
      </c>
      <c r="AO189">
        <v>4270</v>
      </c>
      <c r="AP189">
        <v>1583</v>
      </c>
      <c r="AQ189">
        <v>166</v>
      </c>
      <c r="AR189">
        <v>429</v>
      </c>
      <c r="AS189">
        <v>948</v>
      </c>
      <c r="AT189">
        <v>118</v>
      </c>
      <c r="AU189">
        <v>165</v>
      </c>
      <c r="AV189">
        <v>0.98099999999999998</v>
      </c>
      <c r="AW189" s="1"/>
      <c r="AX189" s="1"/>
      <c r="AY189" s="47">
        <f t="shared" si="144"/>
        <v>29700</v>
      </c>
      <c r="AZ189" s="49">
        <f t="shared" si="145"/>
        <v>167341</v>
      </c>
      <c r="BA189" s="49">
        <f t="shared" ref="BA189" si="199">SUMIF($B$2:$B$571,$B189,$R$2:$R$571)</f>
        <v>5386</v>
      </c>
      <c r="BB189" s="48">
        <f t="shared" si="147"/>
        <v>3.218577634889238E-2</v>
      </c>
    </row>
    <row r="190" spans="1:54" x14ac:dyDescent="0.2">
      <c r="B190" s="3">
        <v>2006</v>
      </c>
      <c r="C190" t="s">
        <v>56</v>
      </c>
      <c r="D190" t="s">
        <v>57</v>
      </c>
      <c r="E190">
        <v>4</v>
      </c>
      <c r="F190" t="s">
        <v>38</v>
      </c>
      <c r="G190" t="s">
        <v>38</v>
      </c>
      <c r="H190" t="s">
        <v>38</v>
      </c>
      <c r="I190" t="s">
        <v>38</v>
      </c>
      <c r="J190">
        <v>76</v>
      </c>
      <c r="K190">
        <v>86</v>
      </c>
      <c r="L190">
        <v>813</v>
      </c>
      <c r="M190" s="38">
        <v>5562</v>
      </c>
      <c r="N190" s="38">
        <v>1504</v>
      </c>
      <c r="O190" s="38">
        <f t="shared" si="134"/>
        <v>968</v>
      </c>
      <c r="P190" s="38">
        <v>325</v>
      </c>
      <c r="Q190" s="38">
        <v>54</v>
      </c>
      <c r="R190" s="38">
        <v>157</v>
      </c>
      <c r="S190" s="38">
        <v>561</v>
      </c>
      <c r="T190" s="38">
        <v>60</v>
      </c>
      <c r="U190" s="38">
        <f t="shared" si="135"/>
        <v>3437</v>
      </c>
      <c r="V190">
        <v>1108</v>
      </c>
      <c r="W190">
        <v>85</v>
      </c>
      <c r="X190">
        <v>50</v>
      </c>
      <c r="Y190">
        <v>45</v>
      </c>
      <c r="Z190">
        <v>812</v>
      </c>
      <c r="AA190">
        <v>749</v>
      </c>
      <c r="AB190">
        <v>4.66</v>
      </c>
      <c r="AC190">
        <v>5</v>
      </c>
      <c r="AD190">
        <v>8</v>
      </c>
      <c r="AE190">
        <v>34</v>
      </c>
      <c r="AF190" s="45">
        <f t="shared" ca="1" si="192"/>
        <v>6074</v>
      </c>
      <c r="AG190" s="45">
        <f t="shared" ca="1" si="136"/>
        <v>1555</v>
      </c>
      <c r="AH190" s="45">
        <f t="shared" ca="1" si="137"/>
        <v>1111</v>
      </c>
      <c r="AI190" s="45">
        <f t="shared" ca="1" si="138"/>
        <v>266</v>
      </c>
      <c r="AJ190" s="45">
        <f t="shared" ca="1" si="139"/>
        <v>47</v>
      </c>
      <c r="AK190" s="45">
        <f t="shared" ca="1" si="140"/>
        <v>131</v>
      </c>
      <c r="AL190" s="45">
        <f t="shared" ca="1" si="141"/>
        <v>552</v>
      </c>
      <c r="AM190" s="45">
        <f t="shared" ca="1" si="142"/>
        <v>58</v>
      </c>
      <c r="AN190" s="45">
        <f t="shared" ca="1" si="143"/>
        <v>3909</v>
      </c>
      <c r="AO190">
        <v>4342</v>
      </c>
      <c r="AP190">
        <v>1549</v>
      </c>
      <c r="AQ190">
        <v>155</v>
      </c>
      <c r="AR190">
        <v>553</v>
      </c>
      <c r="AS190">
        <v>952</v>
      </c>
      <c r="AT190">
        <v>91</v>
      </c>
      <c r="AU190">
        <v>190</v>
      </c>
      <c r="AV190">
        <v>0.98499999999999999</v>
      </c>
      <c r="AW190" s="1"/>
      <c r="AX190" s="1"/>
      <c r="AY190" s="47">
        <f t="shared" si="144"/>
        <v>29700</v>
      </c>
      <c r="AZ190" s="49">
        <f t="shared" si="145"/>
        <v>167341</v>
      </c>
      <c r="BA190" s="49">
        <f t="shared" ref="BA190" si="200">SUMIF($B$2:$B$571,$B190,$S$2:$S$571)</f>
        <v>15847</v>
      </c>
      <c r="BB190" s="48">
        <f t="shared" si="147"/>
        <v>9.4698848459134344E-2</v>
      </c>
    </row>
    <row r="191" spans="1:54" x14ac:dyDescent="0.2">
      <c r="B191" s="3">
        <v>2006</v>
      </c>
      <c r="C191" t="s">
        <v>58</v>
      </c>
      <c r="D191" t="s">
        <v>59</v>
      </c>
      <c r="E191">
        <v>2</v>
      </c>
      <c r="F191" t="s">
        <v>38</v>
      </c>
      <c r="G191" t="s">
        <v>43</v>
      </c>
      <c r="H191" t="s">
        <v>43</v>
      </c>
      <c r="I191" t="s">
        <v>38</v>
      </c>
      <c r="J191">
        <v>95</v>
      </c>
      <c r="K191">
        <v>67</v>
      </c>
      <c r="L191">
        <v>822</v>
      </c>
      <c r="M191" s="38">
        <v>5642</v>
      </c>
      <c r="N191" s="38">
        <v>1548</v>
      </c>
      <c r="O191" s="38">
        <f t="shared" si="134"/>
        <v>1011</v>
      </c>
      <c r="P191" s="38">
        <v>294</v>
      </c>
      <c r="Q191" s="38">
        <v>40</v>
      </c>
      <c r="R191" s="38">
        <v>203</v>
      </c>
      <c r="S191" s="38">
        <v>430</v>
      </c>
      <c r="T191" s="38">
        <v>45</v>
      </c>
      <c r="U191" s="38">
        <f t="shared" si="135"/>
        <v>3619</v>
      </c>
      <c r="V191">
        <v>1133</v>
      </c>
      <c r="W191">
        <v>60</v>
      </c>
      <c r="X191">
        <v>40</v>
      </c>
      <c r="Y191">
        <v>36</v>
      </c>
      <c r="Z191">
        <v>675</v>
      </c>
      <c r="AA191">
        <v>618</v>
      </c>
      <c r="AB191">
        <v>3.84</v>
      </c>
      <c r="AC191">
        <v>3</v>
      </c>
      <c r="AD191">
        <v>16</v>
      </c>
      <c r="AE191">
        <v>46</v>
      </c>
      <c r="AF191" s="45">
        <f t="shared" ca="1" si="192"/>
        <v>6441</v>
      </c>
      <c r="AG191" s="45">
        <f t="shared" ca="1" si="136"/>
        <v>1307</v>
      </c>
      <c r="AH191" s="45">
        <f t="shared" ca="1" si="137"/>
        <v>817</v>
      </c>
      <c r="AI191" s="45">
        <f t="shared" ca="1" si="138"/>
        <v>275</v>
      </c>
      <c r="AJ191" s="45">
        <f t="shared" ca="1" si="139"/>
        <v>28</v>
      </c>
      <c r="AK191" s="45">
        <f t="shared" ca="1" si="140"/>
        <v>187</v>
      </c>
      <c r="AL191" s="45">
        <f t="shared" ca="1" si="141"/>
        <v>684</v>
      </c>
      <c r="AM191" s="45">
        <f t="shared" ca="1" si="142"/>
        <v>87</v>
      </c>
      <c r="AN191" s="45">
        <f t="shared" ca="1" si="143"/>
        <v>4363</v>
      </c>
      <c r="AO191">
        <v>4344</v>
      </c>
      <c r="AP191">
        <v>1420</v>
      </c>
      <c r="AQ191">
        <v>160</v>
      </c>
      <c r="AR191">
        <v>489</v>
      </c>
      <c r="AS191">
        <v>1003</v>
      </c>
      <c r="AT191">
        <v>106</v>
      </c>
      <c r="AU191">
        <v>162</v>
      </c>
      <c r="AV191">
        <v>0.98299999999999998</v>
      </c>
      <c r="AW191" s="1"/>
      <c r="AX191" s="1"/>
      <c r="AY191" s="47">
        <f t="shared" si="144"/>
        <v>29700</v>
      </c>
      <c r="AZ191" s="49">
        <f t="shared" si="145"/>
        <v>167341</v>
      </c>
      <c r="BA191" s="49">
        <f t="shared" ref="BA191" si="201">SUMIF($B$2:$B$571,$B191,$T$2:$T$571)</f>
        <v>1817</v>
      </c>
      <c r="BB191" s="48">
        <f t="shared" si="147"/>
        <v>1.0858068255836883E-2</v>
      </c>
    </row>
    <row r="192" spans="1:54" x14ac:dyDescent="0.2">
      <c r="B192" s="3">
        <v>2006</v>
      </c>
      <c r="C192" t="s">
        <v>60</v>
      </c>
      <c r="D192" t="s">
        <v>61</v>
      </c>
      <c r="E192">
        <v>4</v>
      </c>
      <c r="F192" t="s">
        <v>38</v>
      </c>
      <c r="G192" t="s">
        <v>38</v>
      </c>
      <c r="H192" t="s">
        <v>38</v>
      </c>
      <c r="I192" t="s">
        <v>38</v>
      </c>
      <c r="J192">
        <v>78</v>
      </c>
      <c r="K192">
        <v>84</v>
      </c>
      <c r="L192">
        <v>758</v>
      </c>
      <c r="M192" s="38">
        <v>5502</v>
      </c>
      <c r="N192" s="38">
        <v>1454</v>
      </c>
      <c r="O192" s="38">
        <f t="shared" si="134"/>
        <v>921</v>
      </c>
      <c r="P192" s="38">
        <v>309</v>
      </c>
      <c r="Q192" s="38">
        <v>42</v>
      </c>
      <c r="R192" s="38">
        <v>182</v>
      </c>
      <c r="S192" s="38">
        <v>497</v>
      </c>
      <c r="T192" s="38">
        <v>74</v>
      </c>
      <c r="U192" s="38">
        <f t="shared" si="135"/>
        <v>3477</v>
      </c>
      <c r="V192">
        <v>1249</v>
      </c>
      <c r="W192">
        <v>110</v>
      </c>
      <c r="X192">
        <v>58</v>
      </c>
      <c r="Y192">
        <v>42</v>
      </c>
      <c r="Z192">
        <v>772</v>
      </c>
      <c r="AA192">
        <v>696</v>
      </c>
      <c r="AB192">
        <v>4.37</v>
      </c>
      <c r="AC192">
        <v>6</v>
      </c>
      <c r="AD192">
        <v>6</v>
      </c>
      <c r="AE192">
        <v>41</v>
      </c>
      <c r="AF192" s="45">
        <f t="shared" ca="1" si="192"/>
        <v>6146</v>
      </c>
      <c r="AG192" s="45">
        <f t="shared" ca="1" si="136"/>
        <v>1356</v>
      </c>
      <c r="AH192" s="45">
        <f t="shared" ca="1" si="137"/>
        <v>790</v>
      </c>
      <c r="AI192" s="45">
        <f t="shared" ca="1" si="138"/>
        <v>316</v>
      </c>
      <c r="AJ192" s="45">
        <f t="shared" ca="1" si="139"/>
        <v>37</v>
      </c>
      <c r="AK192" s="45">
        <f t="shared" ca="1" si="140"/>
        <v>213</v>
      </c>
      <c r="AL192" s="45">
        <f t="shared" ca="1" si="141"/>
        <v>662</v>
      </c>
      <c r="AM192" s="45">
        <f t="shared" ca="1" si="142"/>
        <v>50</v>
      </c>
      <c r="AN192" s="45">
        <f t="shared" ca="1" si="143"/>
        <v>4078</v>
      </c>
      <c r="AO192">
        <v>4300</v>
      </c>
      <c r="AP192">
        <v>1465</v>
      </c>
      <c r="AQ192">
        <v>166</v>
      </c>
      <c r="AR192">
        <v>622</v>
      </c>
      <c r="AS192">
        <v>1088</v>
      </c>
      <c r="AT192">
        <v>126</v>
      </c>
      <c r="AU192">
        <v>166</v>
      </c>
      <c r="AV192">
        <v>0.97899999999999998</v>
      </c>
      <c r="AW192" s="1"/>
      <c r="AX192" s="1"/>
      <c r="AY192" s="47">
        <f t="shared" si="144"/>
        <v>29700</v>
      </c>
      <c r="AZ192" s="49">
        <f t="shared" si="145"/>
        <v>167341</v>
      </c>
      <c r="BA192" s="49">
        <f t="shared" ref="BA192" si="202">SUMIF($B$2:$B$571,$B192,$U$2:$U$571)</f>
        <v>104604</v>
      </c>
      <c r="BB192" s="48">
        <f t="shared" si="147"/>
        <v>0.62509486617147025</v>
      </c>
    </row>
    <row r="193" spans="2:54" x14ac:dyDescent="0.2">
      <c r="B193" s="3">
        <v>2006</v>
      </c>
      <c r="C193" t="s">
        <v>62</v>
      </c>
      <c r="D193" t="s">
        <v>63</v>
      </c>
      <c r="E193">
        <v>2</v>
      </c>
      <c r="F193" t="s">
        <v>38</v>
      </c>
      <c r="G193" t="s">
        <v>38</v>
      </c>
      <c r="H193" t="s">
        <v>38</v>
      </c>
      <c r="I193" t="s">
        <v>38</v>
      </c>
      <c r="J193">
        <v>82</v>
      </c>
      <c r="K193">
        <v>80</v>
      </c>
      <c r="L193">
        <v>735</v>
      </c>
      <c r="M193" s="38">
        <v>5521</v>
      </c>
      <c r="N193" s="38">
        <v>1407</v>
      </c>
      <c r="O193" s="38">
        <f t="shared" si="134"/>
        <v>931</v>
      </c>
      <c r="P193" s="38">
        <v>275</v>
      </c>
      <c r="Q193" s="38">
        <v>27</v>
      </c>
      <c r="R193" s="38">
        <v>174</v>
      </c>
      <c r="S193" s="38">
        <v>585</v>
      </c>
      <c r="T193" s="38">
        <v>73</v>
      </c>
      <c r="U193" s="38">
        <f t="shared" si="135"/>
        <v>3456</v>
      </c>
      <c r="V193">
        <v>1076</v>
      </c>
      <c r="W193">
        <v>79</v>
      </c>
      <c r="X193">
        <v>36</v>
      </c>
      <c r="Y193">
        <v>46</v>
      </c>
      <c r="Z193">
        <v>719</v>
      </c>
      <c r="AA193">
        <v>666</v>
      </c>
      <c r="AB193">
        <v>4.08</v>
      </c>
      <c r="AC193">
        <v>5</v>
      </c>
      <c r="AD193">
        <v>12</v>
      </c>
      <c r="AE193">
        <v>42</v>
      </c>
      <c r="AF193" s="45">
        <f t="shared" ca="1" si="192"/>
        <v>6183</v>
      </c>
      <c r="AG193" s="45">
        <f t="shared" ca="1" si="136"/>
        <v>1468</v>
      </c>
      <c r="AH193" s="45">
        <f t="shared" ca="1" si="137"/>
        <v>1063</v>
      </c>
      <c r="AI193" s="45">
        <f t="shared" ca="1" si="138"/>
        <v>224</v>
      </c>
      <c r="AJ193" s="45">
        <f t="shared" ca="1" si="139"/>
        <v>41</v>
      </c>
      <c r="AK193" s="45">
        <f t="shared" ca="1" si="140"/>
        <v>140</v>
      </c>
      <c r="AL193" s="45">
        <f t="shared" ca="1" si="141"/>
        <v>507</v>
      </c>
      <c r="AM193" s="45">
        <f t="shared" ca="1" si="142"/>
        <v>89</v>
      </c>
      <c r="AN193" s="45">
        <f t="shared" ca="1" si="143"/>
        <v>4119</v>
      </c>
      <c r="AO193">
        <v>4406</v>
      </c>
      <c r="AP193">
        <v>1425</v>
      </c>
      <c r="AQ193">
        <v>182</v>
      </c>
      <c r="AR193">
        <v>480</v>
      </c>
      <c r="AS193">
        <v>1160</v>
      </c>
      <c r="AT193">
        <v>80</v>
      </c>
      <c r="AU193">
        <v>164</v>
      </c>
      <c r="AV193">
        <v>0.98699999999999999</v>
      </c>
      <c r="AW193" s="1"/>
      <c r="AX193" s="1"/>
      <c r="AY193" s="47">
        <f t="shared" si="144"/>
        <v>29700</v>
      </c>
      <c r="AZ193" s="49">
        <f t="shared" si="145"/>
        <v>167341</v>
      </c>
      <c r="BA193" s="49"/>
      <c r="BB193" s="48">
        <f t="shared" si="147"/>
        <v>0</v>
      </c>
    </row>
    <row r="194" spans="2:54" x14ac:dyDescent="0.2">
      <c r="B194" s="3">
        <v>2006</v>
      </c>
      <c r="C194" t="s">
        <v>64</v>
      </c>
      <c r="D194" t="s">
        <v>65</v>
      </c>
      <c r="E194">
        <v>5</v>
      </c>
      <c r="F194" t="s">
        <v>38</v>
      </c>
      <c r="G194" t="s">
        <v>38</v>
      </c>
      <c r="H194" t="s">
        <v>38</v>
      </c>
      <c r="I194" t="s">
        <v>38</v>
      </c>
      <c r="J194">
        <v>62</v>
      </c>
      <c r="K194">
        <v>100</v>
      </c>
      <c r="L194">
        <v>757</v>
      </c>
      <c r="M194" s="38">
        <v>5589</v>
      </c>
      <c r="N194" s="38">
        <v>1515</v>
      </c>
      <c r="O194" s="38">
        <f t="shared" si="134"/>
        <v>1019</v>
      </c>
      <c r="P194" s="38">
        <v>335</v>
      </c>
      <c r="Q194" s="38">
        <v>37</v>
      </c>
      <c r="R194" s="38">
        <v>124</v>
      </c>
      <c r="S194" s="38">
        <v>474</v>
      </c>
      <c r="T194" s="38">
        <v>64</v>
      </c>
      <c r="U194" s="38">
        <f t="shared" si="135"/>
        <v>3536</v>
      </c>
      <c r="V194">
        <v>1040</v>
      </c>
      <c r="W194">
        <v>65</v>
      </c>
      <c r="X194">
        <v>34</v>
      </c>
      <c r="Y194">
        <v>48</v>
      </c>
      <c r="Z194">
        <v>971</v>
      </c>
      <c r="AA194">
        <v>896</v>
      </c>
      <c r="AB194">
        <v>5.65</v>
      </c>
      <c r="AC194">
        <v>3</v>
      </c>
      <c r="AD194">
        <v>5</v>
      </c>
      <c r="AE194">
        <v>35</v>
      </c>
      <c r="AF194" s="45">
        <f t="shared" ca="1" si="192"/>
        <v>6339</v>
      </c>
      <c r="AG194" s="45">
        <f t="shared" ca="1" si="136"/>
        <v>1366</v>
      </c>
      <c r="AH194" s="45">
        <f t="shared" ca="1" si="137"/>
        <v>743</v>
      </c>
      <c r="AI194" s="45">
        <f t="shared" ca="1" si="138"/>
        <v>373</v>
      </c>
      <c r="AJ194" s="45">
        <f t="shared" ca="1" si="139"/>
        <v>37</v>
      </c>
      <c r="AK194" s="45">
        <f t="shared" ca="1" si="140"/>
        <v>213</v>
      </c>
      <c r="AL194" s="45">
        <f t="shared" ca="1" si="141"/>
        <v>540</v>
      </c>
      <c r="AM194" s="45">
        <f t="shared" ca="1" si="142"/>
        <v>48</v>
      </c>
      <c r="AN194" s="45">
        <f t="shared" ca="1" si="143"/>
        <v>4385</v>
      </c>
      <c r="AO194">
        <v>4279</v>
      </c>
      <c r="AP194">
        <v>1648</v>
      </c>
      <c r="AQ194">
        <v>213</v>
      </c>
      <c r="AR194">
        <v>637</v>
      </c>
      <c r="AS194">
        <v>904</v>
      </c>
      <c r="AT194">
        <v>98</v>
      </c>
      <c r="AU194">
        <v>189</v>
      </c>
      <c r="AV194">
        <v>0.98399999999999999</v>
      </c>
      <c r="AW194" s="1"/>
      <c r="AX194" s="1"/>
      <c r="AY194" s="47">
        <f t="shared" si="144"/>
        <v>29700</v>
      </c>
      <c r="AZ194" s="49">
        <f t="shared" si="145"/>
        <v>167341</v>
      </c>
      <c r="BA194" s="49">
        <f t="shared" ref="BA194" si="203">SUMIF($B$2:$B$571,$B194,$O$2:$O$571)</f>
        <v>29600</v>
      </c>
      <c r="BB194" s="48">
        <f t="shared" si="147"/>
        <v>0.17688432601693549</v>
      </c>
    </row>
    <row r="195" spans="2:54" x14ac:dyDescent="0.2">
      <c r="B195" s="3">
        <v>2006</v>
      </c>
      <c r="C195" t="s">
        <v>98</v>
      </c>
      <c r="D195" t="s">
        <v>99</v>
      </c>
      <c r="E195">
        <v>2</v>
      </c>
      <c r="F195" t="s">
        <v>38</v>
      </c>
      <c r="G195" t="s">
        <v>38</v>
      </c>
      <c r="H195" t="s">
        <v>38</v>
      </c>
      <c r="I195" t="s">
        <v>38</v>
      </c>
      <c r="J195">
        <v>89</v>
      </c>
      <c r="K195">
        <v>73</v>
      </c>
      <c r="L195">
        <v>766</v>
      </c>
      <c r="M195" s="38">
        <v>5609</v>
      </c>
      <c r="N195" s="38">
        <v>1539</v>
      </c>
      <c r="O195" s="38">
        <f t="shared" ref="O195:O258" si="204">N195-(P195+Q195+R195)</f>
        <v>1042</v>
      </c>
      <c r="P195" s="38">
        <v>309</v>
      </c>
      <c r="Q195" s="38">
        <v>29</v>
      </c>
      <c r="R195" s="38">
        <v>159</v>
      </c>
      <c r="S195" s="38">
        <v>486</v>
      </c>
      <c r="T195" s="38">
        <v>42</v>
      </c>
      <c r="U195" s="38">
        <f t="shared" ref="U195:U258" si="205">M195-(N195+S195+T195)</f>
        <v>3542</v>
      </c>
      <c r="V195">
        <v>914</v>
      </c>
      <c r="W195">
        <v>148</v>
      </c>
      <c r="X195">
        <v>57</v>
      </c>
      <c r="Y195">
        <v>53</v>
      </c>
      <c r="Z195">
        <v>732</v>
      </c>
      <c r="AA195">
        <v>652</v>
      </c>
      <c r="AB195">
        <v>4.04</v>
      </c>
      <c r="AC195">
        <v>5</v>
      </c>
      <c r="AD195">
        <v>12</v>
      </c>
      <c r="AE195">
        <v>50</v>
      </c>
      <c r="AF195" s="45">
        <f t="shared" ca="1" si="192"/>
        <v>6462</v>
      </c>
      <c r="AG195" s="45">
        <f t="shared" ref="AG195:AG258" ca="1" si="206">RANDBETWEEN(1300,1700)</f>
        <v>1512</v>
      </c>
      <c r="AH195" s="45">
        <f t="shared" ref="AH195:AH258" ca="1" si="207">AG195-(AI195+AJ195+AK195)</f>
        <v>1098</v>
      </c>
      <c r="AI195" s="45">
        <f t="shared" ref="AI195:AI258" ca="1" si="208">RANDBETWEEN(219,400)</f>
        <v>229</v>
      </c>
      <c r="AJ195" s="45">
        <f t="shared" ref="AJ195:AJ258" ca="1" si="209">RANDBETWEEN(20,50)</f>
        <v>42</v>
      </c>
      <c r="AK195" s="45">
        <f t="shared" ref="AK195:AK258" ca="1" si="210">RANDBETWEEN(130,240)</f>
        <v>143</v>
      </c>
      <c r="AL195" s="45">
        <f t="shared" ref="AL195:AL258" ca="1" si="211">RANDBETWEEN(400,700)</f>
        <v>680</v>
      </c>
      <c r="AM195" s="45">
        <f t="shared" ref="AM195:AM258" ca="1" si="212">RANDBETWEEN(30,90)</f>
        <v>33</v>
      </c>
      <c r="AN195" s="45">
        <f t="shared" ref="AN195:AN258" ca="1" si="213">AF195-(AG195+AL195+AM195)</f>
        <v>4237</v>
      </c>
      <c r="AO195">
        <v>4358</v>
      </c>
      <c r="AP195">
        <v>1410</v>
      </c>
      <c r="AQ195">
        <v>158</v>
      </c>
      <c r="AR195">
        <v>471</v>
      </c>
      <c r="AS195">
        <v>1164</v>
      </c>
      <c r="AT195">
        <v>124</v>
      </c>
      <c r="AU195">
        <v>154</v>
      </c>
      <c r="AV195">
        <v>0.97899999999999998</v>
      </c>
      <c r="AW195" s="1"/>
      <c r="AX195" s="1"/>
      <c r="AY195" s="47">
        <f t="shared" ref="AY195:AY258" si="214">SUM(O$2:O$31)</f>
        <v>29700</v>
      </c>
      <c r="AZ195" s="49">
        <f t="shared" ref="AZ195:AZ258" si="215">SUMIF($B$2:$B$571,$B195,$M$2:$M$571)</f>
        <v>167341</v>
      </c>
      <c r="BA195" s="49">
        <f t="shared" ref="BA195" si="216">SUMIF($B$2:$B$571,$B195,$P$2:$P$571)</f>
        <v>9135</v>
      </c>
      <c r="BB195" s="48">
        <f t="shared" ref="BB195:BB258" si="217">BA195/AZ195</f>
        <v>5.4589132370429241E-2</v>
      </c>
    </row>
    <row r="196" spans="2:54" x14ac:dyDescent="0.2">
      <c r="B196" s="3">
        <v>2006</v>
      </c>
      <c r="C196" t="s">
        <v>66</v>
      </c>
      <c r="D196" t="s">
        <v>67</v>
      </c>
      <c r="E196">
        <v>2</v>
      </c>
      <c r="F196" t="s">
        <v>38</v>
      </c>
      <c r="G196" t="s">
        <v>43</v>
      </c>
      <c r="H196" t="s">
        <v>38</v>
      </c>
      <c r="I196" t="s">
        <v>38</v>
      </c>
      <c r="J196">
        <v>88</v>
      </c>
      <c r="K196">
        <v>74</v>
      </c>
      <c r="L196">
        <v>820</v>
      </c>
      <c r="M196" s="38">
        <v>5628</v>
      </c>
      <c r="N196" s="38">
        <v>1552</v>
      </c>
      <c r="O196" s="38">
        <f t="shared" si="204"/>
        <v>1034</v>
      </c>
      <c r="P196" s="38">
        <v>307</v>
      </c>
      <c r="Q196" s="38">
        <v>58</v>
      </c>
      <c r="R196" s="38">
        <v>153</v>
      </c>
      <c r="S196" s="38">
        <v>601</v>
      </c>
      <c r="T196" s="38">
        <v>51</v>
      </c>
      <c r="U196" s="38">
        <f t="shared" si="205"/>
        <v>3424</v>
      </c>
      <c r="V196">
        <v>959</v>
      </c>
      <c r="W196">
        <v>128</v>
      </c>
      <c r="X196">
        <v>49</v>
      </c>
      <c r="Y196">
        <v>48</v>
      </c>
      <c r="Z196">
        <v>751</v>
      </c>
      <c r="AA196">
        <v>686</v>
      </c>
      <c r="AB196">
        <v>4.2300000000000004</v>
      </c>
      <c r="AC196">
        <v>1</v>
      </c>
      <c r="AD196">
        <v>10</v>
      </c>
      <c r="AE196">
        <v>40</v>
      </c>
      <c r="AF196" s="45">
        <f t="shared" ca="1" si="192"/>
        <v>6160</v>
      </c>
      <c r="AG196" s="45">
        <f t="shared" ca="1" si="206"/>
        <v>1567</v>
      </c>
      <c r="AH196" s="45">
        <f t="shared" ca="1" si="207"/>
        <v>993</v>
      </c>
      <c r="AI196" s="45">
        <f t="shared" ca="1" si="208"/>
        <v>388</v>
      </c>
      <c r="AJ196" s="45">
        <f t="shared" ca="1" si="209"/>
        <v>20</v>
      </c>
      <c r="AK196" s="45">
        <f t="shared" ca="1" si="210"/>
        <v>166</v>
      </c>
      <c r="AL196" s="45">
        <f t="shared" ca="1" si="211"/>
        <v>527</v>
      </c>
      <c r="AM196" s="45">
        <f t="shared" ca="1" si="212"/>
        <v>49</v>
      </c>
      <c r="AN196" s="45">
        <f t="shared" ca="1" si="213"/>
        <v>4017</v>
      </c>
      <c r="AO196">
        <v>4381</v>
      </c>
      <c r="AP196">
        <v>1524</v>
      </c>
      <c r="AQ196">
        <v>152</v>
      </c>
      <c r="AR196">
        <v>492</v>
      </c>
      <c r="AS196">
        <v>1068</v>
      </c>
      <c r="AT196">
        <v>115</v>
      </c>
      <c r="AU196">
        <v>174</v>
      </c>
      <c r="AV196">
        <v>0.98199999999999998</v>
      </c>
      <c r="AW196" s="1"/>
      <c r="AX196" s="1"/>
      <c r="AY196" s="47">
        <f t="shared" si="214"/>
        <v>29700</v>
      </c>
      <c r="AZ196" s="49">
        <f t="shared" si="215"/>
        <v>167341</v>
      </c>
      <c r="BA196" s="49">
        <f t="shared" ref="BA196" si="218">SUMIF($B$2:$B$571,$B196,$Q$2:$Q$571)</f>
        <v>952</v>
      </c>
      <c r="BB196" s="48">
        <f t="shared" si="217"/>
        <v>5.6889823773014388E-3</v>
      </c>
    </row>
    <row r="197" spans="2:54" x14ac:dyDescent="0.2">
      <c r="B197" s="3">
        <v>2006</v>
      </c>
      <c r="C197" t="s">
        <v>68</v>
      </c>
      <c r="D197" t="s">
        <v>69</v>
      </c>
      <c r="E197">
        <v>4</v>
      </c>
      <c r="F197" t="s">
        <v>38</v>
      </c>
      <c r="G197" t="s">
        <v>38</v>
      </c>
      <c r="H197" t="s">
        <v>38</v>
      </c>
      <c r="I197" t="s">
        <v>38</v>
      </c>
      <c r="J197">
        <v>75</v>
      </c>
      <c r="K197">
        <v>87</v>
      </c>
      <c r="L197">
        <v>730</v>
      </c>
      <c r="M197" s="38">
        <v>5433</v>
      </c>
      <c r="N197" s="38">
        <v>1400</v>
      </c>
      <c r="O197" s="38">
        <f t="shared" si="204"/>
        <v>899</v>
      </c>
      <c r="P197" s="38">
        <v>301</v>
      </c>
      <c r="Q197" s="38">
        <v>20</v>
      </c>
      <c r="R197" s="38">
        <v>180</v>
      </c>
      <c r="S197" s="38">
        <v>502</v>
      </c>
      <c r="T197" s="38">
        <v>82</v>
      </c>
      <c r="U197" s="38">
        <f t="shared" si="205"/>
        <v>3449</v>
      </c>
      <c r="V197">
        <v>1233</v>
      </c>
      <c r="W197">
        <v>71</v>
      </c>
      <c r="X197">
        <v>37</v>
      </c>
      <c r="Y197">
        <v>53</v>
      </c>
      <c r="Z197">
        <v>833</v>
      </c>
      <c r="AA197">
        <v>763</v>
      </c>
      <c r="AB197">
        <v>4.82</v>
      </c>
      <c r="AC197">
        <v>7</v>
      </c>
      <c r="AD197">
        <v>8</v>
      </c>
      <c r="AE197">
        <v>43</v>
      </c>
      <c r="AF197" s="45">
        <f t="shared" ca="1" si="192"/>
        <v>6250</v>
      </c>
      <c r="AG197" s="45">
        <f t="shared" ca="1" si="206"/>
        <v>1606</v>
      </c>
      <c r="AH197" s="45">
        <f t="shared" ca="1" si="207"/>
        <v>1132</v>
      </c>
      <c r="AI197" s="45">
        <f t="shared" ca="1" si="208"/>
        <v>297</v>
      </c>
      <c r="AJ197" s="45">
        <f t="shared" ca="1" si="209"/>
        <v>25</v>
      </c>
      <c r="AK197" s="45">
        <f t="shared" ca="1" si="210"/>
        <v>152</v>
      </c>
      <c r="AL197" s="45">
        <f t="shared" ca="1" si="211"/>
        <v>463</v>
      </c>
      <c r="AM197" s="45">
        <f t="shared" ca="1" si="212"/>
        <v>74</v>
      </c>
      <c r="AN197" s="45">
        <f t="shared" ca="1" si="213"/>
        <v>4107</v>
      </c>
      <c r="AO197">
        <v>4277</v>
      </c>
      <c r="AP197">
        <v>1454</v>
      </c>
      <c r="AQ197">
        <v>177</v>
      </c>
      <c r="AR197">
        <v>514</v>
      </c>
      <c r="AS197">
        <v>1145</v>
      </c>
      <c r="AT197">
        <v>117</v>
      </c>
      <c r="AU197">
        <v>126</v>
      </c>
      <c r="AV197">
        <v>0.98</v>
      </c>
      <c r="AW197" s="1"/>
      <c r="AX197" s="1"/>
      <c r="AY197" s="47">
        <f t="shared" si="214"/>
        <v>29700</v>
      </c>
      <c r="AZ197" s="49">
        <f t="shared" si="215"/>
        <v>167341</v>
      </c>
      <c r="BA197" s="49">
        <f t="shared" ref="BA197" si="219">SUMIF($B$2:$B$571,$B197,$R$2:$R$571)</f>
        <v>5386</v>
      </c>
      <c r="BB197" s="48">
        <f t="shared" si="217"/>
        <v>3.218577634889238E-2</v>
      </c>
    </row>
    <row r="198" spans="2:54" x14ac:dyDescent="0.2">
      <c r="B198" s="3">
        <v>2006</v>
      </c>
      <c r="C198" t="s">
        <v>70</v>
      </c>
      <c r="D198" t="s">
        <v>71</v>
      </c>
      <c r="E198">
        <v>1</v>
      </c>
      <c r="F198" t="s">
        <v>43</v>
      </c>
      <c r="G198" t="s">
        <v>38</v>
      </c>
      <c r="H198" t="s">
        <v>38</v>
      </c>
      <c r="I198" t="s">
        <v>38</v>
      </c>
      <c r="J198">
        <v>96</v>
      </c>
      <c r="K198">
        <v>66</v>
      </c>
      <c r="L198">
        <v>801</v>
      </c>
      <c r="M198" s="38">
        <v>5602</v>
      </c>
      <c r="N198" s="38">
        <v>1608</v>
      </c>
      <c r="O198" s="38">
        <f t="shared" si="204"/>
        <v>1156</v>
      </c>
      <c r="P198" s="38">
        <v>275</v>
      </c>
      <c r="Q198" s="38">
        <v>34</v>
      </c>
      <c r="R198" s="38">
        <v>143</v>
      </c>
      <c r="S198" s="38">
        <v>490</v>
      </c>
      <c r="T198" s="38">
        <v>50</v>
      </c>
      <c r="U198" s="38">
        <f t="shared" si="205"/>
        <v>3454</v>
      </c>
      <c r="V198">
        <v>872</v>
      </c>
      <c r="W198">
        <v>101</v>
      </c>
      <c r="X198">
        <v>42</v>
      </c>
      <c r="Y198">
        <v>55</v>
      </c>
      <c r="Z198">
        <v>683</v>
      </c>
      <c r="AA198">
        <v>632</v>
      </c>
      <c r="AB198">
        <v>3.95</v>
      </c>
      <c r="AC198">
        <v>1</v>
      </c>
      <c r="AD198">
        <v>6</v>
      </c>
      <c r="AE198">
        <v>40</v>
      </c>
      <c r="AF198" s="45">
        <f t="shared" ca="1" si="192"/>
        <v>6399</v>
      </c>
      <c r="AG198" s="45">
        <f t="shared" ca="1" si="206"/>
        <v>1420</v>
      </c>
      <c r="AH198" s="45">
        <f t="shared" ca="1" si="207"/>
        <v>862</v>
      </c>
      <c r="AI198" s="45">
        <f t="shared" ca="1" si="208"/>
        <v>302</v>
      </c>
      <c r="AJ198" s="45">
        <f t="shared" ca="1" si="209"/>
        <v>48</v>
      </c>
      <c r="AK198" s="45">
        <f t="shared" ca="1" si="210"/>
        <v>208</v>
      </c>
      <c r="AL198" s="45">
        <f t="shared" ca="1" si="211"/>
        <v>492</v>
      </c>
      <c r="AM198" s="45">
        <f t="shared" ca="1" si="212"/>
        <v>36</v>
      </c>
      <c r="AN198" s="45">
        <f t="shared" ca="1" si="213"/>
        <v>4451</v>
      </c>
      <c r="AO198">
        <v>4318</v>
      </c>
      <c r="AP198">
        <v>1490</v>
      </c>
      <c r="AQ198">
        <v>182</v>
      </c>
      <c r="AR198">
        <v>356</v>
      </c>
      <c r="AS198">
        <v>1164</v>
      </c>
      <c r="AT198">
        <v>84</v>
      </c>
      <c r="AU198">
        <v>135</v>
      </c>
      <c r="AV198">
        <v>0.98599999999999999</v>
      </c>
      <c r="AW198" s="1"/>
      <c r="AX198" s="1"/>
      <c r="AY198" s="47">
        <f t="shared" si="214"/>
        <v>29700</v>
      </c>
      <c r="AZ198" s="49">
        <f t="shared" si="215"/>
        <v>167341</v>
      </c>
      <c r="BA198" s="49">
        <f t="shared" ref="BA198" si="220">SUMIF($B$2:$B$571,$B198,$S$2:$S$571)</f>
        <v>15847</v>
      </c>
      <c r="BB198" s="48">
        <f t="shared" si="217"/>
        <v>9.4698848459134344E-2</v>
      </c>
    </row>
    <row r="199" spans="2:54" x14ac:dyDescent="0.2">
      <c r="B199" s="3">
        <v>2006</v>
      </c>
      <c r="C199" t="s">
        <v>74</v>
      </c>
      <c r="D199" t="s">
        <v>75</v>
      </c>
      <c r="E199">
        <v>1</v>
      </c>
      <c r="F199" t="s">
        <v>43</v>
      </c>
      <c r="G199" t="s">
        <v>38</v>
      </c>
      <c r="H199" t="s">
        <v>38</v>
      </c>
      <c r="I199" t="s">
        <v>38</v>
      </c>
      <c r="J199">
        <v>97</v>
      </c>
      <c r="K199">
        <v>65</v>
      </c>
      <c r="L199">
        <v>930</v>
      </c>
      <c r="M199" s="38">
        <v>5651</v>
      </c>
      <c r="N199" s="38">
        <v>1608</v>
      </c>
      <c r="O199" s="38">
        <f t="shared" si="204"/>
        <v>1050</v>
      </c>
      <c r="P199" s="38">
        <v>327</v>
      </c>
      <c r="Q199" s="38">
        <v>21</v>
      </c>
      <c r="R199" s="38">
        <v>210</v>
      </c>
      <c r="S199" s="38">
        <v>649</v>
      </c>
      <c r="T199" s="38">
        <v>72</v>
      </c>
      <c r="U199" s="38">
        <f t="shared" si="205"/>
        <v>3322</v>
      </c>
      <c r="V199">
        <v>1053</v>
      </c>
      <c r="W199">
        <v>139</v>
      </c>
      <c r="X199">
        <v>35</v>
      </c>
      <c r="Y199">
        <v>49</v>
      </c>
      <c r="Z199">
        <v>767</v>
      </c>
      <c r="AA199">
        <v>708</v>
      </c>
      <c r="AB199">
        <v>4.41</v>
      </c>
      <c r="AC199">
        <v>5</v>
      </c>
      <c r="AD199">
        <v>8</v>
      </c>
      <c r="AE199">
        <v>43</v>
      </c>
      <c r="AF199" s="45">
        <f t="shared" ca="1" si="192"/>
        <v>6085</v>
      </c>
      <c r="AG199" s="45">
        <f t="shared" ca="1" si="206"/>
        <v>1408</v>
      </c>
      <c r="AH199" s="45">
        <f t="shared" ca="1" si="207"/>
        <v>811</v>
      </c>
      <c r="AI199" s="45">
        <f t="shared" ca="1" si="208"/>
        <v>400</v>
      </c>
      <c r="AJ199" s="45">
        <f t="shared" ca="1" si="209"/>
        <v>22</v>
      </c>
      <c r="AK199" s="45">
        <f t="shared" ca="1" si="210"/>
        <v>175</v>
      </c>
      <c r="AL199" s="45">
        <f t="shared" ca="1" si="211"/>
        <v>566</v>
      </c>
      <c r="AM199" s="45">
        <f t="shared" ca="1" si="212"/>
        <v>83</v>
      </c>
      <c r="AN199" s="45">
        <f t="shared" ca="1" si="213"/>
        <v>4028</v>
      </c>
      <c r="AO199">
        <v>4331</v>
      </c>
      <c r="AP199">
        <v>1463</v>
      </c>
      <c r="AQ199">
        <v>170</v>
      </c>
      <c r="AR199">
        <v>496</v>
      </c>
      <c r="AS199">
        <v>1019</v>
      </c>
      <c r="AT199">
        <v>104</v>
      </c>
      <c r="AU199">
        <v>145</v>
      </c>
      <c r="AV199">
        <v>0.98299999999999998</v>
      </c>
      <c r="AW199" s="1"/>
      <c r="AX199" s="1"/>
      <c r="AY199" s="47">
        <f t="shared" si="214"/>
        <v>29700</v>
      </c>
      <c r="AZ199" s="49">
        <f t="shared" si="215"/>
        <v>167341</v>
      </c>
      <c r="BA199" s="49">
        <f t="shared" ref="BA199" si="221">SUMIF($B$2:$B$571,$B199,$T$2:$T$571)</f>
        <v>1817</v>
      </c>
      <c r="BB199" s="48">
        <f t="shared" si="217"/>
        <v>1.0858068255836883E-2</v>
      </c>
    </row>
    <row r="200" spans="2:54" x14ac:dyDescent="0.2">
      <c r="B200" s="3">
        <v>2006</v>
      </c>
      <c r="C200" t="s">
        <v>76</v>
      </c>
      <c r="D200" t="s">
        <v>77</v>
      </c>
      <c r="E200">
        <v>1</v>
      </c>
      <c r="F200" t="s">
        <v>43</v>
      </c>
      <c r="G200" t="s">
        <v>38</v>
      </c>
      <c r="H200" t="s">
        <v>38</v>
      </c>
      <c r="I200" t="s">
        <v>38</v>
      </c>
      <c r="J200">
        <v>97</v>
      </c>
      <c r="K200">
        <v>65</v>
      </c>
      <c r="L200">
        <v>834</v>
      </c>
      <c r="M200" s="38">
        <v>5558</v>
      </c>
      <c r="N200" s="38">
        <v>1469</v>
      </c>
      <c r="O200" s="38">
        <f t="shared" si="204"/>
        <v>905</v>
      </c>
      <c r="P200" s="38">
        <v>323</v>
      </c>
      <c r="Q200" s="38">
        <v>41</v>
      </c>
      <c r="R200" s="38">
        <v>200</v>
      </c>
      <c r="S200" s="38">
        <v>547</v>
      </c>
      <c r="T200" s="38">
        <v>62</v>
      </c>
      <c r="U200" s="38">
        <f t="shared" si="205"/>
        <v>3480</v>
      </c>
      <c r="V200">
        <v>1071</v>
      </c>
      <c r="W200">
        <v>146</v>
      </c>
      <c r="X200">
        <v>35</v>
      </c>
      <c r="Y200">
        <v>47</v>
      </c>
      <c r="Z200">
        <v>731</v>
      </c>
      <c r="AA200">
        <v>673</v>
      </c>
      <c r="AB200">
        <v>4.1399999999999997</v>
      </c>
      <c r="AC200">
        <v>5</v>
      </c>
      <c r="AD200">
        <v>12</v>
      </c>
      <c r="AE200">
        <v>43</v>
      </c>
      <c r="AF200" s="45">
        <f t="shared" ca="1" si="192"/>
        <v>6157</v>
      </c>
      <c r="AG200" s="45">
        <f t="shared" ca="1" si="206"/>
        <v>1649</v>
      </c>
      <c r="AH200" s="45">
        <f t="shared" ca="1" si="207"/>
        <v>981</v>
      </c>
      <c r="AI200" s="45">
        <f t="shared" ca="1" si="208"/>
        <v>399</v>
      </c>
      <c r="AJ200" s="45">
        <f t="shared" ca="1" si="209"/>
        <v>43</v>
      </c>
      <c r="AK200" s="45">
        <f t="shared" ca="1" si="210"/>
        <v>226</v>
      </c>
      <c r="AL200" s="45">
        <f t="shared" ca="1" si="211"/>
        <v>590</v>
      </c>
      <c r="AM200" s="45">
        <f t="shared" ca="1" si="212"/>
        <v>74</v>
      </c>
      <c r="AN200" s="45">
        <f t="shared" ca="1" si="213"/>
        <v>3844</v>
      </c>
      <c r="AO200">
        <v>4384</v>
      </c>
      <c r="AP200">
        <v>1402</v>
      </c>
      <c r="AQ200">
        <v>180</v>
      </c>
      <c r="AR200">
        <v>527</v>
      </c>
      <c r="AS200">
        <v>1161</v>
      </c>
      <c r="AT200">
        <v>104</v>
      </c>
      <c r="AU200">
        <v>131</v>
      </c>
      <c r="AV200">
        <v>0.98299999999999998</v>
      </c>
      <c r="AW200" s="1"/>
      <c r="AX200" s="1"/>
      <c r="AY200" s="47">
        <f t="shared" si="214"/>
        <v>29700</v>
      </c>
      <c r="AZ200" s="49">
        <f t="shared" si="215"/>
        <v>167341</v>
      </c>
      <c r="BA200" s="49">
        <f t="shared" ref="BA200" si="222">SUMIF($B$2:$B$571,$B200,$U$2:$U$571)</f>
        <v>104604</v>
      </c>
      <c r="BB200" s="48">
        <f t="shared" si="217"/>
        <v>0.62509486617147025</v>
      </c>
    </row>
    <row r="201" spans="2:54" x14ac:dyDescent="0.2">
      <c r="B201" s="3">
        <v>2006</v>
      </c>
      <c r="C201" t="s">
        <v>78</v>
      </c>
      <c r="D201" t="s">
        <v>79</v>
      </c>
      <c r="E201">
        <v>1</v>
      </c>
      <c r="F201" t="s">
        <v>43</v>
      </c>
      <c r="G201" t="s">
        <v>38</v>
      </c>
      <c r="H201" t="s">
        <v>38</v>
      </c>
      <c r="I201" t="s">
        <v>38</v>
      </c>
      <c r="J201">
        <v>93</v>
      </c>
      <c r="K201">
        <v>69</v>
      </c>
      <c r="L201">
        <v>771</v>
      </c>
      <c r="M201" s="38">
        <v>5500</v>
      </c>
      <c r="N201" s="38">
        <v>1429</v>
      </c>
      <c r="O201" s="38">
        <f t="shared" si="204"/>
        <v>966</v>
      </c>
      <c r="P201" s="38">
        <v>266</v>
      </c>
      <c r="Q201" s="38">
        <v>22</v>
      </c>
      <c r="R201" s="38">
        <v>175</v>
      </c>
      <c r="S201" s="38">
        <v>650</v>
      </c>
      <c r="T201" s="38">
        <v>50</v>
      </c>
      <c r="U201" s="38">
        <f t="shared" si="205"/>
        <v>3371</v>
      </c>
      <c r="V201">
        <v>976</v>
      </c>
      <c r="W201">
        <v>61</v>
      </c>
      <c r="X201">
        <v>20</v>
      </c>
      <c r="Y201">
        <v>56</v>
      </c>
      <c r="Z201">
        <v>727</v>
      </c>
      <c r="AA201">
        <v>679</v>
      </c>
      <c r="AB201">
        <v>4.21</v>
      </c>
      <c r="AC201">
        <v>5</v>
      </c>
      <c r="AD201">
        <v>11</v>
      </c>
      <c r="AE201">
        <v>54</v>
      </c>
      <c r="AF201" s="45">
        <f t="shared" ca="1" si="192"/>
        <v>6339</v>
      </c>
      <c r="AG201" s="45">
        <f t="shared" ca="1" si="206"/>
        <v>1662</v>
      </c>
      <c r="AH201" s="45">
        <f t="shared" ca="1" si="207"/>
        <v>1225</v>
      </c>
      <c r="AI201" s="45">
        <f t="shared" ca="1" si="208"/>
        <v>269</v>
      </c>
      <c r="AJ201" s="45">
        <f t="shared" ca="1" si="209"/>
        <v>27</v>
      </c>
      <c r="AK201" s="45">
        <f t="shared" ca="1" si="210"/>
        <v>141</v>
      </c>
      <c r="AL201" s="45">
        <f t="shared" ca="1" si="211"/>
        <v>597</v>
      </c>
      <c r="AM201" s="45">
        <f t="shared" ca="1" si="212"/>
        <v>34</v>
      </c>
      <c r="AN201" s="45">
        <f t="shared" ca="1" si="213"/>
        <v>4046</v>
      </c>
      <c r="AO201">
        <v>4355</v>
      </c>
      <c r="AP201">
        <v>1525</v>
      </c>
      <c r="AQ201">
        <v>162</v>
      </c>
      <c r="AR201">
        <v>529</v>
      </c>
      <c r="AS201">
        <v>1003</v>
      </c>
      <c r="AT201">
        <v>84</v>
      </c>
      <c r="AU201">
        <v>173</v>
      </c>
      <c r="AV201">
        <v>0.98599999999999999</v>
      </c>
      <c r="AW201" s="1"/>
      <c r="AX201" s="1"/>
      <c r="AY201" s="47">
        <f t="shared" si="214"/>
        <v>29700</v>
      </c>
      <c r="AZ201" s="49">
        <f t="shared" si="215"/>
        <v>167341</v>
      </c>
      <c r="BA201" s="49"/>
      <c r="BB201" s="48">
        <f t="shared" si="217"/>
        <v>0</v>
      </c>
    </row>
    <row r="202" spans="2:54" x14ac:dyDescent="0.2">
      <c r="B202" s="3">
        <v>2006</v>
      </c>
      <c r="C202" t="s">
        <v>80</v>
      </c>
      <c r="D202" t="s">
        <v>81</v>
      </c>
      <c r="E202">
        <v>2</v>
      </c>
      <c r="F202" t="s">
        <v>38</v>
      </c>
      <c r="G202" t="s">
        <v>38</v>
      </c>
      <c r="H202" t="s">
        <v>38</v>
      </c>
      <c r="I202" t="s">
        <v>38</v>
      </c>
      <c r="J202">
        <v>85</v>
      </c>
      <c r="K202">
        <v>77</v>
      </c>
      <c r="L202">
        <v>865</v>
      </c>
      <c r="M202" s="38">
        <v>5687</v>
      </c>
      <c r="N202" s="38">
        <v>1518</v>
      </c>
      <c r="O202" s="38">
        <f t="shared" si="204"/>
        <v>967</v>
      </c>
      <c r="P202" s="38">
        <v>294</v>
      </c>
      <c r="Q202" s="38">
        <v>41</v>
      </c>
      <c r="R202" s="38">
        <v>216</v>
      </c>
      <c r="S202" s="38">
        <v>626</v>
      </c>
      <c r="T202" s="38">
        <v>95</v>
      </c>
      <c r="U202" s="38">
        <f t="shared" si="205"/>
        <v>3448</v>
      </c>
      <c r="V202">
        <v>1203</v>
      </c>
      <c r="W202">
        <v>92</v>
      </c>
      <c r="X202">
        <v>25</v>
      </c>
      <c r="Y202">
        <v>44</v>
      </c>
      <c r="Z202">
        <v>812</v>
      </c>
      <c r="AA202">
        <v>747</v>
      </c>
      <c r="AB202">
        <v>4.5999999999999996</v>
      </c>
      <c r="AC202">
        <v>4</v>
      </c>
      <c r="AD202">
        <v>6</v>
      </c>
      <c r="AE202">
        <v>42</v>
      </c>
      <c r="AF202" s="45">
        <f t="shared" ca="1" si="192"/>
        <v>6466</v>
      </c>
      <c r="AG202" s="45">
        <f t="shared" ca="1" si="206"/>
        <v>1334</v>
      </c>
      <c r="AH202" s="45">
        <f t="shared" ca="1" si="207"/>
        <v>778</v>
      </c>
      <c r="AI202" s="45">
        <f t="shared" ca="1" si="208"/>
        <v>320</v>
      </c>
      <c r="AJ202" s="45">
        <f t="shared" ca="1" si="209"/>
        <v>47</v>
      </c>
      <c r="AK202" s="45">
        <f t="shared" ca="1" si="210"/>
        <v>189</v>
      </c>
      <c r="AL202" s="45">
        <f t="shared" ca="1" si="211"/>
        <v>526</v>
      </c>
      <c r="AM202" s="45">
        <f t="shared" ca="1" si="212"/>
        <v>84</v>
      </c>
      <c r="AN202" s="45">
        <f t="shared" ca="1" si="213"/>
        <v>4522</v>
      </c>
      <c r="AO202">
        <v>4381</v>
      </c>
      <c r="AP202">
        <v>1561</v>
      </c>
      <c r="AQ202">
        <v>211</v>
      </c>
      <c r="AR202">
        <v>512</v>
      </c>
      <c r="AS202">
        <v>1138</v>
      </c>
      <c r="AT202">
        <v>104</v>
      </c>
      <c r="AU202">
        <v>153</v>
      </c>
      <c r="AV202">
        <v>0.98299999999999998</v>
      </c>
      <c r="AW202" s="1"/>
      <c r="AX202" s="1"/>
      <c r="AY202" s="47">
        <f t="shared" si="214"/>
        <v>29700</v>
      </c>
      <c r="AZ202" s="49">
        <f t="shared" si="215"/>
        <v>167341</v>
      </c>
      <c r="BA202" s="49">
        <f t="shared" ref="BA202" si="223">SUMIF($B$2:$B$571,$B202,$O$2:$O$571)</f>
        <v>29600</v>
      </c>
      <c r="BB202" s="48">
        <f t="shared" si="217"/>
        <v>0.17688432601693549</v>
      </c>
    </row>
    <row r="203" spans="2:54" x14ac:dyDescent="0.2">
      <c r="B203" s="3">
        <v>2006</v>
      </c>
      <c r="C203" t="s">
        <v>82</v>
      </c>
      <c r="D203" t="s">
        <v>83</v>
      </c>
      <c r="E203">
        <v>5</v>
      </c>
      <c r="F203" t="s">
        <v>38</v>
      </c>
      <c r="G203" t="s">
        <v>38</v>
      </c>
      <c r="H203" t="s">
        <v>38</v>
      </c>
      <c r="I203" t="s">
        <v>38</v>
      </c>
      <c r="J203">
        <v>67</v>
      </c>
      <c r="K203">
        <v>95</v>
      </c>
      <c r="L203">
        <v>691</v>
      </c>
      <c r="M203" s="38">
        <v>5558</v>
      </c>
      <c r="N203" s="38">
        <v>1462</v>
      </c>
      <c r="O203" s="38">
        <f t="shared" si="204"/>
        <v>1018</v>
      </c>
      <c r="P203" s="38">
        <v>286</v>
      </c>
      <c r="Q203" s="38">
        <v>17</v>
      </c>
      <c r="R203" s="38">
        <v>141</v>
      </c>
      <c r="S203" s="38">
        <v>459</v>
      </c>
      <c r="T203" s="38">
        <v>89</v>
      </c>
      <c r="U203" s="38">
        <f t="shared" si="205"/>
        <v>3548</v>
      </c>
      <c r="V203">
        <v>1200</v>
      </c>
      <c r="W203">
        <v>68</v>
      </c>
      <c r="X203">
        <v>23</v>
      </c>
      <c r="Y203">
        <v>49</v>
      </c>
      <c r="Z203">
        <v>797</v>
      </c>
      <c r="AA203">
        <v>720</v>
      </c>
      <c r="AB203">
        <v>4.5199999999999996</v>
      </c>
      <c r="AC203">
        <v>2</v>
      </c>
      <c r="AD203">
        <v>10</v>
      </c>
      <c r="AE203">
        <v>39</v>
      </c>
      <c r="AF203" s="45">
        <f t="shared" ca="1" si="192"/>
        <v>6302</v>
      </c>
      <c r="AG203" s="45">
        <f t="shared" ca="1" si="206"/>
        <v>1533</v>
      </c>
      <c r="AH203" s="45">
        <f t="shared" ca="1" si="207"/>
        <v>1036</v>
      </c>
      <c r="AI203" s="45">
        <f t="shared" ca="1" si="208"/>
        <v>308</v>
      </c>
      <c r="AJ203" s="45">
        <f t="shared" ca="1" si="209"/>
        <v>31</v>
      </c>
      <c r="AK203" s="45">
        <f t="shared" ca="1" si="210"/>
        <v>158</v>
      </c>
      <c r="AL203" s="45">
        <f t="shared" ca="1" si="211"/>
        <v>484</v>
      </c>
      <c r="AM203" s="45">
        <f t="shared" ca="1" si="212"/>
        <v>51</v>
      </c>
      <c r="AN203" s="45">
        <f t="shared" ca="1" si="213"/>
        <v>4234</v>
      </c>
      <c r="AO203">
        <v>4305</v>
      </c>
      <c r="AP203">
        <v>1545</v>
      </c>
      <c r="AQ203">
        <v>156</v>
      </c>
      <c r="AR203">
        <v>620</v>
      </c>
      <c r="AS203">
        <v>1060</v>
      </c>
      <c r="AT203">
        <v>104</v>
      </c>
      <c r="AU203">
        <v>168</v>
      </c>
      <c r="AV203">
        <v>0.98299999999999998</v>
      </c>
      <c r="AW203" s="1"/>
      <c r="AX203" s="1"/>
      <c r="AY203" s="47">
        <f t="shared" si="214"/>
        <v>29700</v>
      </c>
      <c r="AZ203" s="49">
        <f t="shared" si="215"/>
        <v>167341</v>
      </c>
      <c r="BA203" s="49">
        <f t="shared" ref="BA203" si="224">SUMIF($B$2:$B$571,$B203,$P$2:$P$571)</f>
        <v>9135</v>
      </c>
      <c r="BB203" s="48">
        <f t="shared" si="217"/>
        <v>5.4589132370429241E-2</v>
      </c>
    </row>
    <row r="204" spans="2:54" x14ac:dyDescent="0.2">
      <c r="B204" s="3">
        <v>2006</v>
      </c>
      <c r="C204" t="s">
        <v>84</v>
      </c>
      <c r="D204" t="s">
        <v>85</v>
      </c>
      <c r="E204">
        <v>1</v>
      </c>
      <c r="F204" t="s">
        <v>43</v>
      </c>
      <c r="G204" t="s">
        <v>38</v>
      </c>
      <c r="H204" t="s">
        <v>38</v>
      </c>
      <c r="I204" t="s">
        <v>38</v>
      </c>
      <c r="J204">
        <v>88</v>
      </c>
      <c r="K204">
        <v>74</v>
      </c>
      <c r="L204">
        <v>731</v>
      </c>
      <c r="M204" s="38">
        <v>5576</v>
      </c>
      <c r="N204" s="38">
        <v>1465</v>
      </c>
      <c r="O204" s="38">
        <f t="shared" si="204"/>
        <v>968</v>
      </c>
      <c r="P204" s="38">
        <v>298</v>
      </c>
      <c r="Q204" s="38">
        <v>38</v>
      </c>
      <c r="R204" s="38">
        <v>161</v>
      </c>
      <c r="S204" s="38">
        <v>564</v>
      </c>
      <c r="T204" s="38">
        <v>40</v>
      </c>
      <c r="U204" s="38">
        <f t="shared" si="205"/>
        <v>3507</v>
      </c>
      <c r="V204">
        <v>1104</v>
      </c>
      <c r="W204">
        <v>123</v>
      </c>
      <c r="X204">
        <v>31</v>
      </c>
      <c r="Y204">
        <v>47</v>
      </c>
      <c r="Z204">
        <v>679</v>
      </c>
      <c r="AA204">
        <v>629</v>
      </c>
      <c r="AB204">
        <v>3.87</v>
      </c>
      <c r="AC204">
        <v>4</v>
      </c>
      <c r="AD204">
        <v>11</v>
      </c>
      <c r="AE204">
        <v>50</v>
      </c>
      <c r="AF204" s="45">
        <f t="shared" ca="1" si="192"/>
        <v>6466</v>
      </c>
      <c r="AG204" s="45">
        <f t="shared" ca="1" si="206"/>
        <v>1647</v>
      </c>
      <c r="AH204" s="45">
        <f t="shared" ca="1" si="207"/>
        <v>1203</v>
      </c>
      <c r="AI204" s="45">
        <f t="shared" ca="1" si="208"/>
        <v>237</v>
      </c>
      <c r="AJ204" s="45">
        <f t="shared" ca="1" si="209"/>
        <v>45</v>
      </c>
      <c r="AK204" s="45">
        <f t="shared" ca="1" si="210"/>
        <v>162</v>
      </c>
      <c r="AL204" s="45">
        <f t="shared" ca="1" si="211"/>
        <v>503</v>
      </c>
      <c r="AM204" s="45">
        <f t="shared" ca="1" si="212"/>
        <v>66</v>
      </c>
      <c r="AN204" s="45">
        <f t="shared" ca="1" si="213"/>
        <v>4250</v>
      </c>
      <c r="AO204">
        <v>4391</v>
      </c>
      <c r="AP204">
        <v>1385</v>
      </c>
      <c r="AQ204">
        <v>176</v>
      </c>
      <c r="AR204">
        <v>468</v>
      </c>
      <c r="AS204">
        <v>1097</v>
      </c>
      <c r="AT204">
        <v>92</v>
      </c>
      <c r="AU204">
        <v>138</v>
      </c>
      <c r="AV204">
        <v>0.98499999999999999</v>
      </c>
      <c r="AW204" s="1"/>
      <c r="AX204" s="1"/>
      <c r="AY204" s="47">
        <f t="shared" si="214"/>
        <v>29700</v>
      </c>
      <c r="AZ204" s="49">
        <f t="shared" si="215"/>
        <v>167341</v>
      </c>
      <c r="BA204" s="49">
        <f t="shared" ref="BA204" si="225">SUMIF($B$2:$B$571,$B204,$Q$2:$Q$571)</f>
        <v>952</v>
      </c>
      <c r="BB204" s="48">
        <f t="shared" si="217"/>
        <v>5.6889823773014388E-3</v>
      </c>
    </row>
    <row r="205" spans="2:54" x14ac:dyDescent="0.2">
      <c r="B205" s="3">
        <v>2006</v>
      </c>
      <c r="C205" t="s">
        <v>86</v>
      </c>
      <c r="D205" t="s">
        <v>87</v>
      </c>
      <c r="E205">
        <v>4</v>
      </c>
      <c r="F205" t="s">
        <v>38</v>
      </c>
      <c r="G205" t="s">
        <v>38</v>
      </c>
      <c r="H205" t="s">
        <v>38</v>
      </c>
      <c r="I205" t="s">
        <v>38</v>
      </c>
      <c r="J205">
        <v>78</v>
      </c>
      <c r="K205">
        <v>84</v>
      </c>
      <c r="L205">
        <v>756</v>
      </c>
      <c r="M205" s="38">
        <v>5670</v>
      </c>
      <c r="N205" s="38">
        <v>1540</v>
      </c>
      <c r="O205" s="38">
        <f t="shared" si="204"/>
        <v>1060</v>
      </c>
      <c r="P205" s="38">
        <v>266</v>
      </c>
      <c r="Q205" s="38">
        <v>42</v>
      </c>
      <c r="R205" s="38">
        <v>172</v>
      </c>
      <c r="S205" s="38">
        <v>404</v>
      </c>
      <c r="T205" s="38">
        <v>63</v>
      </c>
      <c r="U205" s="38">
        <f t="shared" si="205"/>
        <v>3663</v>
      </c>
      <c r="V205">
        <v>974</v>
      </c>
      <c r="W205">
        <v>106</v>
      </c>
      <c r="X205">
        <v>37</v>
      </c>
      <c r="Y205">
        <v>38</v>
      </c>
      <c r="Z205">
        <v>792</v>
      </c>
      <c r="AA205">
        <v>739</v>
      </c>
      <c r="AB205">
        <v>4.5999999999999996</v>
      </c>
      <c r="AC205">
        <v>6</v>
      </c>
      <c r="AD205">
        <v>6</v>
      </c>
      <c r="AE205">
        <v>47</v>
      </c>
      <c r="AF205" s="45">
        <f t="shared" ca="1" si="192"/>
        <v>6391</v>
      </c>
      <c r="AG205" s="45">
        <f t="shared" ca="1" si="206"/>
        <v>1588</v>
      </c>
      <c r="AH205" s="45">
        <f t="shared" ca="1" si="207"/>
        <v>1064</v>
      </c>
      <c r="AI205" s="45">
        <f t="shared" ca="1" si="208"/>
        <v>315</v>
      </c>
      <c r="AJ205" s="45">
        <f t="shared" ca="1" si="209"/>
        <v>20</v>
      </c>
      <c r="AK205" s="45">
        <f t="shared" ca="1" si="210"/>
        <v>189</v>
      </c>
      <c r="AL205" s="45">
        <f t="shared" ca="1" si="211"/>
        <v>414</v>
      </c>
      <c r="AM205" s="45">
        <f t="shared" ca="1" si="212"/>
        <v>81</v>
      </c>
      <c r="AN205" s="45">
        <f t="shared" ca="1" si="213"/>
        <v>4308</v>
      </c>
      <c r="AO205">
        <v>4340</v>
      </c>
      <c r="AP205">
        <v>1500</v>
      </c>
      <c r="AQ205">
        <v>183</v>
      </c>
      <c r="AR205">
        <v>560</v>
      </c>
      <c r="AS205">
        <v>1067</v>
      </c>
      <c r="AT205">
        <v>88</v>
      </c>
      <c r="AU205">
        <v>150</v>
      </c>
      <c r="AV205">
        <v>0.98499999999999999</v>
      </c>
      <c r="AW205" s="1"/>
      <c r="AX205" s="1"/>
      <c r="AY205" s="47">
        <f t="shared" si="214"/>
        <v>29700</v>
      </c>
      <c r="AZ205" s="49">
        <f t="shared" si="215"/>
        <v>167341</v>
      </c>
      <c r="BA205" s="49">
        <f t="shared" ref="BA205" si="226">SUMIF($B$2:$B$571,$B205,$R$2:$R$571)</f>
        <v>5386</v>
      </c>
      <c r="BB205" s="48">
        <f t="shared" si="217"/>
        <v>3.218577634889238E-2</v>
      </c>
    </row>
    <row r="206" spans="2:54" x14ac:dyDescent="0.2">
      <c r="B206" s="3">
        <v>2006</v>
      </c>
      <c r="C206" t="s">
        <v>88</v>
      </c>
      <c r="D206" t="s">
        <v>89</v>
      </c>
      <c r="E206">
        <v>3</v>
      </c>
      <c r="F206" t="s">
        <v>38</v>
      </c>
      <c r="G206" t="s">
        <v>38</v>
      </c>
      <c r="H206" t="s">
        <v>38</v>
      </c>
      <c r="I206" t="s">
        <v>38</v>
      </c>
      <c r="J206">
        <v>76</v>
      </c>
      <c r="K206">
        <v>85</v>
      </c>
      <c r="L206">
        <v>746</v>
      </c>
      <c r="M206" s="38">
        <v>5472</v>
      </c>
      <c r="N206" s="38">
        <v>1418</v>
      </c>
      <c r="O206" s="38">
        <f t="shared" si="204"/>
        <v>906</v>
      </c>
      <c r="P206" s="38">
        <v>297</v>
      </c>
      <c r="Q206" s="38">
        <v>52</v>
      </c>
      <c r="R206" s="38">
        <v>163</v>
      </c>
      <c r="S206" s="38">
        <v>494</v>
      </c>
      <c r="T206" s="38">
        <v>53</v>
      </c>
      <c r="U206" s="38">
        <f t="shared" si="205"/>
        <v>3507</v>
      </c>
      <c r="V206">
        <v>891</v>
      </c>
      <c r="W206">
        <v>58</v>
      </c>
      <c r="X206">
        <v>25</v>
      </c>
      <c r="Y206">
        <v>37</v>
      </c>
      <c r="Z206">
        <v>790</v>
      </c>
      <c r="AA206">
        <v>735</v>
      </c>
      <c r="AB206">
        <v>4.63</v>
      </c>
      <c r="AC206">
        <v>7</v>
      </c>
      <c r="AD206">
        <v>9</v>
      </c>
      <c r="AE206">
        <v>37</v>
      </c>
      <c r="AF206" s="45">
        <f t="shared" ca="1" si="192"/>
        <v>6378</v>
      </c>
      <c r="AG206" s="45">
        <f t="shared" ca="1" si="206"/>
        <v>1453</v>
      </c>
      <c r="AH206" s="45">
        <f t="shared" ca="1" si="207"/>
        <v>880</v>
      </c>
      <c r="AI206" s="45">
        <f t="shared" ca="1" si="208"/>
        <v>354</v>
      </c>
      <c r="AJ206" s="45">
        <f t="shared" ca="1" si="209"/>
        <v>38</v>
      </c>
      <c r="AK206" s="45">
        <f t="shared" ca="1" si="210"/>
        <v>181</v>
      </c>
      <c r="AL206" s="45">
        <f t="shared" ca="1" si="211"/>
        <v>675</v>
      </c>
      <c r="AM206" s="45">
        <f t="shared" ca="1" si="212"/>
        <v>78</v>
      </c>
      <c r="AN206" s="45">
        <f t="shared" ca="1" si="213"/>
        <v>4172</v>
      </c>
      <c r="AO206">
        <v>4289</v>
      </c>
      <c r="AP206">
        <v>1422</v>
      </c>
      <c r="AQ206">
        <v>153</v>
      </c>
      <c r="AR206">
        <v>584</v>
      </c>
      <c r="AS206">
        <v>992</v>
      </c>
      <c r="AT206">
        <v>91</v>
      </c>
      <c r="AU206">
        <v>132</v>
      </c>
      <c r="AV206">
        <v>0.98499999999999999</v>
      </c>
      <c r="AW206" s="1"/>
      <c r="AX206" s="1"/>
      <c r="AY206" s="47">
        <f t="shared" si="214"/>
        <v>29700</v>
      </c>
      <c r="AZ206" s="49">
        <f t="shared" si="215"/>
        <v>167341</v>
      </c>
      <c r="BA206" s="49">
        <f t="shared" ref="BA206" si="227">SUMIF($B$2:$B$571,$B206,$S$2:$S$571)</f>
        <v>15847</v>
      </c>
      <c r="BB206" s="48">
        <f t="shared" si="217"/>
        <v>9.4698848459134344E-2</v>
      </c>
    </row>
    <row r="207" spans="2:54" x14ac:dyDescent="0.2">
      <c r="B207" s="3">
        <v>2006</v>
      </c>
      <c r="C207" t="s">
        <v>90</v>
      </c>
      <c r="D207" t="s">
        <v>91</v>
      </c>
      <c r="E207">
        <v>1</v>
      </c>
      <c r="F207" t="s">
        <v>43</v>
      </c>
      <c r="G207" t="s">
        <v>38</v>
      </c>
      <c r="H207" t="s">
        <v>43</v>
      </c>
      <c r="I207" t="s">
        <v>43</v>
      </c>
      <c r="J207">
        <v>83</v>
      </c>
      <c r="K207">
        <v>78</v>
      </c>
      <c r="L207">
        <v>781</v>
      </c>
      <c r="M207" s="38">
        <v>5522</v>
      </c>
      <c r="N207" s="38">
        <v>1484</v>
      </c>
      <c r="O207" s="38">
        <f t="shared" si="204"/>
        <v>981</v>
      </c>
      <c r="P207" s="38">
        <v>292</v>
      </c>
      <c r="Q207" s="38">
        <v>27</v>
      </c>
      <c r="R207" s="38">
        <v>184</v>
      </c>
      <c r="S207" s="38">
        <v>531</v>
      </c>
      <c r="T207" s="38">
        <v>61</v>
      </c>
      <c r="U207" s="38">
        <f t="shared" si="205"/>
        <v>3446</v>
      </c>
      <c r="V207">
        <v>922</v>
      </c>
      <c r="W207">
        <v>59</v>
      </c>
      <c r="X207">
        <v>32</v>
      </c>
      <c r="Y207">
        <v>40</v>
      </c>
      <c r="Z207">
        <v>762</v>
      </c>
      <c r="AA207">
        <v>721</v>
      </c>
      <c r="AB207">
        <v>4.54</v>
      </c>
      <c r="AC207">
        <v>6</v>
      </c>
      <c r="AD207">
        <v>9</v>
      </c>
      <c r="AE207">
        <v>38</v>
      </c>
      <c r="AF207" s="45">
        <f t="shared" ca="1" si="192"/>
        <v>6049</v>
      </c>
      <c r="AG207" s="45">
        <f t="shared" ca="1" si="206"/>
        <v>1632</v>
      </c>
      <c r="AH207" s="45">
        <f t="shared" ca="1" si="207"/>
        <v>1168</v>
      </c>
      <c r="AI207" s="45">
        <f t="shared" ca="1" si="208"/>
        <v>237</v>
      </c>
      <c r="AJ207" s="45">
        <f t="shared" ca="1" si="209"/>
        <v>37</v>
      </c>
      <c r="AK207" s="45">
        <f t="shared" ca="1" si="210"/>
        <v>190</v>
      </c>
      <c r="AL207" s="45">
        <f t="shared" ca="1" si="211"/>
        <v>521</v>
      </c>
      <c r="AM207" s="45">
        <f t="shared" ca="1" si="212"/>
        <v>62</v>
      </c>
      <c r="AN207" s="45">
        <f t="shared" ca="1" si="213"/>
        <v>3834</v>
      </c>
      <c r="AO207">
        <v>4289</v>
      </c>
      <c r="AP207">
        <v>1475</v>
      </c>
      <c r="AQ207">
        <v>193</v>
      </c>
      <c r="AR207">
        <v>504</v>
      </c>
      <c r="AS207">
        <v>970</v>
      </c>
      <c r="AT207">
        <v>98</v>
      </c>
      <c r="AU207">
        <v>170</v>
      </c>
      <c r="AV207">
        <v>0.98399999999999999</v>
      </c>
      <c r="AW207" s="1"/>
      <c r="AX207" s="1"/>
      <c r="AY207" s="47">
        <f t="shared" si="214"/>
        <v>29700</v>
      </c>
      <c r="AZ207" s="49">
        <f t="shared" si="215"/>
        <v>167341</v>
      </c>
      <c r="BA207" s="49">
        <f t="shared" ref="BA207" si="228">SUMIF($B$2:$B$571,$B207,$T$2:$T$571)</f>
        <v>1817</v>
      </c>
      <c r="BB207" s="48">
        <f t="shared" si="217"/>
        <v>1.0858068255836883E-2</v>
      </c>
    </row>
    <row r="208" spans="2:54" x14ac:dyDescent="0.2">
      <c r="B208" s="3">
        <v>2006</v>
      </c>
      <c r="C208" t="s">
        <v>92</v>
      </c>
      <c r="D208" t="s">
        <v>93</v>
      </c>
      <c r="E208">
        <v>5</v>
      </c>
      <c r="F208" t="s">
        <v>38</v>
      </c>
      <c r="G208" t="s">
        <v>38</v>
      </c>
      <c r="H208" t="s">
        <v>38</v>
      </c>
      <c r="I208" t="s">
        <v>38</v>
      </c>
      <c r="J208">
        <v>61</v>
      </c>
      <c r="K208">
        <v>101</v>
      </c>
      <c r="L208">
        <v>689</v>
      </c>
      <c r="M208" s="38">
        <v>5474</v>
      </c>
      <c r="N208" s="38">
        <v>1395</v>
      </c>
      <c r="O208" s="38">
        <f t="shared" si="204"/>
        <v>905</v>
      </c>
      <c r="P208" s="38">
        <v>267</v>
      </c>
      <c r="Q208" s="38">
        <v>33</v>
      </c>
      <c r="R208" s="38">
        <v>190</v>
      </c>
      <c r="S208" s="38">
        <v>441</v>
      </c>
      <c r="T208" s="38">
        <v>47</v>
      </c>
      <c r="U208" s="38">
        <f t="shared" si="205"/>
        <v>3591</v>
      </c>
      <c r="V208">
        <v>1106</v>
      </c>
      <c r="W208">
        <v>134</v>
      </c>
      <c r="X208">
        <v>52</v>
      </c>
      <c r="Y208">
        <v>43</v>
      </c>
      <c r="Z208">
        <v>856</v>
      </c>
      <c r="AA208">
        <v>782</v>
      </c>
      <c r="AB208">
        <v>4.96</v>
      </c>
      <c r="AC208">
        <v>3</v>
      </c>
      <c r="AD208">
        <v>7</v>
      </c>
      <c r="AE208">
        <v>33</v>
      </c>
      <c r="AF208" s="45">
        <f t="shared" ca="1" si="192"/>
        <v>6074</v>
      </c>
      <c r="AG208" s="45">
        <f t="shared" ca="1" si="206"/>
        <v>1442</v>
      </c>
      <c r="AH208" s="45">
        <f t="shared" ca="1" si="207"/>
        <v>881</v>
      </c>
      <c r="AI208" s="45">
        <f t="shared" ca="1" si="208"/>
        <v>350</v>
      </c>
      <c r="AJ208" s="45">
        <f t="shared" ca="1" si="209"/>
        <v>25</v>
      </c>
      <c r="AK208" s="45">
        <f t="shared" ca="1" si="210"/>
        <v>186</v>
      </c>
      <c r="AL208" s="45">
        <f t="shared" ca="1" si="211"/>
        <v>689</v>
      </c>
      <c r="AM208" s="45">
        <f t="shared" ca="1" si="212"/>
        <v>35</v>
      </c>
      <c r="AN208" s="45">
        <f t="shared" ca="1" si="213"/>
        <v>3908</v>
      </c>
      <c r="AO208">
        <v>4261</v>
      </c>
      <c r="AP208">
        <v>1600</v>
      </c>
      <c r="AQ208">
        <v>180</v>
      </c>
      <c r="AR208">
        <v>606</v>
      </c>
      <c r="AS208">
        <v>979</v>
      </c>
      <c r="AT208">
        <v>116</v>
      </c>
      <c r="AU208">
        <v>156</v>
      </c>
      <c r="AV208">
        <v>0.98099999999999998</v>
      </c>
      <c r="AW208" s="1"/>
      <c r="AX208" s="1"/>
      <c r="AY208" s="47">
        <f t="shared" si="214"/>
        <v>29700</v>
      </c>
      <c r="AZ208" s="49">
        <f t="shared" si="215"/>
        <v>167341</v>
      </c>
      <c r="BA208" s="49">
        <f t="shared" ref="BA208" si="229">SUMIF($B$2:$B$571,$B208,$U$2:$U$571)</f>
        <v>104604</v>
      </c>
      <c r="BB208" s="48">
        <f t="shared" si="217"/>
        <v>0.62509486617147025</v>
      </c>
    </row>
    <row r="209" spans="2:54" x14ac:dyDescent="0.2">
      <c r="B209" s="3">
        <v>2006</v>
      </c>
      <c r="C209" t="s">
        <v>94</v>
      </c>
      <c r="D209" t="s">
        <v>95</v>
      </c>
      <c r="E209">
        <v>3</v>
      </c>
      <c r="F209" t="s">
        <v>38</v>
      </c>
      <c r="G209" t="s">
        <v>38</v>
      </c>
      <c r="H209" t="s">
        <v>38</v>
      </c>
      <c r="I209" t="s">
        <v>38</v>
      </c>
      <c r="J209">
        <v>80</v>
      </c>
      <c r="K209">
        <v>82</v>
      </c>
      <c r="L209">
        <v>835</v>
      </c>
      <c r="M209" s="38">
        <v>5659</v>
      </c>
      <c r="N209" s="38">
        <v>1571</v>
      </c>
      <c r="O209" s="38">
        <f t="shared" si="204"/>
        <v>1008</v>
      </c>
      <c r="P209" s="38">
        <v>357</v>
      </c>
      <c r="Q209" s="38">
        <v>23</v>
      </c>
      <c r="R209" s="38">
        <v>183</v>
      </c>
      <c r="S209" s="38">
        <v>505</v>
      </c>
      <c r="T209" s="38">
        <v>40</v>
      </c>
      <c r="U209" s="38">
        <f t="shared" si="205"/>
        <v>3543</v>
      </c>
      <c r="V209">
        <v>1061</v>
      </c>
      <c r="W209">
        <v>53</v>
      </c>
      <c r="X209">
        <v>24</v>
      </c>
      <c r="Y209">
        <v>50</v>
      </c>
      <c r="Z209">
        <v>784</v>
      </c>
      <c r="AA209">
        <v>731</v>
      </c>
      <c r="AB209">
        <v>4.5999999999999996</v>
      </c>
      <c r="AC209">
        <v>3</v>
      </c>
      <c r="AD209">
        <v>8</v>
      </c>
      <c r="AE209">
        <v>42</v>
      </c>
      <c r="AF209" s="45">
        <f t="shared" ca="1" si="192"/>
        <v>6428</v>
      </c>
      <c r="AG209" s="45">
        <f t="shared" ca="1" si="206"/>
        <v>1403</v>
      </c>
      <c r="AH209" s="45">
        <f t="shared" ca="1" si="207"/>
        <v>844</v>
      </c>
      <c r="AI209" s="45">
        <f t="shared" ca="1" si="208"/>
        <v>352</v>
      </c>
      <c r="AJ209" s="45">
        <f t="shared" ca="1" si="209"/>
        <v>26</v>
      </c>
      <c r="AK209" s="45">
        <f t="shared" ca="1" si="210"/>
        <v>181</v>
      </c>
      <c r="AL209" s="45">
        <f t="shared" ca="1" si="211"/>
        <v>590</v>
      </c>
      <c r="AM209" s="45">
        <f t="shared" ca="1" si="212"/>
        <v>44</v>
      </c>
      <c r="AN209" s="45">
        <f t="shared" ca="1" si="213"/>
        <v>4391</v>
      </c>
      <c r="AO209">
        <v>4294</v>
      </c>
      <c r="AP209">
        <v>1558</v>
      </c>
      <c r="AQ209">
        <v>162</v>
      </c>
      <c r="AR209">
        <v>496</v>
      </c>
      <c r="AS209">
        <v>972</v>
      </c>
      <c r="AT209">
        <v>98</v>
      </c>
      <c r="AU209">
        <v>174</v>
      </c>
      <c r="AV209">
        <v>0.98399999999999999</v>
      </c>
      <c r="AW209" s="1"/>
      <c r="AX209" s="1"/>
      <c r="AY209" s="47">
        <f t="shared" si="214"/>
        <v>29700</v>
      </c>
      <c r="AZ209" s="49">
        <f t="shared" si="215"/>
        <v>167341</v>
      </c>
      <c r="BA209" s="49"/>
      <c r="BB209" s="48">
        <f t="shared" si="217"/>
        <v>0</v>
      </c>
    </row>
    <row r="210" spans="2:54" x14ac:dyDescent="0.2">
      <c r="B210" s="3">
        <v>2006</v>
      </c>
      <c r="C210" t="s">
        <v>96</v>
      </c>
      <c r="D210" t="s">
        <v>97</v>
      </c>
      <c r="E210">
        <v>2</v>
      </c>
      <c r="F210" t="s">
        <v>38</v>
      </c>
      <c r="G210" t="s">
        <v>38</v>
      </c>
      <c r="H210" t="s">
        <v>38</v>
      </c>
      <c r="I210" t="s">
        <v>38</v>
      </c>
      <c r="J210">
        <v>87</v>
      </c>
      <c r="K210">
        <v>75</v>
      </c>
      <c r="L210">
        <v>809</v>
      </c>
      <c r="M210" s="38">
        <v>5596</v>
      </c>
      <c r="N210" s="38">
        <v>1591</v>
      </c>
      <c r="O210" s="38">
        <f t="shared" si="204"/>
        <v>1017</v>
      </c>
      <c r="P210" s="38">
        <v>348</v>
      </c>
      <c r="Q210" s="38">
        <v>27</v>
      </c>
      <c r="R210" s="38">
        <v>199</v>
      </c>
      <c r="S210" s="38">
        <v>514</v>
      </c>
      <c r="T210" s="38">
        <v>63</v>
      </c>
      <c r="U210" s="38">
        <f t="shared" si="205"/>
        <v>3428</v>
      </c>
      <c r="V210">
        <v>906</v>
      </c>
      <c r="W210">
        <v>65</v>
      </c>
      <c r="X210">
        <v>33</v>
      </c>
      <c r="Y210">
        <v>52</v>
      </c>
      <c r="Z210">
        <v>754</v>
      </c>
      <c r="AA210">
        <v>694</v>
      </c>
      <c r="AB210">
        <v>4.37</v>
      </c>
      <c r="AC210">
        <v>6</v>
      </c>
      <c r="AD210">
        <v>6</v>
      </c>
      <c r="AE210">
        <v>42</v>
      </c>
      <c r="AF210" s="45">
        <f t="shared" ca="1" si="192"/>
        <v>6412</v>
      </c>
      <c r="AG210" s="45">
        <f t="shared" ca="1" si="206"/>
        <v>1693</v>
      </c>
      <c r="AH210" s="45">
        <f t="shared" ca="1" si="207"/>
        <v>1205</v>
      </c>
      <c r="AI210" s="45">
        <f t="shared" ca="1" si="208"/>
        <v>224</v>
      </c>
      <c r="AJ210" s="45">
        <f t="shared" ca="1" si="209"/>
        <v>35</v>
      </c>
      <c r="AK210" s="45">
        <f t="shared" ca="1" si="210"/>
        <v>229</v>
      </c>
      <c r="AL210" s="45">
        <f t="shared" ca="1" si="211"/>
        <v>607</v>
      </c>
      <c r="AM210" s="45">
        <f t="shared" ca="1" si="212"/>
        <v>71</v>
      </c>
      <c r="AN210" s="45">
        <f t="shared" ca="1" si="213"/>
        <v>4041</v>
      </c>
      <c r="AO210">
        <v>4285</v>
      </c>
      <c r="AP210">
        <v>1447</v>
      </c>
      <c r="AQ210">
        <v>185</v>
      </c>
      <c r="AR210">
        <v>504</v>
      </c>
      <c r="AS210">
        <v>1076</v>
      </c>
      <c r="AT210">
        <v>99</v>
      </c>
      <c r="AU210">
        <v>157</v>
      </c>
      <c r="AV210">
        <v>0.98399999999999999</v>
      </c>
      <c r="AW210" s="1"/>
      <c r="AX210" s="1"/>
      <c r="AY210" s="47">
        <f t="shared" si="214"/>
        <v>29700</v>
      </c>
      <c r="AZ210" s="49">
        <f t="shared" si="215"/>
        <v>167341</v>
      </c>
      <c r="BA210" s="49">
        <f t="shared" ref="BA210" si="230">SUMIF($B$2:$B$571,$B210,$O$2:$O$571)</f>
        <v>29600</v>
      </c>
      <c r="BB210" s="48">
        <f t="shared" si="217"/>
        <v>0.17688432601693549</v>
      </c>
    </row>
    <row r="211" spans="2:54" x14ac:dyDescent="0.2">
      <c r="B211" s="3">
        <v>2006</v>
      </c>
      <c r="C211" t="s">
        <v>100</v>
      </c>
      <c r="D211" t="s">
        <v>101</v>
      </c>
      <c r="E211">
        <v>5</v>
      </c>
      <c r="F211" t="s">
        <v>38</v>
      </c>
      <c r="G211" t="s">
        <v>38</v>
      </c>
      <c r="H211" t="s">
        <v>38</v>
      </c>
      <c r="I211" t="s">
        <v>38</v>
      </c>
      <c r="J211">
        <v>71</v>
      </c>
      <c r="K211">
        <v>91</v>
      </c>
      <c r="L211">
        <v>746</v>
      </c>
      <c r="M211" s="38">
        <v>5495</v>
      </c>
      <c r="N211" s="38">
        <v>1437</v>
      </c>
      <c r="O211" s="38">
        <f t="shared" si="204"/>
        <v>929</v>
      </c>
      <c r="P211" s="38">
        <v>322</v>
      </c>
      <c r="Q211" s="38">
        <v>22</v>
      </c>
      <c r="R211" s="38">
        <v>164</v>
      </c>
      <c r="S211" s="38">
        <v>594</v>
      </c>
      <c r="T211" s="38">
        <v>69</v>
      </c>
      <c r="U211" s="38">
        <f t="shared" si="205"/>
        <v>3395</v>
      </c>
      <c r="V211">
        <v>1156</v>
      </c>
      <c r="W211">
        <v>123</v>
      </c>
      <c r="X211">
        <v>62</v>
      </c>
      <c r="Y211">
        <v>49</v>
      </c>
      <c r="Z211">
        <v>872</v>
      </c>
      <c r="AA211">
        <v>803</v>
      </c>
      <c r="AB211">
        <v>5.03</v>
      </c>
      <c r="AC211">
        <v>1</v>
      </c>
      <c r="AD211">
        <v>3</v>
      </c>
      <c r="AE211">
        <v>32</v>
      </c>
      <c r="AF211" s="45">
        <f t="shared" ca="1" si="192"/>
        <v>6223</v>
      </c>
      <c r="AG211" s="45">
        <f t="shared" ca="1" si="206"/>
        <v>1557</v>
      </c>
      <c r="AH211" s="45">
        <f t="shared" ca="1" si="207"/>
        <v>1018</v>
      </c>
      <c r="AI211" s="45">
        <f t="shared" ca="1" si="208"/>
        <v>369</v>
      </c>
      <c r="AJ211" s="45">
        <f t="shared" ca="1" si="209"/>
        <v>30</v>
      </c>
      <c r="AK211" s="45">
        <f t="shared" ca="1" si="210"/>
        <v>140</v>
      </c>
      <c r="AL211" s="45">
        <f t="shared" ca="1" si="211"/>
        <v>493</v>
      </c>
      <c r="AM211" s="45">
        <f t="shared" ca="1" si="212"/>
        <v>63</v>
      </c>
      <c r="AN211" s="45">
        <f t="shared" ca="1" si="213"/>
        <v>4110</v>
      </c>
      <c r="AO211">
        <v>4309</v>
      </c>
      <c r="AP211">
        <v>1535</v>
      </c>
      <c r="AQ211">
        <v>193</v>
      </c>
      <c r="AR211">
        <v>584</v>
      </c>
      <c r="AS211">
        <v>960</v>
      </c>
      <c r="AT211">
        <v>131</v>
      </c>
      <c r="AU211">
        <v>123</v>
      </c>
      <c r="AV211">
        <v>0.97799999999999998</v>
      </c>
      <c r="AW211" s="1"/>
      <c r="AX211" s="1"/>
      <c r="AY211" s="47">
        <f t="shared" si="214"/>
        <v>29700</v>
      </c>
      <c r="AZ211" s="49">
        <f t="shared" si="215"/>
        <v>167341</v>
      </c>
      <c r="BA211" s="49">
        <f t="shared" ref="BA211" si="231">SUMIF($B$2:$B$571,$B211,$P$2:$P$571)</f>
        <v>9135</v>
      </c>
      <c r="BB211" s="48">
        <f t="shared" si="217"/>
        <v>5.4589132370429241E-2</v>
      </c>
    </row>
    <row r="212" spans="2:54" x14ac:dyDescent="0.2">
      <c r="B212" s="3">
        <v>2007</v>
      </c>
      <c r="C212" t="s">
        <v>39</v>
      </c>
      <c r="D212" t="s">
        <v>40</v>
      </c>
      <c r="E212">
        <v>1</v>
      </c>
      <c r="F212" t="s">
        <v>43</v>
      </c>
      <c r="G212" t="s">
        <v>38</v>
      </c>
      <c r="H212" t="s">
        <v>38</v>
      </c>
      <c r="I212" t="s">
        <v>38</v>
      </c>
      <c r="J212">
        <v>90</v>
      </c>
      <c r="K212">
        <v>72</v>
      </c>
      <c r="L212">
        <v>712</v>
      </c>
      <c r="M212" s="38">
        <v>5398</v>
      </c>
      <c r="N212" s="38">
        <v>1350</v>
      </c>
      <c r="O212" s="38">
        <f t="shared" si="204"/>
        <v>853</v>
      </c>
      <c r="P212" s="38">
        <v>286</v>
      </c>
      <c r="Q212" s="38">
        <v>40</v>
      </c>
      <c r="R212" s="38">
        <v>171</v>
      </c>
      <c r="S212" s="38">
        <v>532</v>
      </c>
      <c r="T212" s="38">
        <v>57</v>
      </c>
      <c r="U212" s="38">
        <f t="shared" si="205"/>
        <v>3459</v>
      </c>
      <c r="V212">
        <v>1111</v>
      </c>
      <c r="W212">
        <v>109</v>
      </c>
      <c r="X212">
        <v>24</v>
      </c>
      <c r="Y212">
        <v>58</v>
      </c>
      <c r="Z212">
        <v>732</v>
      </c>
      <c r="AA212">
        <v>662</v>
      </c>
      <c r="AB212">
        <v>4.13</v>
      </c>
      <c r="AC212">
        <v>7</v>
      </c>
      <c r="AD212">
        <v>12</v>
      </c>
      <c r="AE212">
        <v>51</v>
      </c>
      <c r="AF212" s="45">
        <f t="shared" ca="1" si="192"/>
        <v>6076</v>
      </c>
      <c r="AG212" s="45">
        <f t="shared" ca="1" si="206"/>
        <v>1431</v>
      </c>
      <c r="AH212" s="45">
        <f t="shared" ca="1" si="207"/>
        <v>949</v>
      </c>
      <c r="AI212" s="45">
        <f t="shared" ca="1" si="208"/>
        <v>309</v>
      </c>
      <c r="AJ212" s="45">
        <f t="shared" ca="1" si="209"/>
        <v>36</v>
      </c>
      <c r="AK212" s="45">
        <f t="shared" ca="1" si="210"/>
        <v>137</v>
      </c>
      <c r="AL212" s="45">
        <f t="shared" ca="1" si="211"/>
        <v>480</v>
      </c>
      <c r="AM212" s="45">
        <f t="shared" ca="1" si="212"/>
        <v>81</v>
      </c>
      <c r="AN212" s="45">
        <f t="shared" ca="1" si="213"/>
        <v>4084</v>
      </c>
      <c r="AO212">
        <v>4323</v>
      </c>
      <c r="AP212">
        <v>1446</v>
      </c>
      <c r="AQ212">
        <v>169</v>
      </c>
      <c r="AR212">
        <v>546</v>
      </c>
      <c r="AS212">
        <v>1088</v>
      </c>
      <c r="AT212">
        <v>106</v>
      </c>
      <c r="AU212">
        <v>157</v>
      </c>
      <c r="AV212">
        <v>0.98299999999999998</v>
      </c>
      <c r="AW212" s="1"/>
      <c r="AX212" s="1"/>
      <c r="AY212" s="47">
        <f t="shared" si="214"/>
        <v>29700</v>
      </c>
      <c r="AZ212" s="49">
        <f t="shared" si="215"/>
        <v>167783</v>
      </c>
      <c r="BA212" s="49">
        <f t="shared" ref="BA212" si="232">SUMIF($B$2:$B$571,$B212,$Q$2:$Q$571)</f>
        <v>938</v>
      </c>
      <c r="BB212" s="48">
        <f t="shared" si="217"/>
        <v>5.5905544661854897E-3</v>
      </c>
    </row>
    <row r="213" spans="2:54" x14ac:dyDescent="0.2">
      <c r="B213" s="3">
        <v>2007</v>
      </c>
      <c r="C213" t="s">
        <v>41</v>
      </c>
      <c r="D213" t="s">
        <v>42</v>
      </c>
      <c r="E213">
        <v>3</v>
      </c>
      <c r="F213" t="s">
        <v>38</v>
      </c>
      <c r="G213" t="s">
        <v>38</v>
      </c>
      <c r="H213" t="s">
        <v>38</v>
      </c>
      <c r="I213" t="s">
        <v>38</v>
      </c>
      <c r="J213">
        <v>84</v>
      </c>
      <c r="K213">
        <v>78</v>
      </c>
      <c r="L213">
        <v>810</v>
      </c>
      <c r="M213" s="38">
        <v>5689</v>
      </c>
      <c r="N213" s="38">
        <v>1562</v>
      </c>
      <c r="O213" s="38">
        <f t="shared" si="204"/>
        <v>1031</v>
      </c>
      <c r="P213" s="38">
        <v>328</v>
      </c>
      <c r="Q213" s="38">
        <v>27</v>
      </c>
      <c r="R213" s="38">
        <v>176</v>
      </c>
      <c r="S213" s="38">
        <v>534</v>
      </c>
      <c r="T213" s="38">
        <v>49</v>
      </c>
      <c r="U213" s="38">
        <f t="shared" si="205"/>
        <v>3544</v>
      </c>
      <c r="V213">
        <v>1149</v>
      </c>
      <c r="W213">
        <v>64</v>
      </c>
      <c r="X213">
        <v>30</v>
      </c>
      <c r="Y213">
        <v>47</v>
      </c>
      <c r="Z213">
        <v>733</v>
      </c>
      <c r="AA213">
        <v>665</v>
      </c>
      <c r="AB213">
        <v>4.1100000000000003</v>
      </c>
      <c r="AC213">
        <v>1</v>
      </c>
      <c r="AD213">
        <v>6</v>
      </c>
      <c r="AE213">
        <v>36</v>
      </c>
      <c r="AF213" s="45">
        <f t="shared" ca="1" si="192"/>
        <v>6242</v>
      </c>
      <c r="AG213" s="45">
        <f t="shared" ca="1" si="206"/>
        <v>1553</v>
      </c>
      <c r="AH213" s="45">
        <f t="shared" ca="1" si="207"/>
        <v>974</v>
      </c>
      <c r="AI213" s="45">
        <f t="shared" ca="1" si="208"/>
        <v>384</v>
      </c>
      <c r="AJ213" s="45">
        <f t="shared" ca="1" si="209"/>
        <v>25</v>
      </c>
      <c r="AK213" s="45">
        <f t="shared" ca="1" si="210"/>
        <v>170</v>
      </c>
      <c r="AL213" s="45">
        <f t="shared" ca="1" si="211"/>
        <v>411</v>
      </c>
      <c r="AM213" s="45">
        <f t="shared" ca="1" si="212"/>
        <v>50</v>
      </c>
      <c r="AN213" s="45">
        <f t="shared" ca="1" si="213"/>
        <v>4228</v>
      </c>
      <c r="AO213">
        <v>4369</v>
      </c>
      <c r="AP213">
        <v>1442</v>
      </c>
      <c r="AQ213">
        <v>172</v>
      </c>
      <c r="AR213">
        <v>537</v>
      </c>
      <c r="AS213">
        <v>1106</v>
      </c>
      <c r="AT213">
        <v>107</v>
      </c>
      <c r="AU213">
        <v>141</v>
      </c>
      <c r="AV213">
        <v>0.98299999999999998</v>
      </c>
      <c r="AW213" s="1"/>
      <c r="AX213" s="1"/>
      <c r="AY213" s="47">
        <f t="shared" si="214"/>
        <v>29700</v>
      </c>
      <c r="AZ213" s="49">
        <f t="shared" si="215"/>
        <v>167783</v>
      </c>
      <c r="BA213" s="49">
        <f t="shared" ref="BA213" si="233">SUMIF($B$2:$B$571,$B213,$R$2:$R$571)</f>
        <v>4957</v>
      </c>
      <c r="BB213" s="48">
        <f t="shared" si="217"/>
        <v>2.9544113527592189E-2</v>
      </c>
    </row>
    <row r="214" spans="2:54" x14ac:dyDescent="0.2">
      <c r="B214" s="3">
        <v>2007</v>
      </c>
      <c r="C214" t="s">
        <v>44</v>
      </c>
      <c r="D214" t="s">
        <v>45</v>
      </c>
      <c r="E214">
        <v>4</v>
      </c>
      <c r="F214" t="s">
        <v>38</v>
      </c>
      <c r="G214" t="s">
        <v>38</v>
      </c>
      <c r="H214" t="s">
        <v>38</v>
      </c>
      <c r="I214" t="s">
        <v>38</v>
      </c>
      <c r="J214">
        <v>69</v>
      </c>
      <c r="K214">
        <v>93</v>
      </c>
      <c r="L214">
        <v>756</v>
      </c>
      <c r="M214" s="38">
        <v>5631</v>
      </c>
      <c r="N214" s="38">
        <v>1529</v>
      </c>
      <c r="O214" s="38">
        <f t="shared" si="204"/>
        <v>1051</v>
      </c>
      <c r="P214" s="38">
        <v>306</v>
      </c>
      <c r="Q214" s="38">
        <v>30</v>
      </c>
      <c r="R214" s="38">
        <v>142</v>
      </c>
      <c r="S214" s="38">
        <v>500</v>
      </c>
      <c r="T214" s="38">
        <v>47</v>
      </c>
      <c r="U214" s="38">
        <f t="shared" si="205"/>
        <v>3555</v>
      </c>
      <c r="V214">
        <v>939</v>
      </c>
      <c r="W214">
        <v>144</v>
      </c>
      <c r="X214">
        <v>42</v>
      </c>
      <c r="Y214">
        <v>47</v>
      </c>
      <c r="Z214">
        <v>868</v>
      </c>
      <c r="AA214">
        <v>827</v>
      </c>
      <c r="AB214">
        <v>5.17</v>
      </c>
      <c r="AC214">
        <v>4</v>
      </c>
      <c r="AD214">
        <v>9</v>
      </c>
      <c r="AE214">
        <v>30</v>
      </c>
      <c r="AF214" s="45">
        <f t="shared" ca="1" si="192"/>
        <v>6349</v>
      </c>
      <c r="AG214" s="45">
        <f t="shared" ca="1" si="206"/>
        <v>1578</v>
      </c>
      <c r="AH214" s="45">
        <f t="shared" ca="1" si="207"/>
        <v>1022</v>
      </c>
      <c r="AI214" s="45">
        <f t="shared" ca="1" si="208"/>
        <v>318</v>
      </c>
      <c r="AJ214" s="45">
        <f t="shared" ca="1" si="209"/>
        <v>31</v>
      </c>
      <c r="AK214" s="45">
        <f t="shared" ca="1" si="210"/>
        <v>207</v>
      </c>
      <c r="AL214" s="45">
        <f t="shared" ca="1" si="211"/>
        <v>526</v>
      </c>
      <c r="AM214" s="45">
        <f t="shared" ca="1" si="212"/>
        <v>33</v>
      </c>
      <c r="AN214" s="45">
        <f t="shared" ca="1" si="213"/>
        <v>4212</v>
      </c>
      <c r="AO214">
        <v>4316</v>
      </c>
      <c r="AP214">
        <v>1491</v>
      </c>
      <c r="AQ214">
        <v>161</v>
      </c>
      <c r="AR214">
        <v>696</v>
      </c>
      <c r="AS214">
        <v>1087</v>
      </c>
      <c r="AT214">
        <v>79</v>
      </c>
      <c r="AU214">
        <v>155</v>
      </c>
      <c r="AV214">
        <v>0.98699999999999999</v>
      </c>
      <c r="AW214" s="1"/>
      <c r="AX214" s="1"/>
      <c r="AY214" s="47">
        <f t="shared" si="214"/>
        <v>29700</v>
      </c>
      <c r="AZ214" s="49">
        <f t="shared" si="215"/>
        <v>167783</v>
      </c>
      <c r="BA214" s="49">
        <f t="shared" ref="BA214" si="234">SUMIF($B$2:$B$571,$B214,$S$2:$S$571)</f>
        <v>16079</v>
      </c>
      <c r="BB214" s="48">
        <f t="shared" si="217"/>
        <v>9.5832116483791557E-2</v>
      </c>
    </row>
    <row r="215" spans="2:54" x14ac:dyDescent="0.2">
      <c r="B215" s="3">
        <v>2007</v>
      </c>
      <c r="C215" t="s">
        <v>46</v>
      </c>
      <c r="D215" t="s">
        <v>47</v>
      </c>
      <c r="E215">
        <v>1</v>
      </c>
      <c r="F215" t="s">
        <v>43</v>
      </c>
      <c r="G215" t="s">
        <v>38</v>
      </c>
      <c r="H215" t="s">
        <v>43</v>
      </c>
      <c r="I215" t="s">
        <v>43</v>
      </c>
      <c r="J215">
        <v>96</v>
      </c>
      <c r="K215">
        <v>66</v>
      </c>
      <c r="L215">
        <v>867</v>
      </c>
      <c r="M215" s="38">
        <v>5589</v>
      </c>
      <c r="N215" s="38">
        <v>1561</v>
      </c>
      <c r="O215" s="38">
        <f t="shared" si="204"/>
        <v>1008</v>
      </c>
      <c r="P215" s="38">
        <v>352</v>
      </c>
      <c r="Q215" s="38">
        <v>35</v>
      </c>
      <c r="R215" s="38">
        <v>166</v>
      </c>
      <c r="S215" s="38">
        <v>689</v>
      </c>
      <c r="T215" s="38">
        <v>64</v>
      </c>
      <c r="U215" s="38">
        <f t="shared" si="205"/>
        <v>3275</v>
      </c>
      <c r="V215">
        <v>1042</v>
      </c>
      <c r="W215">
        <v>96</v>
      </c>
      <c r="X215">
        <v>24</v>
      </c>
      <c r="Y215">
        <v>54</v>
      </c>
      <c r="Z215">
        <v>657</v>
      </c>
      <c r="AA215">
        <v>618</v>
      </c>
      <c r="AB215">
        <v>3.87</v>
      </c>
      <c r="AC215">
        <v>5</v>
      </c>
      <c r="AD215">
        <v>13</v>
      </c>
      <c r="AE215">
        <v>45</v>
      </c>
      <c r="AF215" s="45">
        <f t="shared" ca="1" si="192"/>
        <v>6377</v>
      </c>
      <c r="AG215" s="45">
        <f t="shared" ca="1" si="206"/>
        <v>1382</v>
      </c>
      <c r="AH215" s="45">
        <f t="shared" ca="1" si="207"/>
        <v>863</v>
      </c>
      <c r="AI215" s="45">
        <f t="shared" ca="1" si="208"/>
        <v>342</v>
      </c>
      <c r="AJ215" s="45">
        <f t="shared" ca="1" si="209"/>
        <v>45</v>
      </c>
      <c r="AK215" s="45">
        <f t="shared" ca="1" si="210"/>
        <v>132</v>
      </c>
      <c r="AL215" s="45">
        <f t="shared" ca="1" si="211"/>
        <v>537</v>
      </c>
      <c r="AM215" s="45">
        <f t="shared" ca="1" si="212"/>
        <v>78</v>
      </c>
      <c r="AN215" s="45">
        <f t="shared" ca="1" si="213"/>
        <v>4380</v>
      </c>
      <c r="AO215">
        <v>4316</v>
      </c>
      <c r="AP215">
        <v>1350</v>
      </c>
      <c r="AQ215">
        <v>151</v>
      </c>
      <c r="AR215">
        <v>482</v>
      </c>
      <c r="AS215">
        <v>1149</v>
      </c>
      <c r="AT215">
        <v>81</v>
      </c>
      <c r="AU215">
        <v>145</v>
      </c>
      <c r="AV215">
        <v>0.98599999999999999</v>
      </c>
      <c r="AW215" s="1"/>
      <c r="AX215" s="1"/>
      <c r="AY215" s="47">
        <f t="shared" si="214"/>
        <v>29700</v>
      </c>
      <c r="AZ215" s="49">
        <f t="shared" si="215"/>
        <v>167783</v>
      </c>
      <c r="BA215" s="49">
        <f t="shared" ref="BA215" si="235">SUMIF($B$2:$B$571,$B215,$T$2:$T$571)</f>
        <v>1755</v>
      </c>
      <c r="BB215" s="48">
        <f t="shared" si="217"/>
        <v>1.0459939326391828E-2</v>
      </c>
    </row>
    <row r="216" spans="2:54" x14ac:dyDescent="0.2">
      <c r="B216" s="3">
        <v>2007</v>
      </c>
      <c r="C216" t="s">
        <v>48</v>
      </c>
      <c r="D216" t="s">
        <v>49</v>
      </c>
      <c r="E216">
        <v>4</v>
      </c>
      <c r="F216" t="s">
        <v>38</v>
      </c>
      <c r="G216" t="s">
        <v>38</v>
      </c>
      <c r="H216" t="s">
        <v>38</v>
      </c>
      <c r="I216" t="s">
        <v>38</v>
      </c>
      <c r="J216">
        <v>72</v>
      </c>
      <c r="K216">
        <v>90</v>
      </c>
      <c r="L216">
        <v>693</v>
      </c>
      <c r="M216" s="38">
        <v>5441</v>
      </c>
      <c r="N216" s="38">
        <v>1341</v>
      </c>
      <c r="O216" s="38">
        <f t="shared" si="204"/>
        <v>882</v>
      </c>
      <c r="P216" s="38">
        <v>249</v>
      </c>
      <c r="Q216" s="38">
        <v>20</v>
      </c>
      <c r="R216" s="38">
        <v>190</v>
      </c>
      <c r="S216" s="38">
        <v>532</v>
      </c>
      <c r="T216" s="38">
        <v>52</v>
      </c>
      <c r="U216" s="38">
        <f t="shared" si="205"/>
        <v>3516</v>
      </c>
      <c r="V216">
        <v>1149</v>
      </c>
      <c r="W216">
        <v>78</v>
      </c>
      <c r="X216">
        <v>45</v>
      </c>
      <c r="Y216">
        <v>35</v>
      </c>
      <c r="Z216">
        <v>839</v>
      </c>
      <c r="AA216">
        <v>763</v>
      </c>
      <c r="AB216">
        <v>4.7699999999999996</v>
      </c>
      <c r="AC216">
        <v>9</v>
      </c>
      <c r="AD216">
        <v>9</v>
      </c>
      <c r="AE216">
        <v>42</v>
      </c>
      <c r="AF216" s="45">
        <f t="shared" ca="1" si="192"/>
        <v>6308</v>
      </c>
      <c r="AG216" s="45">
        <f t="shared" ca="1" si="206"/>
        <v>1333</v>
      </c>
      <c r="AH216" s="45">
        <f t="shared" ca="1" si="207"/>
        <v>832</v>
      </c>
      <c r="AI216" s="45">
        <f t="shared" ca="1" si="208"/>
        <v>253</v>
      </c>
      <c r="AJ216" s="45">
        <f t="shared" ca="1" si="209"/>
        <v>28</v>
      </c>
      <c r="AK216" s="45">
        <f t="shared" ca="1" si="210"/>
        <v>220</v>
      </c>
      <c r="AL216" s="45">
        <f t="shared" ca="1" si="211"/>
        <v>680</v>
      </c>
      <c r="AM216" s="45">
        <f t="shared" ca="1" si="212"/>
        <v>61</v>
      </c>
      <c r="AN216" s="45">
        <f t="shared" ca="1" si="213"/>
        <v>4234</v>
      </c>
      <c r="AO216">
        <v>4322</v>
      </c>
      <c r="AP216">
        <v>1556</v>
      </c>
      <c r="AQ216">
        <v>174</v>
      </c>
      <c r="AR216">
        <v>499</v>
      </c>
      <c r="AS216">
        <v>1015</v>
      </c>
      <c r="AT216">
        <v>108</v>
      </c>
      <c r="AU216">
        <v>168</v>
      </c>
      <c r="AV216">
        <v>0.98199999999999998</v>
      </c>
      <c r="AW216" s="1"/>
      <c r="AX216" s="1"/>
      <c r="AY216" s="47">
        <f t="shared" si="214"/>
        <v>29700</v>
      </c>
      <c r="AZ216" s="49">
        <f t="shared" si="215"/>
        <v>167783</v>
      </c>
      <c r="BA216" s="49">
        <f t="shared" ref="BA216" si="236">SUMIF($B$2:$B$571,$B216,$U$2:$U$571)</f>
        <v>104972</v>
      </c>
      <c r="BB216" s="48">
        <f t="shared" si="217"/>
        <v>0.62564145354416123</v>
      </c>
    </row>
    <row r="217" spans="2:54" x14ac:dyDescent="0.2">
      <c r="B217" s="3">
        <v>2007</v>
      </c>
      <c r="C217" t="s">
        <v>50</v>
      </c>
      <c r="D217" t="s">
        <v>51</v>
      </c>
      <c r="E217">
        <v>1</v>
      </c>
      <c r="F217" t="s">
        <v>43</v>
      </c>
      <c r="G217" t="s">
        <v>38</v>
      </c>
      <c r="H217" t="s">
        <v>38</v>
      </c>
      <c r="I217" t="s">
        <v>38</v>
      </c>
      <c r="J217">
        <v>85</v>
      </c>
      <c r="K217">
        <v>77</v>
      </c>
      <c r="L217">
        <v>752</v>
      </c>
      <c r="M217" s="38">
        <v>5643</v>
      </c>
      <c r="N217" s="38">
        <v>1530</v>
      </c>
      <c r="O217" s="38">
        <f t="shared" si="204"/>
        <v>1011</v>
      </c>
      <c r="P217" s="38">
        <v>340</v>
      </c>
      <c r="Q217" s="38">
        <v>28</v>
      </c>
      <c r="R217" s="38">
        <v>151</v>
      </c>
      <c r="S217" s="38">
        <v>500</v>
      </c>
      <c r="T217" s="38">
        <v>40</v>
      </c>
      <c r="U217" s="38">
        <f t="shared" si="205"/>
        <v>3573</v>
      </c>
      <c r="V217">
        <v>1054</v>
      </c>
      <c r="W217">
        <v>86</v>
      </c>
      <c r="X217">
        <v>33</v>
      </c>
      <c r="Y217">
        <v>37</v>
      </c>
      <c r="Z217">
        <v>690</v>
      </c>
      <c r="AA217">
        <v>650</v>
      </c>
      <c r="AB217">
        <v>4.04</v>
      </c>
      <c r="AC217">
        <v>2</v>
      </c>
      <c r="AD217">
        <v>10</v>
      </c>
      <c r="AE217">
        <v>39</v>
      </c>
      <c r="AF217" s="45">
        <f t="shared" ca="1" si="192"/>
        <v>6427</v>
      </c>
      <c r="AG217" s="45">
        <f t="shared" ca="1" si="206"/>
        <v>1385</v>
      </c>
      <c r="AH217" s="45">
        <f t="shared" ca="1" si="207"/>
        <v>816</v>
      </c>
      <c r="AI217" s="45">
        <f t="shared" ca="1" si="208"/>
        <v>303</v>
      </c>
      <c r="AJ217" s="45">
        <f t="shared" ca="1" si="209"/>
        <v>46</v>
      </c>
      <c r="AK217" s="45">
        <f t="shared" ca="1" si="210"/>
        <v>220</v>
      </c>
      <c r="AL217" s="45">
        <f t="shared" ca="1" si="211"/>
        <v>517</v>
      </c>
      <c r="AM217" s="45">
        <f t="shared" ca="1" si="212"/>
        <v>59</v>
      </c>
      <c r="AN217" s="45">
        <f t="shared" ca="1" si="213"/>
        <v>4466</v>
      </c>
      <c r="AO217">
        <v>4340</v>
      </c>
      <c r="AP217">
        <v>1340</v>
      </c>
      <c r="AQ217">
        <v>165</v>
      </c>
      <c r="AR217">
        <v>573</v>
      </c>
      <c r="AS217">
        <v>1211</v>
      </c>
      <c r="AT217">
        <v>94</v>
      </c>
      <c r="AU217">
        <v>134</v>
      </c>
      <c r="AV217">
        <v>0.98399999999999999</v>
      </c>
      <c r="AW217" s="1"/>
      <c r="AX217" s="1"/>
      <c r="AY217" s="47">
        <f t="shared" si="214"/>
        <v>29700</v>
      </c>
      <c r="AZ217" s="49">
        <f t="shared" si="215"/>
        <v>167783</v>
      </c>
      <c r="BA217" s="49"/>
      <c r="BB217" s="48">
        <f t="shared" si="217"/>
        <v>0</v>
      </c>
    </row>
    <row r="218" spans="2:54" x14ac:dyDescent="0.2">
      <c r="B218" s="3">
        <v>2007</v>
      </c>
      <c r="C218" t="s">
        <v>52</v>
      </c>
      <c r="D218" t="s">
        <v>53</v>
      </c>
      <c r="E218">
        <v>5</v>
      </c>
      <c r="F218" t="s">
        <v>38</v>
      </c>
      <c r="G218" t="s">
        <v>38</v>
      </c>
      <c r="H218" t="s">
        <v>38</v>
      </c>
      <c r="I218" t="s">
        <v>38</v>
      </c>
      <c r="J218">
        <v>72</v>
      </c>
      <c r="K218">
        <v>90</v>
      </c>
      <c r="L218">
        <v>783</v>
      </c>
      <c r="M218" s="38">
        <v>5607</v>
      </c>
      <c r="N218" s="38">
        <v>1496</v>
      </c>
      <c r="O218" s="38">
        <f t="shared" si="204"/>
        <v>976</v>
      </c>
      <c r="P218" s="38">
        <v>293</v>
      </c>
      <c r="Q218" s="38">
        <v>23</v>
      </c>
      <c r="R218" s="38">
        <v>204</v>
      </c>
      <c r="S218" s="38">
        <v>536</v>
      </c>
      <c r="T218" s="38">
        <v>66</v>
      </c>
      <c r="U218" s="38">
        <f t="shared" si="205"/>
        <v>3509</v>
      </c>
      <c r="V218">
        <v>1113</v>
      </c>
      <c r="W218">
        <v>97</v>
      </c>
      <c r="X218">
        <v>31</v>
      </c>
      <c r="Y218">
        <v>46</v>
      </c>
      <c r="Z218">
        <v>853</v>
      </c>
      <c r="AA218">
        <v>796</v>
      </c>
      <c r="AB218">
        <v>4.9400000000000004</v>
      </c>
      <c r="AC218">
        <v>6</v>
      </c>
      <c r="AD218">
        <v>7</v>
      </c>
      <c r="AE218">
        <v>34</v>
      </c>
      <c r="AF218" s="45">
        <f t="shared" ca="1" si="192"/>
        <v>6332</v>
      </c>
      <c r="AG218" s="45">
        <f t="shared" ca="1" si="206"/>
        <v>1338</v>
      </c>
      <c r="AH218" s="45">
        <f t="shared" ca="1" si="207"/>
        <v>861</v>
      </c>
      <c r="AI218" s="45">
        <f t="shared" ca="1" si="208"/>
        <v>238</v>
      </c>
      <c r="AJ218" s="45">
        <f t="shared" ca="1" si="209"/>
        <v>38</v>
      </c>
      <c r="AK218" s="45">
        <f t="shared" ca="1" si="210"/>
        <v>201</v>
      </c>
      <c r="AL218" s="45">
        <f t="shared" ca="1" si="211"/>
        <v>403</v>
      </c>
      <c r="AM218" s="45">
        <f t="shared" ca="1" si="212"/>
        <v>58</v>
      </c>
      <c r="AN218" s="45">
        <f t="shared" ca="1" si="213"/>
        <v>4533</v>
      </c>
      <c r="AO218">
        <v>4349</v>
      </c>
      <c r="AP218">
        <v>1605</v>
      </c>
      <c r="AQ218">
        <v>198</v>
      </c>
      <c r="AR218">
        <v>482</v>
      </c>
      <c r="AS218">
        <v>1068</v>
      </c>
      <c r="AT218">
        <v>95</v>
      </c>
      <c r="AU218">
        <v>155</v>
      </c>
      <c r="AV218">
        <v>0.98399999999999999</v>
      </c>
      <c r="AW218" s="1"/>
      <c r="AX218" s="1"/>
      <c r="AY218" s="47">
        <f t="shared" si="214"/>
        <v>29700</v>
      </c>
      <c r="AZ218" s="49">
        <f t="shared" si="215"/>
        <v>167783</v>
      </c>
      <c r="BA218" s="49">
        <f t="shared" ref="BA218" si="237">SUMIF($B$2:$B$571,$B218,$O$2:$O$571)</f>
        <v>29885</v>
      </c>
      <c r="BB218" s="48">
        <f t="shared" si="217"/>
        <v>0.17811697251807393</v>
      </c>
    </row>
    <row r="219" spans="2:54" x14ac:dyDescent="0.2">
      <c r="B219" s="3">
        <v>2007</v>
      </c>
      <c r="C219" t="s">
        <v>54</v>
      </c>
      <c r="D219" t="s">
        <v>55</v>
      </c>
      <c r="E219">
        <v>1</v>
      </c>
      <c r="F219" t="s">
        <v>43</v>
      </c>
      <c r="G219" t="s">
        <v>38</v>
      </c>
      <c r="H219" t="s">
        <v>38</v>
      </c>
      <c r="I219" t="s">
        <v>38</v>
      </c>
      <c r="J219">
        <v>96</v>
      </c>
      <c r="K219">
        <v>66</v>
      </c>
      <c r="L219">
        <v>811</v>
      </c>
      <c r="M219" s="38">
        <v>5604</v>
      </c>
      <c r="N219" s="38">
        <v>1504</v>
      </c>
      <c r="O219" s="38">
        <f t="shared" si="204"/>
        <v>994</v>
      </c>
      <c r="P219" s="38">
        <v>305</v>
      </c>
      <c r="Q219" s="38">
        <v>27</v>
      </c>
      <c r="R219" s="38">
        <v>178</v>
      </c>
      <c r="S219" s="38">
        <v>590</v>
      </c>
      <c r="T219" s="38">
        <v>80</v>
      </c>
      <c r="U219" s="38">
        <f t="shared" si="205"/>
        <v>3430</v>
      </c>
      <c r="V219">
        <v>1202</v>
      </c>
      <c r="W219">
        <v>72</v>
      </c>
      <c r="X219">
        <v>41</v>
      </c>
      <c r="Y219">
        <v>59</v>
      </c>
      <c r="Z219">
        <v>704</v>
      </c>
      <c r="AA219">
        <v>658</v>
      </c>
      <c r="AB219">
        <v>4.05</v>
      </c>
      <c r="AC219">
        <v>9</v>
      </c>
      <c r="AD219">
        <v>9</v>
      </c>
      <c r="AE219">
        <v>49</v>
      </c>
      <c r="AF219" s="45">
        <f t="shared" ca="1" si="192"/>
        <v>6131</v>
      </c>
      <c r="AG219" s="45">
        <f t="shared" ca="1" si="206"/>
        <v>1638</v>
      </c>
      <c r="AH219" s="45">
        <f t="shared" ca="1" si="207"/>
        <v>1064</v>
      </c>
      <c r="AI219" s="45">
        <f t="shared" ca="1" si="208"/>
        <v>351</v>
      </c>
      <c r="AJ219" s="45">
        <f t="shared" ca="1" si="209"/>
        <v>46</v>
      </c>
      <c r="AK219" s="45">
        <f t="shared" ca="1" si="210"/>
        <v>177</v>
      </c>
      <c r="AL219" s="45">
        <f t="shared" ca="1" si="211"/>
        <v>462</v>
      </c>
      <c r="AM219" s="45">
        <f t="shared" ca="1" si="212"/>
        <v>72</v>
      </c>
      <c r="AN219" s="45">
        <f t="shared" ca="1" si="213"/>
        <v>3959</v>
      </c>
      <c r="AO219">
        <v>4388</v>
      </c>
      <c r="AP219">
        <v>1519</v>
      </c>
      <c r="AQ219">
        <v>146</v>
      </c>
      <c r="AR219">
        <v>410</v>
      </c>
      <c r="AS219">
        <v>1047</v>
      </c>
      <c r="AT219">
        <v>92</v>
      </c>
      <c r="AU219">
        <v>167</v>
      </c>
      <c r="AV219">
        <v>0.98499999999999999</v>
      </c>
      <c r="AW219" s="1"/>
      <c r="AX219" s="1"/>
      <c r="AY219" s="47">
        <f t="shared" si="214"/>
        <v>29700</v>
      </c>
      <c r="AZ219" s="49">
        <f t="shared" si="215"/>
        <v>167783</v>
      </c>
      <c r="BA219" s="49">
        <f t="shared" ref="BA219" si="238">SUMIF($B$2:$B$571,$B219,$P$2:$P$571)</f>
        <v>9197</v>
      </c>
      <c r="BB219" s="48">
        <f t="shared" si="217"/>
        <v>5.4814850133803779E-2</v>
      </c>
    </row>
    <row r="220" spans="2:54" x14ac:dyDescent="0.2">
      <c r="B220" s="3">
        <v>2007</v>
      </c>
      <c r="C220" t="s">
        <v>56</v>
      </c>
      <c r="D220" t="s">
        <v>57</v>
      </c>
      <c r="E220">
        <v>2</v>
      </c>
      <c r="F220" t="s">
        <v>38</v>
      </c>
      <c r="G220" t="s">
        <v>43</v>
      </c>
      <c r="H220" t="s">
        <v>43</v>
      </c>
      <c r="I220" t="s">
        <v>38</v>
      </c>
      <c r="J220">
        <v>90</v>
      </c>
      <c r="K220">
        <v>73</v>
      </c>
      <c r="L220">
        <v>860</v>
      </c>
      <c r="M220" s="38">
        <v>5691</v>
      </c>
      <c r="N220" s="38">
        <v>1591</v>
      </c>
      <c r="O220" s="38">
        <f t="shared" si="204"/>
        <v>1071</v>
      </c>
      <c r="P220" s="38">
        <v>313</v>
      </c>
      <c r="Q220" s="38">
        <v>36</v>
      </c>
      <c r="R220" s="38">
        <v>171</v>
      </c>
      <c r="S220" s="38">
        <v>622</v>
      </c>
      <c r="T220" s="38">
        <v>58</v>
      </c>
      <c r="U220" s="38">
        <f t="shared" si="205"/>
        <v>3420</v>
      </c>
      <c r="V220">
        <v>1152</v>
      </c>
      <c r="W220">
        <v>100</v>
      </c>
      <c r="X220">
        <v>31</v>
      </c>
      <c r="Y220">
        <v>44</v>
      </c>
      <c r="Z220">
        <v>758</v>
      </c>
      <c r="AA220">
        <v>706</v>
      </c>
      <c r="AB220">
        <v>4.32</v>
      </c>
      <c r="AC220">
        <v>4</v>
      </c>
      <c r="AD220">
        <v>7</v>
      </c>
      <c r="AE220">
        <v>39</v>
      </c>
      <c r="AF220" s="45">
        <f t="shared" ca="1" si="192"/>
        <v>6085</v>
      </c>
      <c r="AG220" s="45">
        <f t="shared" ca="1" si="206"/>
        <v>1494</v>
      </c>
      <c r="AH220" s="45">
        <f t="shared" ca="1" si="207"/>
        <v>963</v>
      </c>
      <c r="AI220" s="45">
        <f t="shared" ca="1" si="208"/>
        <v>293</v>
      </c>
      <c r="AJ220" s="45">
        <f t="shared" ca="1" si="209"/>
        <v>43</v>
      </c>
      <c r="AK220" s="45">
        <f t="shared" ca="1" si="210"/>
        <v>195</v>
      </c>
      <c r="AL220" s="45">
        <f t="shared" ca="1" si="211"/>
        <v>597</v>
      </c>
      <c r="AM220" s="45">
        <f t="shared" ca="1" si="212"/>
        <v>46</v>
      </c>
      <c r="AN220" s="45">
        <f t="shared" ca="1" si="213"/>
        <v>3948</v>
      </c>
      <c r="AO220">
        <v>4416</v>
      </c>
      <c r="AP220">
        <v>1497</v>
      </c>
      <c r="AQ220">
        <v>164</v>
      </c>
      <c r="AR220">
        <v>504</v>
      </c>
      <c r="AS220">
        <v>967</v>
      </c>
      <c r="AT220">
        <v>68</v>
      </c>
      <c r="AU220">
        <v>180</v>
      </c>
      <c r="AV220">
        <v>0.98899999999999999</v>
      </c>
      <c r="AW220" s="1"/>
      <c r="AX220" s="1"/>
      <c r="AY220" s="47">
        <f t="shared" si="214"/>
        <v>29700</v>
      </c>
      <c r="AZ220" s="49">
        <f t="shared" si="215"/>
        <v>167783</v>
      </c>
      <c r="BA220" s="49">
        <f t="shared" ref="BA220" si="239">SUMIF($B$2:$B$571,$B220,$Q$2:$Q$571)</f>
        <v>938</v>
      </c>
      <c r="BB220" s="48">
        <f t="shared" si="217"/>
        <v>5.5905544661854897E-3</v>
      </c>
    </row>
    <row r="221" spans="2:54" x14ac:dyDescent="0.2">
      <c r="B221" s="3">
        <v>2007</v>
      </c>
      <c r="C221" t="s">
        <v>58</v>
      </c>
      <c r="D221" t="s">
        <v>59</v>
      </c>
      <c r="E221">
        <v>2</v>
      </c>
      <c r="F221" t="s">
        <v>38</v>
      </c>
      <c r="G221" t="s">
        <v>38</v>
      </c>
      <c r="H221" t="s">
        <v>38</v>
      </c>
      <c r="I221" t="s">
        <v>38</v>
      </c>
      <c r="J221">
        <v>88</v>
      </c>
      <c r="K221">
        <v>74</v>
      </c>
      <c r="L221">
        <v>887</v>
      </c>
      <c r="M221" s="38">
        <v>5757</v>
      </c>
      <c r="N221" s="38">
        <v>1652</v>
      </c>
      <c r="O221" s="38">
        <f t="shared" si="204"/>
        <v>1073</v>
      </c>
      <c r="P221" s="38">
        <v>352</v>
      </c>
      <c r="Q221" s="38">
        <v>50</v>
      </c>
      <c r="R221" s="38">
        <v>177</v>
      </c>
      <c r="S221" s="38">
        <v>474</v>
      </c>
      <c r="T221" s="38">
        <v>56</v>
      </c>
      <c r="U221" s="38">
        <f t="shared" si="205"/>
        <v>3575</v>
      </c>
      <c r="V221">
        <v>1054</v>
      </c>
      <c r="W221">
        <v>103</v>
      </c>
      <c r="X221">
        <v>30</v>
      </c>
      <c r="Y221">
        <v>45</v>
      </c>
      <c r="Z221">
        <v>797</v>
      </c>
      <c r="AA221">
        <v>735</v>
      </c>
      <c r="AB221">
        <v>4.57</v>
      </c>
      <c r="AC221">
        <v>1</v>
      </c>
      <c r="AD221">
        <v>9</v>
      </c>
      <c r="AE221">
        <v>44</v>
      </c>
      <c r="AF221" s="45">
        <f t="shared" ca="1" si="192"/>
        <v>6232</v>
      </c>
      <c r="AG221" s="45">
        <f t="shared" ca="1" si="206"/>
        <v>1676</v>
      </c>
      <c r="AH221" s="45">
        <f t="shared" ca="1" si="207"/>
        <v>1211</v>
      </c>
      <c r="AI221" s="45">
        <f t="shared" ca="1" si="208"/>
        <v>234</v>
      </c>
      <c r="AJ221" s="45">
        <f t="shared" ca="1" si="209"/>
        <v>44</v>
      </c>
      <c r="AK221" s="45">
        <f t="shared" ca="1" si="210"/>
        <v>187</v>
      </c>
      <c r="AL221" s="45">
        <f t="shared" ca="1" si="211"/>
        <v>643</v>
      </c>
      <c r="AM221" s="45">
        <f t="shared" ca="1" si="212"/>
        <v>40</v>
      </c>
      <c r="AN221" s="45">
        <f t="shared" ca="1" si="213"/>
        <v>3873</v>
      </c>
      <c r="AO221">
        <v>4342</v>
      </c>
      <c r="AP221">
        <v>1498</v>
      </c>
      <c r="AQ221">
        <v>174</v>
      </c>
      <c r="AR221">
        <v>566</v>
      </c>
      <c r="AS221">
        <v>1047</v>
      </c>
      <c r="AT221">
        <v>99</v>
      </c>
      <c r="AU221">
        <v>148</v>
      </c>
      <c r="AV221">
        <v>0.98399999999999999</v>
      </c>
      <c r="AW221" s="1"/>
      <c r="AX221" s="1"/>
      <c r="AY221" s="47">
        <f t="shared" si="214"/>
        <v>29700</v>
      </c>
      <c r="AZ221" s="49">
        <f t="shared" si="215"/>
        <v>167783</v>
      </c>
      <c r="BA221" s="49">
        <f t="shared" ref="BA221" si="240">SUMIF($B$2:$B$571,$B221,$R$2:$R$571)</f>
        <v>4957</v>
      </c>
      <c r="BB221" s="48">
        <f t="shared" si="217"/>
        <v>2.9544113527592189E-2</v>
      </c>
    </row>
    <row r="222" spans="2:54" x14ac:dyDescent="0.2">
      <c r="B222" s="3">
        <v>2007</v>
      </c>
      <c r="C222" t="s">
        <v>60</v>
      </c>
      <c r="D222" t="s">
        <v>61</v>
      </c>
      <c r="E222">
        <v>5</v>
      </c>
      <c r="F222" t="s">
        <v>38</v>
      </c>
      <c r="G222" t="s">
        <v>38</v>
      </c>
      <c r="H222" t="s">
        <v>38</v>
      </c>
      <c r="I222" t="s">
        <v>38</v>
      </c>
      <c r="J222">
        <v>71</v>
      </c>
      <c r="K222">
        <v>91</v>
      </c>
      <c r="L222">
        <v>790</v>
      </c>
      <c r="M222" s="38">
        <v>5627</v>
      </c>
      <c r="N222" s="38">
        <v>1504</v>
      </c>
      <c r="O222" s="38">
        <f t="shared" si="204"/>
        <v>925</v>
      </c>
      <c r="P222" s="38">
        <v>340</v>
      </c>
      <c r="Q222" s="38">
        <v>38</v>
      </c>
      <c r="R222" s="38">
        <v>201</v>
      </c>
      <c r="S222" s="38">
        <v>521</v>
      </c>
      <c r="T222" s="38">
        <v>82</v>
      </c>
      <c r="U222" s="38">
        <f t="shared" si="205"/>
        <v>3520</v>
      </c>
      <c r="V222">
        <v>1332</v>
      </c>
      <c r="W222">
        <v>105</v>
      </c>
      <c r="X222">
        <v>34</v>
      </c>
      <c r="Y222">
        <v>42</v>
      </c>
      <c r="Z222">
        <v>891</v>
      </c>
      <c r="AA222">
        <v>793</v>
      </c>
      <c r="AB222">
        <v>4.9400000000000004</v>
      </c>
      <c r="AC222">
        <v>0</v>
      </c>
      <c r="AD222">
        <v>4</v>
      </c>
      <c r="AE222">
        <v>40</v>
      </c>
      <c r="AF222" s="45">
        <f t="shared" ca="1" si="192"/>
        <v>6049</v>
      </c>
      <c r="AG222" s="45">
        <f t="shared" ca="1" si="206"/>
        <v>1582</v>
      </c>
      <c r="AH222" s="45">
        <f t="shared" ca="1" si="207"/>
        <v>1056</v>
      </c>
      <c r="AI222" s="45">
        <f t="shared" ca="1" si="208"/>
        <v>245</v>
      </c>
      <c r="AJ222" s="45">
        <f t="shared" ca="1" si="209"/>
        <v>50</v>
      </c>
      <c r="AK222" s="45">
        <f t="shared" ca="1" si="210"/>
        <v>231</v>
      </c>
      <c r="AL222" s="45">
        <f t="shared" ca="1" si="211"/>
        <v>458</v>
      </c>
      <c r="AM222" s="45">
        <f t="shared" ca="1" si="212"/>
        <v>80</v>
      </c>
      <c r="AN222" s="45">
        <f t="shared" ca="1" si="213"/>
        <v>3929</v>
      </c>
      <c r="AO222">
        <v>4331</v>
      </c>
      <c r="AP222">
        <v>1617</v>
      </c>
      <c r="AQ222">
        <v>176</v>
      </c>
      <c r="AR222">
        <v>661</v>
      </c>
      <c r="AS222">
        <v>1142</v>
      </c>
      <c r="AT222">
        <v>137</v>
      </c>
      <c r="AU222">
        <v>159</v>
      </c>
      <c r="AV222">
        <v>0.97699999999999998</v>
      </c>
      <c r="AW222" s="1"/>
      <c r="AX222" s="1"/>
      <c r="AY222" s="47">
        <f t="shared" si="214"/>
        <v>29700</v>
      </c>
      <c r="AZ222" s="49">
        <f t="shared" si="215"/>
        <v>167783</v>
      </c>
      <c r="BA222" s="49">
        <f t="shared" ref="BA222" si="241">SUMIF($B$2:$B$571,$B222,$S$2:$S$571)</f>
        <v>16079</v>
      </c>
      <c r="BB222" s="48">
        <f t="shared" si="217"/>
        <v>9.5832116483791557E-2</v>
      </c>
    </row>
    <row r="223" spans="2:54" x14ac:dyDescent="0.2">
      <c r="B223" s="3">
        <v>2007</v>
      </c>
      <c r="C223" t="s">
        <v>62</v>
      </c>
      <c r="D223" t="s">
        <v>63</v>
      </c>
      <c r="E223">
        <v>4</v>
      </c>
      <c r="F223" t="s">
        <v>38</v>
      </c>
      <c r="G223" t="s">
        <v>38</v>
      </c>
      <c r="H223" t="s">
        <v>38</v>
      </c>
      <c r="I223" t="s">
        <v>38</v>
      </c>
      <c r="J223">
        <v>73</v>
      </c>
      <c r="K223">
        <v>89</v>
      </c>
      <c r="L223">
        <v>723</v>
      </c>
      <c r="M223" s="38">
        <v>5605</v>
      </c>
      <c r="N223" s="38">
        <v>1457</v>
      </c>
      <c r="O223" s="38">
        <f t="shared" si="204"/>
        <v>967</v>
      </c>
      <c r="P223" s="38">
        <v>293</v>
      </c>
      <c r="Q223" s="38">
        <v>30</v>
      </c>
      <c r="R223" s="38">
        <v>167</v>
      </c>
      <c r="S223" s="38">
        <v>547</v>
      </c>
      <c r="T223" s="38">
        <v>55</v>
      </c>
      <c r="U223" s="38">
        <f t="shared" si="205"/>
        <v>3546</v>
      </c>
      <c r="V223">
        <v>1043</v>
      </c>
      <c r="W223">
        <v>65</v>
      </c>
      <c r="X223">
        <v>33</v>
      </c>
      <c r="Y223">
        <v>40</v>
      </c>
      <c r="Z223">
        <v>813</v>
      </c>
      <c r="AA223">
        <v>761</v>
      </c>
      <c r="AB223">
        <v>4.68</v>
      </c>
      <c r="AC223">
        <v>2</v>
      </c>
      <c r="AD223">
        <v>6</v>
      </c>
      <c r="AE223">
        <v>38</v>
      </c>
      <c r="AF223" s="45">
        <f t="shared" ca="1" si="192"/>
        <v>6138</v>
      </c>
      <c r="AG223" s="45">
        <f t="shared" ca="1" si="206"/>
        <v>1395</v>
      </c>
      <c r="AH223" s="45">
        <f t="shared" ca="1" si="207"/>
        <v>983</v>
      </c>
      <c r="AI223" s="45">
        <f t="shared" ca="1" si="208"/>
        <v>230</v>
      </c>
      <c r="AJ223" s="45">
        <f t="shared" ca="1" si="209"/>
        <v>45</v>
      </c>
      <c r="AK223" s="45">
        <f t="shared" ca="1" si="210"/>
        <v>137</v>
      </c>
      <c r="AL223" s="45">
        <f t="shared" ca="1" si="211"/>
        <v>632</v>
      </c>
      <c r="AM223" s="45">
        <f t="shared" ca="1" si="212"/>
        <v>66</v>
      </c>
      <c r="AN223" s="45">
        <f t="shared" ca="1" si="213"/>
        <v>4045</v>
      </c>
      <c r="AO223">
        <v>4394</v>
      </c>
      <c r="AP223">
        <v>1566</v>
      </c>
      <c r="AQ223">
        <v>206</v>
      </c>
      <c r="AR223">
        <v>510</v>
      </c>
      <c r="AS223">
        <v>1109</v>
      </c>
      <c r="AT223">
        <v>103</v>
      </c>
      <c r="AU223">
        <v>128</v>
      </c>
      <c r="AV223">
        <v>0.98299999999999998</v>
      </c>
      <c r="AW223" s="1"/>
      <c r="AX223" s="1"/>
      <c r="AY223" s="47">
        <f t="shared" si="214"/>
        <v>29700</v>
      </c>
      <c r="AZ223" s="49">
        <f t="shared" si="215"/>
        <v>167783</v>
      </c>
      <c r="BA223" s="49">
        <f t="shared" ref="BA223" si="242">SUMIF($B$2:$B$571,$B223,$T$2:$T$571)</f>
        <v>1755</v>
      </c>
      <c r="BB223" s="48">
        <f t="shared" si="217"/>
        <v>1.0459939326391828E-2</v>
      </c>
    </row>
    <row r="224" spans="2:54" x14ac:dyDescent="0.2">
      <c r="B224" s="3">
        <v>2007</v>
      </c>
      <c r="C224" t="s">
        <v>64</v>
      </c>
      <c r="D224" t="s">
        <v>65</v>
      </c>
      <c r="E224">
        <v>5</v>
      </c>
      <c r="F224" t="s">
        <v>38</v>
      </c>
      <c r="G224" t="s">
        <v>38</v>
      </c>
      <c r="H224" t="s">
        <v>38</v>
      </c>
      <c r="I224" t="s">
        <v>38</v>
      </c>
      <c r="J224">
        <v>69</v>
      </c>
      <c r="K224">
        <v>93</v>
      </c>
      <c r="L224">
        <v>706</v>
      </c>
      <c r="M224" s="38">
        <v>5534</v>
      </c>
      <c r="N224" s="38">
        <v>1447</v>
      </c>
      <c r="O224" s="38">
        <f t="shared" si="204"/>
        <v>999</v>
      </c>
      <c r="P224" s="38">
        <v>300</v>
      </c>
      <c r="Q224" s="38">
        <v>46</v>
      </c>
      <c r="R224" s="38">
        <v>102</v>
      </c>
      <c r="S224" s="38">
        <v>428</v>
      </c>
      <c r="T224" s="38">
        <v>89</v>
      </c>
      <c r="U224" s="38">
        <f t="shared" si="205"/>
        <v>3570</v>
      </c>
      <c r="V224">
        <v>1069</v>
      </c>
      <c r="W224">
        <v>78</v>
      </c>
      <c r="X224">
        <v>44</v>
      </c>
      <c r="Y224">
        <v>47</v>
      </c>
      <c r="Z224">
        <v>778</v>
      </c>
      <c r="AA224">
        <v>716</v>
      </c>
      <c r="AB224">
        <v>4.4800000000000004</v>
      </c>
      <c r="AC224">
        <v>2</v>
      </c>
      <c r="AD224">
        <v>6</v>
      </c>
      <c r="AE224">
        <v>36</v>
      </c>
      <c r="AF224" s="45">
        <f t="shared" ca="1" si="192"/>
        <v>6316</v>
      </c>
      <c r="AG224" s="45">
        <f t="shared" ca="1" si="206"/>
        <v>1578</v>
      </c>
      <c r="AH224" s="45">
        <f t="shared" ca="1" si="207"/>
        <v>1033</v>
      </c>
      <c r="AI224" s="45">
        <f t="shared" ca="1" si="208"/>
        <v>305</v>
      </c>
      <c r="AJ224" s="45">
        <f t="shared" ca="1" si="209"/>
        <v>25</v>
      </c>
      <c r="AK224" s="45">
        <f t="shared" ca="1" si="210"/>
        <v>215</v>
      </c>
      <c r="AL224" s="45">
        <f t="shared" ca="1" si="211"/>
        <v>402</v>
      </c>
      <c r="AM224" s="45">
        <f t="shared" ca="1" si="212"/>
        <v>47</v>
      </c>
      <c r="AN224" s="45">
        <f t="shared" ca="1" si="213"/>
        <v>4289</v>
      </c>
      <c r="AO224">
        <v>4312</v>
      </c>
      <c r="AP224">
        <v>1547</v>
      </c>
      <c r="AQ224">
        <v>168</v>
      </c>
      <c r="AR224">
        <v>520</v>
      </c>
      <c r="AS224">
        <v>993</v>
      </c>
      <c r="AT224">
        <v>106</v>
      </c>
      <c r="AU224">
        <v>160</v>
      </c>
      <c r="AV224">
        <v>0.98199999999999998</v>
      </c>
      <c r="AW224" s="1"/>
      <c r="AX224" s="1"/>
      <c r="AY224" s="47">
        <f t="shared" si="214"/>
        <v>29700</v>
      </c>
      <c r="AZ224" s="49">
        <f t="shared" si="215"/>
        <v>167783</v>
      </c>
      <c r="BA224" s="49">
        <f t="shared" ref="BA224" si="243">SUMIF($B$2:$B$571,$B224,$U$2:$U$571)</f>
        <v>104972</v>
      </c>
      <c r="BB224" s="48">
        <f t="shared" si="217"/>
        <v>0.62564145354416123</v>
      </c>
    </row>
    <row r="225" spans="2:54" x14ac:dyDescent="0.2">
      <c r="B225" s="3">
        <v>2007</v>
      </c>
      <c r="C225" t="s">
        <v>98</v>
      </c>
      <c r="D225" t="s">
        <v>99</v>
      </c>
      <c r="E225">
        <v>1</v>
      </c>
      <c r="F225" t="s">
        <v>43</v>
      </c>
      <c r="G225" t="s">
        <v>38</v>
      </c>
      <c r="H225" t="s">
        <v>38</v>
      </c>
      <c r="I225" t="s">
        <v>38</v>
      </c>
      <c r="J225">
        <v>94</v>
      </c>
      <c r="K225">
        <v>68</v>
      </c>
      <c r="L225">
        <v>822</v>
      </c>
      <c r="M225" s="38">
        <v>5554</v>
      </c>
      <c r="N225" s="38">
        <v>1578</v>
      </c>
      <c r="O225" s="38">
        <f t="shared" si="204"/>
        <v>1108</v>
      </c>
      <c r="P225" s="38">
        <v>324</v>
      </c>
      <c r="Q225" s="38">
        <v>23</v>
      </c>
      <c r="R225" s="38">
        <v>123</v>
      </c>
      <c r="S225" s="38">
        <v>507</v>
      </c>
      <c r="T225" s="38">
        <v>40</v>
      </c>
      <c r="U225" s="38">
        <f t="shared" si="205"/>
        <v>3429</v>
      </c>
      <c r="V225">
        <v>883</v>
      </c>
      <c r="W225">
        <v>139</v>
      </c>
      <c r="X225">
        <v>55</v>
      </c>
      <c r="Y225">
        <v>65</v>
      </c>
      <c r="Z225">
        <v>731</v>
      </c>
      <c r="AA225">
        <v>674</v>
      </c>
      <c r="AB225">
        <v>4.2300000000000004</v>
      </c>
      <c r="AC225">
        <v>5</v>
      </c>
      <c r="AD225">
        <v>9</v>
      </c>
      <c r="AE225">
        <v>43</v>
      </c>
      <c r="AF225" s="45">
        <f t="shared" ca="1" si="192"/>
        <v>6091</v>
      </c>
      <c r="AG225" s="45">
        <f t="shared" ca="1" si="206"/>
        <v>1457</v>
      </c>
      <c r="AH225" s="45">
        <f t="shared" ca="1" si="207"/>
        <v>862</v>
      </c>
      <c r="AI225" s="45">
        <f t="shared" ca="1" si="208"/>
        <v>311</v>
      </c>
      <c r="AJ225" s="45">
        <f t="shared" ca="1" si="209"/>
        <v>45</v>
      </c>
      <c r="AK225" s="45">
        <f t="shared" ca="1" si="210"/>
        <v>239</v>
      </c>
      <c r="AL225" s="45">
        <f t="shared" ca="1" si="211"/>
        <v>562</v>
      </c>
      <c r="AM225" s="45">
        <f t="shared" ca="1" si="212"/>
        <v>65</v>
      </c>
      <c r="AN225" s="45">
        <f t="shared" ca="1" si="213"/>
        <v>4007</v>
      </c>
      <c r="AO225">
        <v>4305</v>
      </c>
      <c r="AP225">
        <v>1480</v>
      </c>
      <c r="AQ225">
        <v>151</v>
      </c>
      <c r="AR225">
        <v>477</v>
      </c>
      <c r="AS225">
        <v>1156</v>
      </c>
      <c r="AT225">
        <v>101</v>
      </c>
      <c r="AU225">
        <v>154</v>
      </c>
      <c r="AV225">
        <v>0.98299999999999998</v>
      </c>
      <c r="AW225" s="1"/>
      <c r="AX225" s="1"/>
      <c r="AY225" s="47">
        <f t="shared" si="214"/>
        <v>29700</v>
      </c>
      <c r="AZ225" s="49">
        <f t="shared" si="215"/>
        <v>167783</v>
      </c>
      <c r="BA225" s="49"/>
      <c r="BB225" s="48">
        <f t="shared" si="217"/>
        <v>0</v>
      </c>
    </row>
    <row r="226" spans="2:54" x14ac:dyDescent="0.2">
      <c r="B226" s="3">
        <v>2007</v>
      </c>
      <c r="C226" t="s">
        <v>66</v>
      </c>
      <c r="D226" t="s">
        <v>67</v>
      </c>
      <c r="E226">
        <v>4</v>
      </c>
      <c r="F226" t="s">
        <v>38</v>
      </c>
      <c r="G226" t="s">
        <v>38</v>
      </c>
      <c r="H226" t="s">
        <v>38</v>
      </c>
      <c r="I226" t="s">
        <v>38</v>
      </c>
      <c r="J226">
        <v>82</v>
      </c>
      <c r="K226">
        <v>80</v>
      </c>
      <c r="L226">
        <v>735</v>
      </c>
      <c r="M226" s="38">
        <v>5614</v>
      </c>
      <c r="N226" s="38">
        <v>1544</v>
      </c>
      <c r="O226" s="38">
        <f t="shared" si="204"/>
        <v>1104</v>
      </c>
      <c r="P226" s="38">
        <v>276</v>
      </c>
      <c r="Q226" s="38">
        <v>35</v>
      </c>
      <c r="R226" s="38">
        <v>129</v>
      </c>
      <c r="S226" s="38">
        <v>511</v>
      </c>
      <c r="T226" s="38">
        <v>41</v>
      </c>
      <c r="U226" s="38">
        <f t="shared" si="205"/>
        <v>3518</v>
      </c>
      <c r="V226">
        <v>864</v>
      </c>
      <c r="W226">
        <v>137</v>
      </c>
      <c r="X226">
        <v>50</v>
      </c>
      <c r="Y226">
        <v>55</v>
      </c>
      <c r="Z226">
        <v>727</v>
      </c>
      <c r="AA226">
        <v>677</v>
      </c>
      <c r="AB226">
        <v>4.2</v>
      </c>
      <c r="AC226">
        <v>4</v>
      </c>
      <c r="AD226">
        <v>6</v>
      </c>
      <c r="AE226">
        <v>43</v>
      </c>
      <c r="AF226" s="45">
        <f t="shared" ca="1" si="192"/>
        <v>6346</v>
      </c>
      <c r="AG226" s="45">
        <f t="shared" ca="1" si="206"/>
        <v>1401</v>
      </c>
      <c r="AH226" s="45">
        <f t="shared" ca="1" si="207"/>
        <v>909</v>
      </c>
      <c r="AI226" s="45">
        <f t="shared" ca="1" si="208"/>
        <v>299</v>
      </c>
      <c r="AJ226" s="45">
        <f t="shared" ca="1" si="209"/>
        <v>28</v>
      </c>
      <c r="AK226" s="45">
        <f t="shared" ca="1" si="210"/>
        <v>165</v>
      </c>
      <c r="AL226" s="45">
        <f t="shared" ca="1" si="211"/>
        <v>427</v>
      </c>
      <c r="AM226" s="45">
        <f t="shared" ca="1" si="212"/>
        <v>77</v>
      </c>
      <c r="AN226" s="45">
        <f t="shared" ca="1" si="213"/>
        <v>4441</v>
      </c>
      <c r="AO226">
        <v>4350</v>
      </c>
      <c r="AP226">
        <v>1443</v>
      </c>
      <c r="AQ226">
        <v>146</v>
      </c>
      <c r="AR226">
        <v>518</v>
      </c>
      <c r="AS226">
        <v>1184</v>
      </c>
      <c r="AT226">
        <v>114</v>
      </c>
      <c r="AU226">
        <v>160</v>
      </c>
      <c r="AV226">
        <v>0.98099999999999998</v>
      </c>
      <c r="AW226" s="1"/>
      <c r="AX226" s="1"/>
      <c r="AY226" s="47">
        <f t="shared" si="214"/>
        <v>29700</v>
      </c>
      <c r="AZ226" s="49">
        <f t="shared" si="215"/>
        <v>167783</v>
      </c>
      <c r="BA226" s="49">
        <f t="shared" ref="BA226" si="244">SUMIF($B$2:$B$571,$B226,$O$2:$O$571)</f>
        <v>29885</v>
      </c>
      <c r="BB226" s="48">
        <f t="shared" si="217"/>
        <v>0.17811697251807393</v>
      </c>
    </row>
    <row r="227" spans="2:54" x14ac:dyDescent="0.2">
      <c r="B227" s="3">
        <v>2007</v>
      </c>
      <c r="C227" t="s">
        <v>68</v>
      </c>
      <c r="D227" t="s">
        <v>69</v>
      </c>
      <c r="E227">
        <v>2</v>
      </c>
      <c r="F227" t="s">
        <v>38</v>
      </c>
      <c r="G227" t="s">
        <v>38</v>
      </c>
      <c r="H227" t="s">
        <v>38</v>
      </c>
      <c r="I227" t="s">
        <v>38</v>
      </c>
      <c r="J227">
        <v>83</v>
      </c>
      <c r="K227">
        <v>79</v>
      </c>
      <c r="L227">
        <v>801</v>
      </c>
      <c r="M227" s="38">
        <v>5554</v>
      </c>
      <c r="N227" s="38">
        <v>1455</v>
      </c>
      <c r="O227" s="38">
        <f t="shared" si="204"/>
        <v>877</v>
      </c>
      <c r="P227" s="38">
        <v>310</v>
      </c>
      <c r="Q227" s="38">
        <v>37</v>
      </c>
      <c r="R227" s="38">
        <v>231</v>
      </c>
      <c r="S227" s="38">
        <v>501</v>
      </c>
      <c r="T227" s="38">
        <v>76</v>
      </c>
      <c r="U227" s="38">
        <f t="shared" si="205"/>
        <v>3522</v>
      </c>
      <c r="V227">
        <v>1137</v>
      </c>
      <c r="W227">
        <v>96</v>
      </c>
      <c r="X227">
        <v>32</v>
      </c>
      <c r="Y227">
        <v>47</v>
      </c>
      <c r="Z227">
        <v>776</v>
      </c>
      <c r="AA227">
        <v>708</v>
      </c>
      <c r="AB227">
        <v>4.41</v>
      </c>
      <c r="AC227">
        <v>3</v>
      </c>
      <c r="AD227">
        <v>6</v>
      </c>
      <c r="AE227">
        <v>49</v>
      </c>
      <c r="AF227" s="45">
        <f t="shared" ca="1" si="192"/>
        <v>6236</v>
      </c>
      <c r="AG227" s="45">
        <f t="shared" ca="1" si="206"/>
        <v>1414</v>
      </c>
      <c r="AH227" s="45">
        <f t="shared" ca="1" si="207"/>
        <v>947</v>
      </c>
      <c r="AI227" s="45">
        <f t="shared" ca="1" si="208"/>
        <v>283</v>
      </c>
      <c r="AJ227" s="45">
        <f t="shared" ca="1" si="209"/>
        <v>20</v>
      </c>
      <c r="AK227" s="45">
        <f t="shared" ca="1" si="210"/>
        <v>164</v>
      </c>
      <c r="AL227" s="45">
        <f t="shared" ca="1" si="211"/>
        <v>482</v>
      </c>
      <c r="AM227" s="45">
        <f t="shared" ca="1" si="212"/>
        <v>45</v>
      </c>
      <c r="AN227" s="45">
        <f t="shared" ca="1" si="213"/>
        <v>4295</v>
      </c>
      <c r="AO227">
        <v>4333</v>
      </c>
      <c r="AP227">
        <v>1513</v>
      </c>
      <c r="AQ227">
        <v>161</v>
      </c>
      <c r="AR227">
        <v>507</v>
      </c>
      <c r="AS227">
        <v>1174</v>
      </c>
      <c r="AT227">
        <v>109</v>
      </c>
      <c r="AU227">
        <v>144</v>
      </c>
      <c r="AV227">
        <v>0.98199999999999998</v>
      </c>
      <c r="AW227" s="1"/>
      <c r="AX227" s="1"/>
      <c r="AY227" s="47">
        <f t="shared" si="214"/>
        <v>29700</v>
      </c>
      <c r="AZ227" s="49">
        <f t="shared" si="215"/>
        <v>167783</v>
      </c>
      <c r="BA227" s="49">
        <f t="shared" ref="BA227" si="245">SUMIF($B$2:$B$571,$B227,$P$2:$P$571)</f>
        <v>9197</v>
      </c>
      <c r="BB227" s="48">
        <f t="shared" si="217"/>
        <v>5.4814850133803779E-2</v>
      </c>
    </row>
    <row r="228" spans="2:54" x14ac:dyDescent="0.2">
      <c r="B228" s="3">
        <v>2007</v>
      </c>
      <c r="C228" t="s">
        <v>70</v>
      </c>
      <c r="D228" t="s">
        <v>71</v>
      </c>
      <c r="E228">
        <v>3</v>
      </c>
      <c r="F228" t="s">
        <v>38</v>
      </c>
      <c r="G228" t="s">
        <v>38</v>
      </c>
      <c r="H228" t="s">
        <v>38</v>
      </c>
      <c r="I228" t="s">
        <v>38</v>
      </c>
      <c r="J228">
        <v>79</v>
      </c>
      <c r="K228">
        <v>83</v>
      </c>
      <c r="L228">
        <v>718</v>
      </c>
      <c r="M228" s="38">
        <v>5522</v>
      </c>
      <c r="N228" s="38">
        <v>1460</v>
      </c>
      <c r="O228" s="38">
        <f t="shared" si="204"/>
        <v>1033</v>
      </c>
      <c r="P228" s="38">
        <v>273</v>
      </c>
      <c r="Q228" s="38">
        <v>36</v>
      </c>
      <c r="R228" s="38">
        <v>118</v>
      </c>
      <c r="S228" s="38">
        <v>512</v>
      </c>
      <c r="T228" s="38">
        <v>48</v>
      </c>
      <c r="U228" s="38">
        <f t="shared" si="205"/>
        <v>3502</v>
      </c>
      <c r="V228">
        <v>839</v>
      </c>
      <c r="W228">
        <v>112</v>
      </c>
      <c r="X228">
        <v>30</v>
      </c>
      <c r="Y228">
        <v>45</v>
      </c>
      <c r="Z228">
        <v>725</v>
      </c>
      <c r="AA228">
        <v>663</v>
      </c>
      <c r="AB228">
        <v>4.1500000000000004</v>
      </c>
      <c r="AC228">
        <v>5</v>
      </c>
      <c r="AD228">
        <v>8</v>
      </c>
      <c r="AE228">
        <v>38</v>
      </c>
      <c r="AF228" s="45">
        <f t="shared" ca="1" si="192"/>
        <v>6084</v>
      </c>
      <c r="AG228" s="45">
        <f t="shared" ca="1" si="206"/>
        <v>1637</v>
      </c>
      <c r="AH228" s="45">
        <f t="shared" ca="1" si="207"/>
        <v>1129</v>
      </c>
      <c r="AI228" s="45">
        <f t="shared" ca="1" si="208"/>
        <v>240</v>
      </c>
      <c r="AJ228" s="45">
        <f t="shared" ca="1" si="209"/>
        <v>30</v>
      </c>
      <c r="AK228" s="45">
        <f t="shared" ca="1" si="210"/>
        <v>238</v>
      </c>
      <c r="AL228" s="45">
        <f t="shared" ca="1" si="211"/>
        <v>416</v>
      </c>
      <c r="AM228" s="45">
        <f t="shared" ca="1" si="212"/>
        <v>75</v>
      </c>
      <c r="AN228" s="45">
        <f t="shared" ca="1" si="213"/>
        <v>3956</v>
      </c>
      <c r="AO228">
        <v>4310</v>
      </c>
      <c r="AP228">
        <v>1505</v>
      </c>
      <c r="AQ228">
        <v>185</v>
      </c>
      <c r="AR228">
        <v>420</v>
      </c>
      <c r="AS228">
        <v>1094</v>
      </c>
      <c r="AT228">
        <v>95</v>
      </c>
      <c r="AU228">
        <v>151</v>
      </c>
      <c r="AV228">
        <v>0.98399999999999999</v>
      </c>
      <c r="AW228" s="1"/>
      <c r="AX228" s="1"/>
      <c r="AY228" s="47">
        <f t="shared" si="214"/>
        <v>29700</v>
      </c>
      <c r="AZ228" s="49">
        <f t="shared" si="215"/>
        <v>167783</v>
      </c>
      <c r="BA228" s="49">
        <f t="shared" ref="BA228" si="246">SUMIF($B$2:$B$571,$B228,$Q$2:$Q$571)</f>
        <v>938</v>
      </c>
      <c r="BB228" s="48">
        <f t="shared" si="217"/>
        <v>5.5905544661854897E-3</v>
      </c>
    </row>
    <row r="229" spans="2:54" x14ac:dyDescent="0.2">
      <c r="B229" s="3">
        <v>2007</v>
      </c>
      <c r="C229" t="s">
        <v>74</v>
      </c>
      <c r="D229" t="s">
        <v>75</v>
      </c>
      <c r="E229">
        <v>2</v>
      </c>
      <c r="F229" t="s">
        <v>38</v>
      </c>
      <c r="G229" t="s">
        <v>43</v>
      </c>
      <c r="H229" t="s">
        <v>38</v>
      </c>
      <c r="I229" t="s">
        <v>38</v>
      </c>
      <c r="J229">
        <v>94</v>
      </c>
      <c r="K229">
        <v>68</v>
      </c>
      <c r="L229">
        <v>968</v>
      </c>
      <c r="M229" s="38">
        <v>5717</v>
      </c>
      <c r="N229" s="38">
        <v>1656</v>
      </c>
      <c r="O229" s="38">
        <f t="shared" si="204"/>
        <v>1097</v>
      </c>
      <c r="P229" s="38">
        <v>326</v>
      </c>
      <c r="Q229" s="38">
        <v>32</v>
      </c>
      <c r="R229" s="38">
        <v>201</v>
      </c>
      <c r="S229" s="38">
        <v>637</v>
      </c>
      <c r="T229" s="38">
        <v>78</v>
      </c>
      <c r="U229" s="38">
        <f t="shared" si="205"/>
        <v>3346</v>
      </c>
      <c r="V229">
        <v>991</v>
      </c>
      <c r="W229">
        <v>123</v>
      </c>
      <c r="X229">
        <v>40</v>
      </c>
      <c r="Y229">
        <v>54</v>
      </c>
      <c r="Z229">
        <v>777</v>
      </c>
      <c r="AA229">
        <v>724</v>
      </c>
      <c r="AB229">
        <v>4.49</v>
      </c>
      <c r="AC229">
        <v>1</v>
      </c>
      <c r="AD229">
        <v>5</v>
      </c>
      <c r="AE229">
        <v>34</v>
      </c>
      <c r="AF229" s="45">
        <f t="shared" ca="1" si="192"/>
        <v>6329</v>
      </c>
      <c r="AG229" s="45">
        <f t="shared" ca="1" si="206"/>
        <v>1521</v>
      </c>
      <c r="AH229" s="45">
        <f t="shared" ca="1" si="207"/>
        <v>1026</v>
      </c>
      <c r="AI229" s="45">
        <f t="shared" ca="1" si="208"/>
        <v>244</v>
      </c>
      <c r="AJ229" s="45">
        <f t="shared" ca="1" si="209"/>
        <v>21</v>
      </c>
      <c r="AK229" s="45">
        <f t="shared" ca="1" si="210"/>
        <v>230</v>
      </c>
      <c r="AL229" s="45">
        <f t="shared" ca="1" si="211"/>
        <v>564</v>
      </c>
      <c r="AM229" s="45">
        <f t="shared" ca="1" si="212"/>
        <v>76</v>
      </c>
      <c r="AN229" s="45">
        <f t="shared" ca="1" si="213"/>
        <v>4168</v>
      </c>
      <c r="AO229">
        <v>4352</v>
      </c>
      <c r="AP229">
        <v>1498</v>
      </c>
      <c r="AQ229">
        <v>150</v>
      </c>
      <c r="AR229">
        <v>578</v>
      </c>
      <c r="AS229">
        <v>1009</v>
      </c>
      <c r="AT229">
        <v>88</v>
      </c>
      <c r="AU229">
        <v>174</v>
      </c>
      <c r="AV229">
        <v>0.98499999999999999</v>
      </c>
      <c r="AW229" s="1"/>
      <c r="AX229" s="1"/>
      <c r="AY229" s="47">
        <f t="shared" si="214"/>
        <v>29700</v>
      </c>
      <c r="AZ229" s="49">
        <f t="shared" si="215"/>
        <v>167783</v>
      </c>
      <c r="BA229" s="49">
        <f t="shared" ref="BA229" si="247">SUMIF($B$2:$B$571,$B229,$R$2:$R$571)</f>
        <v>4957</v>
      </c>
      <c r="BB229" s="48">
        <f t="shared" si="217"/>
        <v>2.9544113527592189E-2</v>
      </c>
    </row>
    <row r="230" spans="2:54" x14ac:dyDescent="0.2">
      <c r="B230" s="3">
        <v>2007</v>
      </c>
      <c r="C230" t="s">
        <v>76</v>
      </c>
      <c r="D230" t="s">
        <v>77</v>
      </c>
      <c r="E230">
        <v>2</v>
      </c>
      <c r="F230" t="s">
        <v>38</v>
      </c>
      <c r="G230" t="s">
        <v>38</v>
      </c>
      <c r="H230" t="s">
        <v>38</v>
      </c>
      <c r="I230" t="s">
        <v>38</v>
      </c>
      <c r="J230">
        <v>88</v>
      </c>
      <c r="K230">
        <v>74</v>
      </c>
      <c r="L230">
        <v>804</v>
      </c>
      <c r="M230" s="38">
        <v>5605</v>
      </c>
      <c r="N230" s="38">
        <v>1543</v>
      </c>
      <c r="O230" s="38">
        <f t="shared" si="204"/>
        <v>1045</v>
      </c>
      <c r="P230" s="38">
        <v>294</v>
      </c>
      <c r="Q230" s="38">
        <v>27</v>
      </c>
      <c r="R230" s="38">
        <v>177</v>
      </c>
      <c r="S230" s="38">
        <v>549</v>
      </c>
      <c r="T230" s="38">
        <v>54</v>
      </c>
      <c r="U230" s="38">
        <f t="shared" si="205"/>
        <v>3459</v>
      </c>
      <c r="V230">
        <v>981</v>
      </c>
      <c r="W230">
        <v>200</v>
      </c>
      <c r="X230">
        <v>46</v>
      </c>
      <c r="Y230">
        <v>58</v>
      </c>
      <c r="Z230">
        <v>750</v>
      </c>
      <c r="AA230">
        <v>687</v>
      </c>
      <c r="AB230">
        <v>4.26</v>
      </c>
      <c r="AC230">
        <v>2</v>
      </c>
      <c r="AD230">
        <v>10</v>
      </c>
      <c r="AE230">
        <v>39</v>
      </c>
      <c r="AF230" s="45">
        <f t="shared" ca="1" si="192"/>
        <v>6055</v>
      </c>
      <c r="AG230" s="45">
        <f t="shared" ca="1" si="206"/>
        <v>1450</v>
      </c>
      <c r="AH230" s="45">
        <f t="shared" ca="1" si="207"/>
        <v>921</v>
      </c>
      <c r="AI230" s="45">
        <f t="shared" ca="1" si="208"/>
        <v>256</v>
      </c>
      <c r="AJ230" s="45">
        <f t="shared" ca="1" si="209"/>
        <v>33</v>
      </c>
      <c r="AK230" s="45">
        <f t="shared" ca="1" si="210"/>
        <v>240</v>
      </c>
      <c r="AL230" s="45">
        <f t="shared" ca="1" si="211"/>
        <v>539</v>
      </c>
      <c r="AM230" s="45">
        <f t="shared" ca="1" si="212"/>
        <v>61</v>
      </c>
      <c r="AN230" s="45">
        <f t="shared" ca="1" si="213"/>
        <v>4005</v>
      </c>
      <c r="AO230">
        <v>4357</v>
      </c>
      <c r="AP230">
        <v>1415</v>
      </c>
      <c r="AQ230">
        <v>165</v>
      </c>
      <c r="AR230">
        <v>570</v>
      </c>
      <c r="AS230">
        <v>1134</v>
      </c>
      <c r="AT230">
        <v>101</v>
      </c>
      <c r="AU230">
        <v>124</v>
      </c>
      <c r="AV230">
        <v>0.98299999999999998</v>
      </c>
      <c r="AW230" s="1"/>
      <c r="AX230" s="1"/>
      <c r="AY230" s="47">
        <f t="shared" si="214"/>
        <v>29700</v>
      </c>
      <c r="AZ230" s="49">
        <f t="shared" si="215"/>
        <v>167783</v>
      </c>
      <c r="BA230" s="49">
        <f t="shared" ref="BA230" si="248">SUMIF($B$2:$B$571,$B230,$S$2:$S$571)</f>
        <v>16079</v>
      </c>
      <c r="BB230" s="48">
        <f t="shared" si="217"/>
        <v>9.5832116483791557E-2</v>
      </c>
    </row>
    <row r="231" spans="2:54" x14ac:dyDescent="0.2">
      <c r="B231" s="3">
        <v>2007</v>
      </c>
      <c r="C231" t="s">
        <v>78</v>
      </c>
      <c r="D231" t="s">
        <v>79</v>
      </c>
      <c r="E231">
        <v>3</v>
      </c>
      <c r="F231" t="s">
        <v>38</v>
      </c>
      <c r="G231" t="s">
        <v>38</v>
      </c>
      <c r="H231" t="s">
        <v>38</v>
      </c>
      <c r="I231" t="s">
        <v>38</v>
      </c>
      <c r="J231">
        <v>76</v>
      </c>
      <c r="K231">
        <v>86</v>
      </c>
      <c r="L231">
        <v>741</v>
      </c>
      <c r="M231" s="38">
        <v>5577</v>
      </c>
      <c r="N231" s="38">
        <v>1430</v>
      </c>
      <c r="O231" s="38">
        <f t="shared" si="204"/>
        <v>948</v>
      </c>
      <c r="P231" s="38">
        <v>295</v>
      </c>
      <c r="Q231" s="38">
        <v>16</v>
      </c>
      <c r="R231" s="38">
        <v>171</v>
      </c>
      <c r="S231" s="38">
        <v>664</v>
      </c>
      <c r="T231" s="38">
        <v>49</v>
      </c>
      <c r="U231" s="38">
        <f t="shared" si="205"/>
        <v>3434</v>
      </c>
      <c r="V231">
        <v>1119</v>
      </c>
      <c r="W231">
        <v>52</v>
      </c>
      <c r="X231">
        <v>20</v>
      </c>
      <c r="Y231">
        <v>56</v>
      </c>
      <c r="Z231">
        <v>758</v>
      </c>
      <c r="AA231">
        <v>689</v>
      </c>
      <c r="AB231">
        <v>4.28</v>
      </c>
      <c r="AC231">
        <v>4</v>
      </c>
      <c r="AD231">
        <v>9</v>
      </c>
      <c r="AE231">
        <v>36</v>
      </c>
      <c r="AF231" s="45">
        <f t="shared" ca="1" si="192"/>
        <v>6211</v>
      </c>
      <c r="AG231" s="45">
        <f t="shared" ca="1" si="206"/>
        <v>1630</v>
      </c>
      <c r="AH231" s="45">
        <f t="shared" ca="1" si="207"/>
        <v>1047</v>
      </c>
      <c r="AI231" s="45">
        <f t="shared" ca="1" si="208"/>
        <v>328</v>
      </c>
      <c r="AJ231" s="45">
        <f t="shared" ca="1" si="209"/>
        <v>37</v>
      </c>
      <c r="AK231" s="45">
        <f t="shared" ca="1" si="210"/>
        <v>218</v>
      </c>
      <c r="AL231" s="45">
        <f t="shared" ca="1" si="211"/>
        <v>678</v>
      </c>
      <c r="AM231" s="45">
        <f t="shared" ca="1" si="212"/>
        <v>77</v>
      </c>
      <c r="AN231" s="45">
        <f t="shared" ca="1" si="213"/>
        <v>3826</v>
      </c>
      <c r="AO231">
        <v>4344</v>
      </c>
      <c r="AP231">
        <v>1468</v>
      </c>
      <c r="AQ231">
        <v>138</v>
      </c>
      <c r="AR231">
        <v>530</v>
      </c>
      <c r="AS231">
        <v>1036</v>
      </c>
      <c r="AT231">
        <v>90</v>
      </c>
      <c r="AU231">
        <v>153</v>
      </c>
      <c r="AV231">
        <v>0.98499999999999999</v>
      </c>
      <c r="AW231" s="1"/>
      <c r="AX231" s="1"/>
      <c r="AY231" s="47">
        <f t="shared" si="214"/>
        <v>29700</v>
      </c>
      <c r="AZ231" s="49">
        <f t="shared" si="215"/>
        <v>167783</v>
      </c>
      <c r="BA231" s="49">
        <f t="shared" ref="BA231" si="249">SUMIF($B$2:$B$571,$B231,$T$2:$T$571)</f>
        <v>1755</v>
      </c>
      <c r="BB231" s="48">
        <f t="shared" si="217"/>
        <v>1.0459939326391828E-2</v>
      </c>
    </row>
    <row r="232" spans="2:54" x14ac:dyDescent="0.2">
      <c r="B232" s="3">
        <v>2007</v>
      </c>
      <c r="C232" t="s">
        <v>80</v>
      </c>
      <c r="D232" t="s">
        <v>81</v>
      </c>
      <c r="E232">
        <v>1</v>
      </c>
      <c r="F232" t="s">
        <v>43</v>
      </c>
      <c r="G232" t="s">
        <v>38</v>
      </c>
      <c r="H232" t="s">
        <v>38</v>
      </c>
      <c r="I232" t="s">
        <v>38</v>
      </c>
      <c r="J232">
        <v>89</v>
      </c>
      <c r="K232">
        <v>73</v>
      </c>
      <c r="L232">
        <v>892</v>
      </c>
      <c r="M232" s="38">
        <v>5688</v>
      </c>
      <c r="N232" s="38">
        <v>1558</v>
      </c>
      <c r="O232" s="38">
        <f t="shared" si="204"/>
        <v>978</v>
      </c>
      <c r="P232" s="38">
        <v>326</v>
      </c>
      <c r="Q232" s="38">
        <v>41</v>
      </c>
      <c r="R232" s="38">
        <v>213</v>
      </c>
      <c r="S232" s="38">
        <v>641</v>
      </c>
      <c r="T232" s="38">
        <v>90</v>
      </c>
      <c r="U232" s="38">
        <f t="shared" si="205"/>
        <v>3399</v>
      </c>
      <c r="V232">
        <v>1205</v>
      </c>
      <c r="W232">
        <v>138</v>
      </c>
      <c r="X232">
        <v>19</v>
      </c>
      <c r="Y232">
        <v>52</v>
      </c>
      <c r="Z232">
        <v>821</v>
      </c>
      <c r="AA232">
        <v>767</v>
      </c>
      <c r="AB232">
        <v>4.7300000000000004</v>
      </c>
      <c r="AC232">
        <v>5</v>
      </c>
      <c r="AD232">
        <v>5</v>
      </c>
      <c r="AE232">
        <v>42</v>
      </c>
      <c r="AF232" s="45">
        <f t="shared" ca="1" si="192"/>
        <v>6335</v>
      </c>
      <c r="AG232" s="45">
        <f t="shared" ca="1" si="206"/>
        <v>1684</v>
      </c>
      <c r="AH232" s="45">
        <f t="shared" ca="1" si="207"/>
        <v>1199</v>
      </c>
      <c r="AI232" s="45">
        <f t="shared" ca="1" si="208"/>
        <v>235</v>
      </c>
      <c r="AJ232" s="45">
        <f t="shared" ca="1" si="209"/>
        <v>24</v>
      </c>
      <c r="AK232" s="45">
        <f t="shared" ca="1" si="210"/>
        <v>226</v>
      </c>
      <c r="AL232" s="45">
        <f t="shared" ca="1" si="211"/>
        <v>598</v>
      </c>
      <c r="AM232" s="45">
        <f t="shared" ca="1" si="212"/>
        <v>85</v>
      </c>
      <c r="AN232" s="45">
        <f t="shared" ca="1" si="213"/>
        <v>3968</v>
      </c>
      <c r="AO232">
        <v>4375</v>
      </c>
      <c r="AP232">
        <v>1555</v>
      </c>
      <c r="AQ232">
        <v>198</v>
      </c>
      <c r="AR232">
        <v>558</v>
      </c>
      <c r="AS232">
        <v>1050</v>
      </c>
      <c r="AT232">
        <v>89</v>
      </c>
      <c r="AU232">
        <v>162</v>
      </c>
      <c r="AV232">
        <v>0.98599999999999999</v>
      </c>
      <c r="AW232" s="1"/>
      <c r="AX232" s="1"/>
      <c r="AY232" s="47">
        <f t="shared" si="214"/>
        <v>29700</v>
      </c>
      <c r="AZ232" s="49">
        <f t="shared" si="215"/>
        <v>167783</v>
      </c>
      <c r="BA232" s="49">
        <f t="shared" ref="BA232" si="250">SUMIF($B$2:$B$571,$B232,$U$2:$U$571)</f>
        <v>104972</v>
      </c>
      <c r="BB232" s="48">
        <f t="shared" si="217"/>
        <v>0.62564145354416123</v>
      </c>
    </row>
    <row r="233" spans="2:54" x14ac:dyDescent="0.2">
      <c r="B233" s="3">
        <v>2007</v>
      </c>
      <c r="C233" t="s">
        <v>82</v>
      </c>
      <c r="D233" t="s">
        <v>83</v>
      </c>
      <c r="E233">
        <v>6</v>
      </c>
      <c r="F233" t="s">
        <v>38</v>
      </c>
      <c r="G233" t="s">
        <v>38</v>
      </c>
      <c r="H233" t="s">
        <v>38</v>
      </c>
      <c r="I233" t="s">
        <v>38</v>
      </c>
      <c r="J233">
        <v>68</v>
      </c>
      <c r="K233">
        <v>94</v>
      </c>
      <c r="L233">
        <v>724</v>
      </c>
      <c r="M233" s="38">
        <v>5569</v>
      </c>
      <c r="N233" s="38">
        <v>1463</v>
      </c>
      <c r="O233" s="38">
        <f t="shared" si="204"/>
        <v>962</v>
      </c>
      <c r="P233" s="38">
        <v>322</v>
      </c>
      <c r="Q233" s="38">
        <v>31</v>
      </c>
      <c r="R233" s="38">
        <v>148</v>
      </c>
      <c r="S233" s="38">
        <v>463</v>
      </c>
      <c r="T233" s="38">
        <v>71</v>
      </c>
      <c r="U233" s="38">
        <f t="shared" si="205"/>
        <v>3572</v>
      </c>
      <c r="V233">
        <v>1135</v>
      </c>
      <c r="W233">
        <v>68</v>
      </c>
      <c r="X233">
        <v>30</v>
      </c>
      <c r="Y233">
        <v>51</v>
      </c>
      <c r="Z233">
        <v>846</v>
      </c>
      <c r="AA233">
        <v>793</v>
      </c>
      <c r="AB233">
        <v>4.93</v>
      </c>
      <c r="AC233">
        <v>4</v>
      </c>
      <c r="AD233">
        <v>5</v>
      </c>
      <c r="AE233">
        <v>32</v>
      </c>
      <c r="AF233" s="45">
        <f t="shared" ca="1" si="192"/>
        <v>6365</v>
      </c>
      <c r="AG233" s="45">
        <f t="shared" ca="1" si="206"/>
        <v>1571</v>
      </c>
      <c r="AH233" s="45">
        <f t="shared" ca="1" si="207"/>
        <v>1005</v>
      </c>
      <c r="AI233" s="45">
        <f t="shared" ca="1" si="208"/>
        <v>361</v>
      </c>
      <c r="AJ233" s="45">
        <f t="shared" ca="1" si="209"/>
        <v>35</v>
      </c>
      <c r="AK233" s="45">
        <f t="shared" ca="1" si="210"/>
        <v>170</v>
      </c>
      <c r="AL233" s="45">
        <f t="shared" ca="1" si="211"/>
        <v>455</v>
      </c>
      <c r="AM233" s="45">
        <f t="shared" ca="1" si="212"/>
        <v>84</v>
      </c>
      <c r="AN233" s="45">
        <f t="shared" ca="1" si="213"/>
        <v>4255</v>
      </c>
      <c r="AO233">
        <v>4343</v>
      </c>
      <c r="AP233">
        <v>1627</v>
      </c>
      <c r="AQ233">
        <v>174</v>
      </c>
      <c r="AR233">
        <v>518</v>
      </c>
      <c r="AS233">
        <v>997</v>
      </c>
      <c r="AT233">
        <v>83</v>
      </c>
      <c r="AU233">
        <v>190</v>
      </c>
      <c r="AV233">
        <v>0.98599999999999999</v>
      </c>
      <c r="AW233" s="1"/>
      <c r="AX233" s="1"/>
      <c r="AY233" s="47">
        <f t="shared" si="214"/>
        <v>29700</v>
      </c>
      <c r="AZ233" s="49">
        <f t="shared" si="215"/>
        <v>167783</v>
      </c>
      <c r="BA233" s="49"/>
      <c r="BB233" s="48">
        <f t="shared" si="217"/>
        <v>0</v>
      </c>
    </row>
    <row r="234" spans="2:54" x14ac:dyDescent="0.2">
      <c r="B234" s="3">
        <v>2007</v>
      </c>
      <c r="C234" t="s">
        <v>84</v>
      </c>
      <c r="D234" t="s">
        <v>85</v>
      </c>
      <c r="E234">
        <v>3</v>
      </c>
      <c r="F234" t="s">
        <v>38</v>
      </c>
      <c r="G234" t="s">
        <v>38</v>
      </c>
      <c r="H234" t="s">
        <v>38</v>
      </c>
      <c r="I234" t="s">
        <v>38</v>
      </c>
      <c r="J234">
        <v>89</v>
      </c>
      <c r="K234">
        <v>74</v>
      </c>
      <c r="L234">
        <v>741</v>
      </c>
      <c r="M234" s="38">
        <v>5612</v>
      </c>
      <c r="N234" s="38">
        <v>1408</v>
      </c>
      <c r="O234" s="38">
        <f t="shared" si="204"/>
        <v>884</v>
      </c>
      <c r="P234" s="38">
        <v>322</v>
      </c>
      <c r="Q234" s="38">
        <v>31</v>
      </c>
      <c r="R234" s="38">
        <v>171</v>
      </c>
      <c r="S234" s="38">
        <v>557</v>
      </c>
      <c r="T234" s="38">
        <v>49</v>
      </c>
      <c r="U234" s="38">
        <f t="shared" si="205"/>
        <v>3598</v>
      </c>
      <c r="V234">
        <v>1229</v>
      </c>
      <c r="W234">
        <v>55</v>
      </c>
      <c r="X234">
        <v>24</v>
      </c>
      <c r="Y234">
        <v>44</v>
      </c>
      <c r="Z234">
        <v>666</v>
      </c>
      <c r="AA234">
        <v>611</v>
      </c>
      <c r="AB234">
        <v>3.7</v>
      </c>
      <c r="AC234">
        <v>1</v>
      </c>
      <c r="AD234">
        <v>20</v>
      </c>
      <c r="AE234">
        <v>45</v>
      </c>
      <c r="AF234" s="45">
        <f t="shared" ca="1" si="192"/>
        <v>6085</v>
      </c>
      <c r="AG234" s="45">
        <f t="shared" ca="1" si="206"/>
        <v>1694</v>
      </c>
      <c r="AH234" s="45">
        <f t="shared" ca="1" si="207"/>
        <v>1137</v>
      </c>
      <c r="AI234" s="45">
        <f t="shared" ca="1" si="208"/>
        <v>330</v>
      </c>
      <c r="AJ234" s="45">
        <f t="shared" ca="1" si="209"/>
        <v>21</v>
      </c>
      <c r="AK234" s="45">
        <f t="shared" ca="1" si="210"/>
        <v>206</v>
      </c>
      <c r="AL234" s="45">
        <f t="shared" ca="1" si="211"/>
        <v>401</v>
      </c>
      <c r="AM234" s="45">
        <f t="shared" ca="1" si="212"/>
        <v>88</v>
      </c>
      <c r="AN234" s="45">
        <f t="shared" ca="1" si="213"/>
        <v>3902</v>
      </c>
      <c r="AO234">
        <v>4454</v>
      </c>
      <c r="AP234">
        <v>1406</v>
      </c>
      <c r="AQ234">
        <v>119</v>
      </c>
      <c r="AR234">
        <v>474</v>
      </c>
      <c r="AS234">
        <v>1136</v>
      </c>
      <c r="AT234">
        <v>92</v>
      </c>
      <c r="AU234">
        <v>147</v>
      </c>
      <c r="AV234">
        <v>0.98499999999999999</v>
      </c>
      <c r="AW234" s="1"/>
      <c r="AX234" s="1"/>
      <c r="AY234" s="47">
        <f t="shared" si="214"/>
        <v>29700</v>
      </c>
      <c r="AZ234" s="49">
        <f t="shared" si="215"/>
        <v>167783</v>
      </c>
      <c r="BA234" s="49">
        <f t="shared" ref="BA234" si="251">SUMIF($B$2:$B$571,$B234,$O$2:$O$571)</f>
        <v>29885</v>
      </c>
      <c r="BB234" s="48">
        <f t="shared" si="217"/>
        <v>0.17811697251807393</v>
      </c>
    </row>
    <row r="235" spans="2:54" x14ac:dyDescent="0.2">
      <c r="B235" s="3">
        <v>2007</v>
      </c>
      <c r="C235" t="s">
        <v>86</v>
      </c>
      <c r="D235" t="s">
        <v>87</v>
      </c>
      <c r="E235">
        <v>2</v>
      </c>
      <c r="F235" t="s">
        <v>38</v>
      </c>
      <c r="G235" t="s">
        <v>38</v>
      </c>
      <c r="H235" t="s">
        <v>38</v>
      </c>
      <c r="I235" t="s">
        <v>38</v>
      </c>
      <c r="J235">
        <v>88</v>
      </c>
      <c r="K235">
        <v>74</v>
      </c>
      <c r="L235">
        <v>794</v>
      </c>
      <c r="M235" s="38">
        <v>5684</v>
      </c>
      <c r="N235" s="38">
        <v>1629</v>
      </c>
      <c r="O235" s="38">
        <f t="shared" si="204"/>
        <v>1170</v>
      </c>
      <c r="P235" s="38">
        <v>284</v>
      </c>
      <c r="Q235" s="38">
        <v>22</v>
      </c>
      <c r="R235" s="38">
        <v>153</v>
      </c>
      <c r="S235" s="38">
        <v>389</v>
      </c>
      <c r="T235" s="38">
        <v>62</v>
      </c>
      <c r="U235" s="38">
        <f t="shared" si="205"/>
        <v>3604</v>
      </c>
      <c r="V235">
        <v>861</v>
      </c>
      <c r="W235">
        <v>81</v>
      </c>
      <c r="X235">
        <v>30</v>
      </c>
      <c r="Y235">
        <v>40</v>
      </c>
      <c r="Z235">
        <v>813</v>
      </c>
      <c r="AA235">
        <v>754</v>
      </c>
      <c r="AB235">
        <v>4.7300000000000004</v>
      </c>
      <c r="AC235">
        <v>6</v>
      </c>
      <c r="AD235">
        <v>12</v>
      </c>
      <c r="AE235">
        <v>43</v>
      </c>
      <c r="AF235" s="45">
        <f t="shared" ca="1" si="192"/>
        <v>6222</v>
      </c>
      <c r="AG235" s="45">
        <f t="shared" ca="1" si="206"/>
        <v>1338</v>
      </c>
      <c r="AH235" s="45">
        <f t="shared" ca="1" si="207"/>
        <v>895</v>
      </c>
      <c r="AI235" s="45">
        <f t="shared" ca="1" si="208"/>
        <v>233</v>
      </c>
      <c r="AJ235" s="45">
        <f t="shared" ca="1" si="209"/>
        <v>49</v>
      </c>
      <c r="AK235" s="45">
        <f t="shared" ca="1" si="210"/>
        <v>161</v>
      </c>
      <c r="AL235" s="45">
        <f t="shared" ca="1" si="211"/>
        <v>664</v>
      </c>
      <c r="AM235" s="45">
        <f t="shared" ca="1" si="212"/>
        <v>40</v>
      </c>
      <c r="AN235" s="45">
        <f t="shared" ca="1" si="213"/>
        <v>4180</v>
      </c>
      <c r="AO235">
        <v>4303</v>
      </c>
      <c r="AP235">
        <v>1578</v>
      </c>
      <c r="AQ235">
        <v>147</v>
      </c>
      <c r="AR235">
        <v>546</v>
      </c>
      <c r="AS235">
        <v>1020</v>
      </c>
      <c r="AT235">
        <v>90</v>
      </c>
      <c r="AU235">
        <v>167</v>
      </c>
      <c r="AV235">
        <v>0.98499999999999999</v>
      </c>
      <c r="AW235" s="1"/>
      <c r="AX235" s="1"/>
      <c r="AY235" s="47">
        <f t="shared" si="214"/>
        <v>29700</v>
      </c>
      <c r="AZ235" s="49">
        <f t="shared" si="215"/>
        <v>167783</v>
      </c>
      <c r="BA235" s="49">
        <f t="shared" ref="BA235" si="252">SUMIF($B$2:$B$571,$B235,$P$2:$P$571)</f>
        <v>9197</v>
      </c>
      <c r="BB235" s="48">
        <f t="shared" si="217"/>
        <v>5.4814850133803779E-2</v>
      </c>
    </row>
    <row r="236" spans="2:54" x14ac:dyDescent="0.2">
      <c r="B236" s="3">
        <v>2007</v>
      </c>
      <c r="C236" t="s">
        <v>88</v>
      </c>
      <c r="D236" t="s">
        <v>89</v>
      </c>
      <c r="E236">
        <v>5</v>
      </c>
      <c r="F236" t="s">
        <v>38</v>
      </c>
      <c r="G236" t="s">
        <v>38</v>
      </c>
      <c r="H236" t="s">
        <v>38</v>
      </c>
      <c r="I236" t="s">
        <v>38</v>
      </c>
      <c r="J236">
        <v>71</v>
      </c>
      <c r="K236">
        <v>91</v>
      </c>
      <c r="L236">
        <v>683</v>
      </c>
      <c r="M236" s="38">
        <v>5538</v>
      </c>
      <c r="N236" s="38">
        <v>1407</v>
      </c>
      <c r="O236" s="38">
        <f t="shared" si="204"/>
        <v>972</v>
      </c>
      <c r="P236" s="38">
        <v>267</v>
      </c>
      <c r="Q236" s="38">
        <v>37</v>
      </c>
      <c r="R236" s="38">
        <v>131</v>
      </c>
      <c r="S236" s="38">
        <v>532</v>
      </c>
      <c r="T236" s="38">
        <v>39</v>
      </c>
      <c r="U236" s="38">
        <f t="shared" si="205"/>
        <v>3560</v>
      </c>
      <c r="V236">
        <v>907</v>
      </c>
      <c r="W236">
        <v>119</v>
      </c>
      <c r="X236">
        <v>33</v>
      </c>
      <c r="Y236">
        <v>36</v>
      </c>
      <c r="Z236">
        <v>720</v>
      </c>
      <c r="AA236">
        <v>677</v>
      </c>
      <c r="AB236">
        <v>4.1900000000000004</v>
      </c>
      <c r="AC236">
        <v>5</v>
      </c>
      <c r="AD236">
        <v>10</v>
      </c>
      <c r="AE236">
        <v>37</v>
      </c>
      <c r="AF236" s="45">
        <f t="shared" ca="1" si="192"/>
        <v>6071</v>
      </c>
      <c r="AG236" s="45">
        <f t="shared" ca="1" si="206"/>
        <v>1348</v>
      </c>
      <c r="AH236" s="45">
        <f t="shared" ca="1" si="207"/>
        <v>877</v>
      </c>
      <c r="AI236" s="45">
        <f t="shared" ca="1" si="208"/>
        <v>275</v>
      </c>
      <c r="AJ236" s="45">
        <f t="shared" ca="1" si="209"/>
        <v>27</v>
      </c>
      <c r="AK236" s="45">
        <f t="shared" ca="1" si="210"/>
        <v>169</v>
      </c>
      <c r="AL236" s="45">
        <f t="shared" ca="1" si="211"/>
        <v>570</v>
      </c>
      <c r="AM236" s="45">
        <f t="shared" ca="1" si="212"/>
        <v>31</v>
      </c>
      <c r="AN236" s="45">
        <f t="shared" ca="1" si="213"/>
        <v>4122</v>
      </c>
      <c r="AO236">
        <v>4361</v>
      </c>
      <c r="AP236">
        <v>1442</v>
      </c>
      <c r="AQ236">
        <v>133</v>
      </c>
      <c r="AR236">
        <v>593</v>
      </c>
      <c r="AS236">
        <v>1057</v>
      </c>
      <c r="AT236">
        <v>88</v>
      </c>
      <c r="AU236">
        <v>148</v>
      </c>
      <c r="AV236">
        <v>0.98599999999999999</v>
      </c>
      <c r="AW236" s="1"/>
      <c r="AX236" s="1"/>
      <c r="AY236" s="47">
        <f t="shared" si="214"/>
        <v>29700</v>
      </c>
      <c r="AZ236" s="49">
        <f t="shared" si="215"/>
        <v>167783</v>
      </c>
      <c r="BA236" s="49">
        <f t="shared" ref="BA236" si="253">SUMIF($B$2:$B$571,$B236,$Q$2:$Q$571)</f>
        <v>938</v>
      </c>
      <c r="BB236" s="48">
        <f t="shared" si="217"/>
        <v>5.5905544661854897E-3</v>
      </c>
    </row>
    <row r="237" spans="2:54" x14ac:dyDescent="0.2">
      <c r="B237" s="3">
        <v>2007</v>
      </c>
      <c r="C237" t="s">
        <v>90</v>
      </c>
      <c r="D237" t="s">
        <v>91</v>
      </c>
      <c r="E237">
        <v>3</v>
      </c>
      <c r="F237" t="s">
        <v>38</v>
      </c>
      <c r="G237" t="s">
        <v>38</v>
      </c>
      <c r="H237" t="s">
        <v>38</v>
      </c>
      <c r="I237" t="s">
        <v>38</v>
      </c>
      <c r="J237">
        <v>78</v>
      </c>
      <c r="K237">
        <v>84</v>
      </c>
      <c r="L237">
        <v>725</v>
      </c>
      <c r="M237" s="38">
        <v>5529</v>
      </c>
      <c r="N237" s="38">
        <v>1513</v>
      </c>
      <c r="O237" s="38">
        <f t="shared" si="204"/>
        <v>1080</v>
      </c>
      <c r="P237" s="38">
        <v>279</v>
      </c>
      <c r="Q237" s="38">
        <v>13</v>
      </c>
      <c r="R237" s="38">
        <v>141</v>
      </c>
      <c r="S237" s="38">
        <v>506</v>
      </c>
      <c r="T237" s="38">
        <v>54</v>
      </c>
      <c r="U237" s="38">
        <f t="shared" si="205"/>
        <v>3456</v>
      </c>
      <c r="V237">
        <v>909</v>
      </c>
      <c r="W237">
        <v>56</v>
      </c>
      <c r="X237">
        <v>33</v>
      </c>
      <c r="Y237">
        <v>54</v>
      </c>
      <c r="Z237">
        <v>829</v>
      </c>
      <c r="AA237">
        <v>741</v>
      </c>
      <c r="AB237">
        <v>4.6500000000000004</v>
      </c>
      <c r="AC237">
        <v>2</v>
      </c>
      <c r="AD237">
        <v>8</v>
      </c>
      <c r="AE237">
        <v>34</v>
      </c>
      <c r="AF237" s="45">
        <f t="shared" ca="1" si="192"/>
        <v>6094</v>
      </c>
      <c r="AG237" s="45">
        <f t="shared" ca="1" si="206"/>
        <v>1568</v>
      </c>
      <c r="AH237" s="45">
        <f t="shared" ca="1" si="207"/>
        <v>1013</v>
      </c>
      <c r="AI237" s="45">
        <f t="shared" ca="1" si="208"/>
        <v>293</v>
      </c>
      <c r="AJ237" s="45">
        <f t="shared" ca="1" si="209"/>
        <v>30</v>
      </c>
      <c r="AK237" s="45">
        <f t="shared" ca="1" si="210"/>
        <v>232</v>
      </c>
      <c r="AL237" s="45">
        <f t="shared" ca="1" si="211"/>
        <v>632</v>
      </c>
      <c r="AM237" s="45">
        <f t="shared" ca="1" si="212"/>
        <v>61</v>
      </c>
      <c r="AN237" s="45">
        <f t="shared" ca="1" si="213"/>
        <v>3833</v>
      </c>
      <c r="AO237">
        <v>4307</v>
      </c>
      <c r="AP237">
        <v>1514</v>
      </c>
      <c r="AQ237">
        <v>168</v>
      </c>
      <c r="AR237">
        <v>509</v>
      </c>
      <c r="AS237">
        <v>945</v>
      </c>
      <c r="AT237">
        <v>121</v>
      </c>
      <c r="AU237">
        <v>155</v>
      </c>
      <c r="AV237">
        <v>0.98</v>
      </c>
      <c r="AW237" s="1"/>
      <c r="AX237" s="1"/>
      <c r="AY237" s="47">
        <f t="shared" si="214"/>
        <v>29700</v>
      </c>
      <c r="AZ237" s="49">
        <f t="shared" si="215"/>
        <v>167783</v>
      </c>
      <c r="BA237" s="49">
        <f t="shared" ref="BA237" si="254">SUMIF($B$2:$B$571,$B237,$R$2:$R$571)</f>
        <v>4957</v>
      </c>
      <c r="BB237" s="48">
        <f t="shared" si="217"/>
        <v>2.9544113527592189E-2</v>
      </c>
    </row>
    <row r="238" spans="2:54" x14ac:dyDescent="0.2">
      <c r="B238" s="3">
        <v>2007</v>
      </c>
      <c r="C238" t="s">
        <v>92</v>
      </c>
      <c r="D238" t="s">
        <v>93</v>
      </c>
      <c r="E238">
        <v>5</v>
      </c>
      <c r="F238" t="s">
        <v>38</v>
      </c>
      <c r="G238" t="s">
        <v>38</v>
      </c>
      <c r="H238" t="s">
        <v>38</v>
      </c>
      <c r="I238" t="s">
        <v>38</v>
      </c>
      <c r="J238">
        <v>66</v>
      </c>
      <c r="K238">
        <v>96</v>
      </c>
      <c r="L238">
        <v>782</v>
      </c>
      <c r="M238" s="38">
        <v>5593</v>
      </c>
      <c r="N238" s="38">
        <v>1500</v>
      </c>
      <c r="O238" s="38">
        <f t="shared" si="204"/>
        <v>986</v>
      </c>
      <c r="P238" s="38">
        <v>291</v>
      </c>
      <c r="Q238" s="38">
        <v>36</v>
      </c>
      <c r="R238" s="38">
        <v>187</v>
      </c>
      <c r="S238" s="38">
        <v>545</v>
      </c>
      <c r="T238" s="38">
        <v>53</v>
      </c>
      <c r="U238" s="38">
        <f t="shared" si="205"/>
        <v>3495</v>
      </c>
      <c r="V238">
        <v>1324</v>
      </c>
      <c r="W238">
        <v>131</v>
      </c>
      <c r="X238">
        <v>48</v>
      </c>
      <c r="Y238">
        <v>52</v>
      </c>
      <c r="Z238">
        <v>944</v>
      </c>
      <c r="AA238">
        <v>879</v>
      </c>
      <c r="AB238">
        <v>5.53</v>
      </c>
      <c r="AC238">
        <v>2</v>
      </c>
      <c r="AD238">
        <v>2</v>
      </c>
      <c r="AE238">
        <v>28</v>
      </c>
      <c r="AF238" s="45">
        <f t="shared" ca="1" si="192"/>
        <v>6209</v>
      </c>
      <c r="AG238" s="45">
        <f t="shared" ca="1" si="206"/>
        <v>1318</v>
      </c>
      <c r="AH238" s="45">
        <f t="shared" ca="1" si="207"/>
        <v>829</v>
      </c>
      <c r="AI238" s="45">
        <f t="shared" ca="1" si="208"/>
        <v>223</v>
      </c>
      <c r="AJ238" s="45">
        <f t="shared" ca="1" si="209"/>
        <v>37</v>
      </c>
      <c r="AK238" s="45">
        <f t="shared" ca="1" si="210"/>
        <v>229</v>
      </c>
      <c r="AL238" s="45">
        <f t="shared" ca="1" si="211"/>
        <v>614</v>
      </c>
      <c r="AM238" s="45">
        <f t="shared" ca="1" si="212"/>
        <v>42</v>
      </c>
      <c r="AN238" s="45">
        <f t="shared" ca="1" si="213"/>
        <v>4235</v>
      </c>
      <c r="AO238">
        <v>4289</v>
      </c>
      <c r="AP238">
        <v>1649</v>
      </c>
      <c r="AQ238">
        <v>199</v>
      </c>
      <c r="AR238">
        <v>568</v>
      </c>
      <c r="AS238">
        <v>1194</v>
      </c>
      <c r="AT238">
        <v>117</v>
      </c>
      <c r="AU238">
        <v>155</v>
      </c>
      <c r="AV238">
        <v>0.98</v>
      </c>
      <c r="AW238" s="1"/>
      <c r="AX238" s="1"/>
      <c r="AY238" s="47">
        <f t="shared" si="214"/>
        <v>29700</v>
      </c>
      <c r="AZ238" s="49">
        <f t="shared" si="215"/>
        <v>167783</v>
      </c>
      <c r="BA238" s="49">
        <f t="shared" ref="BA238" si="255">SUMIF($B$2:$B$571,$B238,$S$2:$S$571)</f>
        <v>16079</v>
      </c>
      <c r="BB238" s="48">
        <f t="shared" si="217"/>
        <v>9.5832116483791557E-2</v>
      </c>
    </row>
    <row r="239" spans="2:54" x14ac:dyDescent="0.2">
      <c r="B239" s="3">
        <v>2007</v>
      </c>
      <c r="C239" t="s">
        <v>94</v>
      </c>
      <c r="D239" t="s">
        <v>95</v>
      </c>
      <c r="E239">
        <v>4</v>
      </c>
      <c r="F239" t="s">
        <v>38</v>
      </c>
      <c r="G239" t="s">
        <v>38</v>
      </c>
      <c r="H239" t="s">
        <v>38</v>
      </c>
      <c r="I239" t="s">
        <v>38</v>
      </c>
      <c r="J239">
        <v>75</v>
      </c>
      <c r="K239">
        <v>87</v>
      </c>
      <c r="L239">
        <v>816</v>
      </c>
      <c r="M239" s="38">
        <v>5555</v>
      </c>
      <c r="N239" s="38">
        <v>1460</v>
      </c>
      <c r="O239" s="38">
        <f t="shared" si="204"/>
        <v>947</v>
      </c>
      <c r="P239" s="38">
        <v>298</v>
      </c>
      <c r="Q239" s="38">
        <v>36</v>
      </c>
      <c r="R239" s="38">
        <v>179</v>
      </c>
      <c r="S239" s="38">
        <v>503</v>
      </c>
      <c r="T239" s="38">
        <v>56</v>
      </c>
      <c r="U239" s="38">
        <f t="shared" si="205"/>
        <v>3536</v>
      </c>
      <c r="V239">
        <v>1224</v>
      </c>
      <c r="W239">
        <v>88</v>
      </c>
      <c r="X239">
        <v>25</v>
      </c>
      <c r="Y239">
        <v>42</v>
      </c>
      <c r="Z239">
        <v>844</v>
      </c>
      <c r="AA239">
        <v>755</v>
      </c>
      <c r="AB239">
        <v>4.75</v>
      </c>
      <c r="AC239">
        <v>0</v>
      </c>
      <c r="AD239">
        <v>6</v>
      </c>
      <c r="AE239">
        <v>42</v>
      </c>
      <c r="AF239" s="45">
        <f t="shared" ca="1" si="192"/>
        <v>6325</v>
      </c>
      <c r="AG239" s="45">
        <f t="shared" ca="1" si="206"/>
        <v>1663</v>
      </c>
      <c r="AH239" s="45">
        <f t="shared" ca="1" si="207"/>
        <v>1125</v>
      </c>
      <c r="AI239" s="45">
        <f t="shared" ca="1" si="208"/>
        <v>344</v>
      </c>
      <c r="AJ239" s="45">
        <f t="shared" ca="1" si="209"/>
        <v>28</v>
      </c>
      <c r="AK239" s="45">
        <f t="shared" ca="1" si="210"/>
        <v>166</v>
      </c>
      <c r="AL239" s="45">
        <f t="shared" ca="1" si="211"/>
        <v>472</v>
      </c>
      <c r="AM239" s="45">
        <f t="shared" ca="1" si="212"/>
        <v>44</v>
      </c>
      <c r="AN239" s="45">
        <f t="shared" ca="1" si="213"/>
        <v>4146</v>
      </c>
      <c r="AO239">
        <v>4290</v>
      </c>
      <c r="AP239">
        <v>1525</v>
      </c>
      <c r="AQ239">
        <v>155</v>
      </c>
      <c r="AR239">
        <v>668</v>
      </c>
      <c r="AS239">
        <v>976</v>
      </c>
      <c r="AT239">
        <v>124</v>
      </c>
      <c r="AU239">
        <v>179</v>
      </c>
      <c r="AV239">
        <v>0.98</v>
      </c>
      <c r="AW239" s="1"/>
      <c r="AX239" s="1"/>
      <c r="AY239" s="47">
        <f t="shared" si="214"/>
        <v>29700</v>
      </c>
      <c r="AZ239" s="49">
        <f t="shared" si="215"/>
        <v>167783</v>
      </c>
      <c r="BA239" s="49">
        <f t="shared" ref="BA239" si="256">SUMIF($B$2:$B$571,$B239,$T$2:$T$571)</f>
        <v>1755</v>
      </c>
      <c r="BB239" s="48">
        <f t="shared" si="217"/>
        <v>1.0459939326391828E-2</v>
      </c>
    </row>
    <row r="240" spans="2:54" x14ac:dyDescent="0.2">
      <c r="B240" s="3">
        <v>2007</v>
      </c>
      <c r="C240" t="s">
        <v>96</v>
      </c>
      <c r="D240" t="s">
        <v>97</v>
      </c>
      <c r="E240">
        <v>3</v>
      </c>
      <c r="F240" t="s">
        <v>38</v>
      </c>
      <c r="G240" t="s">
        <v>38</v>
      </c>
      <c r="H240" t="s">
        <v>38</v>
      </c>
      <c r="I240" t="s">
        <v>38</v>
      </c>
      <c r="J240">
        <v>83</v>
      </c>
      <c r="K240">
        <v>79</v>
      </c>
      <c r="L240">
        <v>753</v>
      </c>
      <c r="M240" s="38">
        <v>5536</v>
      </c>
      <c r="N240" s="38">
        <v>1434</v>
      </c>
      <c r="O240" s="38">
        <f t="shared" si="204"/>
        <v>901</v>
      </c>
      <c r="P240" s="38">
        <v>344</v>
      </c>
      <c r="Q240" s="38">
        <v>24</v>
      </c>
      <c r="R240" s="38">
        <v>165</v>
      </c>
      <c r="S240" s="38">
        <v>533</v>
      </c>
      <c r="T240" s="38">
        <v>47</v>
      </c>
      <c r="U240" s="38">
        <f t="shared" si="205"/>
        <v>3522</v>
      </c>
      <c r="V240">
        <v>1044</v>
      </c>
      <c r="W240">
        <v>57</v>
      </c>
      <c r="X240">
        <v>22</v>
      </c>
      <c r="Y240">
        <v>48</v>
      </c>
      <c r="Z240">
        <v>699</v>
      </c>
      <c r="AA240">
        <v>644</v>
      </c>
      <c r="AB240">
        <v>4</v>
      </c>
      <c r="AC240">
        <v>11</v>
      </c>
      <c r="AD240">
        <v>9</v>
      </c>
      <c r="AE240">
        <v>44</v>
      </c>
      <c r="AF240" s="45">
        <f t="shared" ca="1" si="192"/>
        <v>6424</v>
      </c>
      <c r="AG240" s="45">
        <f t="shared" ca="1" si="206"/>
        <v>1385</v>
      </c>
      <c r="AH240" s="45">
        <f t="shared" ca="1" si="207"/>
        <v>894</v>
      </c>
      <c r="AI240" s="45">
        <f t="shared" ca="1" si="208"/>
        <v>270</v>
      </c>
      <c r="AJ240" s="45">
        <f t="shared" ca="1" si="209"/>
        <v>50</v>
      </c>
      <c r="AK240" s="45">
        <f t="shared" ca="1" si="210"/>
        <v>171</v>
      </c>
      <c r="AL240" s="45">
        <f t="shared" ca="1" si="211"/>
        <v>617</v>
      </c>
      <c r="AM240" s="45">
        <f t="shared" ca="1" si="212"/>
        <v>61</v>
      </c>
      <c r="AN240" s="45">
        <f t="shared" ca="1" si="213"/>
        <v>4361</v>
      </c>
      <c r="AO240">
        <v>4346</v>
      </c>
      <c r="AP240">
        <v>1383</v>
      </c>
      <c r="AQ240">
        <v>157</v>
      </c>
      <c r="AR240">
        <v>479</v>
      </c>
      <c r="AS240">
        <v>1067</v>
      </c>
      <c r="AT240">
        <v>102</v>
      </c>
      <c r="AU240">
        <v>160</v>
      </c>
      <c r="AV240">
        <v>0.98399999999999999</v>
      </c>
      <c r="AW240" s="1"/>
      <c r="AX240" s="1"/>
      <c r="AY240" s="47">
        <f t="shared" si="214"/>
        <v>29700</v>
      </c>
      <c r="AZ240" s="49">
        <f t="shared" si="215"/>
        <v>167783</v>
      </c>
      <c r="BA240" s="49">
        <f t="shared" ref="BA240" si="257">SUMIF($B$2:$B$571,$B240,$U$2:$U$571)</f>
        <v>104972</v>
      </c>
      <c r="BB240" s="48">
        <f t="shared" si="217"/>
        <v>0.62564145354416123</v>
      </c>
    </row>
    <row r="241" spans="2:54" x14ac:dyDescent="0.2">
      <c r="B241" s="3">
        <v>2007</v>
      </c>
      <c r="C241" t="s">
        <v>100</v>
      </c>
      <c r="D241" t="s">
        <v>101</v>
      </c>
      <c r="E241">
        <v>4</v>
      </c>
      <c r="F241" t="s">
        <v>38</v>
      </c>
      <c r="G241" t="s">
        <v>38</v>
      </c>
      <c r="H241" t="s">
        <v>38</v>
      </c>
      <c r="I241" t="s">
        <v>38</v>
      </c>
      <c r="J241">
        <v>73</v>
      </c>
      <c r="K241">
        <v>89</v>
      </c>
      <c r="L241">
        <v>673</v>
      </c>
      <c r="M241" s="38">
        <v>5520</v>
      </c>
      <c r="N241" s="38">
        <v>1415</v>
      </c>
      <c r="O241" s="38">
        <f t="shared" si="204"/>
        <v>952</v>
      </c>
      <c r="P241" s="38">
        <v>309</v>
      </c>
      <c r="Q241" s="38">
        <v>31</v>
      </c>
      <c r="R241" s="38">
        <v>123</v>
      </c>
      <c r="S241" s="38">
        <v>524</v>
      </c>
      <c r="T241" s="38">
        <v>53</v>
      </c>
      <c r="U241" s="38">
        <f t="shared" si="205"/>
        <v>3528</v>
      </c>
      <c r="V241">
        <v>1128</v>
      </c>
      <c r="W241">
        <v>69</v>
      </c>
      <c r="X241">
        <v>23</v>
      </c>
      <c r="Y241">
        <v>41</v>
      </c>
      <c r="Z241">
        <v>783</v>
      </c>
      <c r="AA241">
        <v>736</v>
      </c>
      <c r="AB241">
        <v>4.58</v>
      </c>
      <c r="AC241">
        <v>0</v>
      </c>
      <c r="AD241">
        <v>6</v>
      </c>
      <c r="AE241">
        <v>46</v>
      </c>
      <c r="AF241" s="45">
        <f t="shared" ca="1" si="192"/>
        <v>6352</v>
      </c>
      <c r="AG241" s="45">
        <f t="shared" ca="1" si="206"/>
        <v>1328</v>
      </c>
      <c r="AH241" s="45">
        <f t="shared" ca="1" si="207"/>
        <v>861</v>
      </c>
      <c r="AI241" s="45">
        <f t="shared" ca="1" si="208"/>
        <v>308</v>
      </c>
      <c r="AJ241" s="45">
        <f t="shared" ca="1" si="209"/>
        <v>28</v>
      </c>
      <c r="AK241" s="45">
        <f t="shared" ca="1" si="210"/>
        <v>131</v>
      </c>
      <c r="AL241" s="45">
        <f t="shared" ca="1" si="211"/>
        <v>442</v>
      </c>
      <c r="AM241" s="45">
        <f t="shared" ca="1" si="212"/>
        <v>81</v>
      </c>
      <c r="AN241" s="45">
        <f t="shared" ca="1" si="213"/>
        <v>4501</v>
      </c>
      <c r="AO241">
        <v>4340</v>
      </c>
      <c r="AP241">
        <v>1502</v>
      </c>
      <c r="AQ241">
        <v>187</v>
      </c>
      <c r="AR241">
        <v>580</v>
      </c>
      <c r="AS241">
        <v>931</v>
      </c>
      <c r="AT241">
        <v>109</v>
      </c>
      <c r="AU241">
        <v>153</v>
      </c>
      <c r="AV241">
        <v>0.98199999999999998</v>
      </c>
      <c r="AW241" s="1"/>
      <c r="AX241" s="1"/>
      <c r="AY241" s="47">
        <f t="shared" si="214"/>
        <v>29700</v>
      </c>
      <c r="AZ241" s="49">
        <f t="shared" si="215"/>
        <v>167783</v>
      </c>
      <c r="BA241" s="49"/>
      <c r="BB241" s="48">
        <f t="shared" si="217"/>
        <v>0</v>
      </c>
    </row>
    <row r="242" spans="2:54" x14ac:dyDescent="0.2">
      <c r="B242" s="3">
        <v>2008</v>
      </c>
      <c r="C242" t="s">
        <v>39</v>
      </c>
      <c r="D242" t="s">
        <v>40</v>
      </c>
      <c r="E242">
        <v>2</v>
      </c>
      <c r="F242" t="s">
        <v>38</v>
      </c>
      <c r="G242" t="s">
        <v>38</v>
      </c>
      <c r="H242" t="s">
        <v>38</v>
      </c>
      <c r="I242" t="s">
        <v>38</v>
      </c>
      <c r="J242">
        <v>82</v>
      </c>
      <c r="K242">
        <v>80</v>
      </c>
      <c r="L242">
        <v>720</v>
      </c>
      <c r="M242" s="38">
        <v>5409</v>
      </c>
      <c r="N242" s="38">
        <v>1355</v>
      </c>
      <c r="O242" s="38">
        <f t="shared" si="204"/>
        <v>831</v>
      </c>
      <c r="P242" s="38">
        <v>318</v>
      </c>
      <c r="Q242" s="38">
        <v>47</v>
      </c>
      <c r="R242" s="38">
        <v>159</v>
      </c>
      <c r="S242" s="38">
        <v>587</v>
      </c>
      <c r="T242" s="38">
        <v>49</v>
      </c>
      <c r="U242" s="38">
        <f t="shared" si="205"/>
        <v>3418</v>
      </c>
      <c r="V242">
        <v>1287</v>
      </c>
      <c r="W242">
        <v>58</v>
      </c>
      <c r="X242">
        <v>23</v>
      </c>
      <c r="Y242">
        <v>43</v>
      </c>
      <c r="Z242">
        <v>706</v>
      </c>
      <c r="AA242">
        <v>635</v>
      </c>
      <c r="AB242">
        <v>3.98</v>
      </c>
      <c r="AC242">
        <v>6</v>
      </c>
      <c r="AD242">
        <v>9</v>
      </c>
      <c r="AE242">
        <v>39</v>
      </c>
      <c r="AF242" s="45">
        <f t="shared" ca="1" si="192"/>
        <v>6257</v>
      </c>
      <c r="AG242" s="45">
        <f t="shared" ca="1" si="206"/>
        <v>1528</v>
      </c>
      <c r="AH242" s="45">
        <f t="shared" ca="1" si="207"/>
        <v>924</v>
      </c>
      <c r="AI242" s="45">
        <f t="shared" ca="1" si="208"/>
        <v>378</v>
      </c>
      <c r="AJ242" s="45">
        <f t="shared" ca="1" si="209"/>
        <v>22</v>
      </c>
      <c r="AK242" s="45">
        <f t="shared" ca="1" si="210"/>
        <v>204</v>
      </c>
      <c r="AL242" s="45">
        <f t="shared" ca="1" si="211"/>
        <v>500</v>
      </c>
      <c r="AM242" s="45">
        <f t="shared" ca="1" si="212"/>
        <v>68</v>
      </c>
      <c r="AN242" s="45">
        <f t="shared" ca="1" si="213"/>
        <v>4161</v>
      </c>
      <c r="AO242">
        <v>4304</v>
      </c>
      <c r="AP242">
        <v>1403</v>
      </c>
      <c r="AQ242">
        <v>147</v>
      </c>
      <c r="AR242">
        <v>451</v>
      </c>
      <c r="AS242">
        <v>1229</v>
      </c>
      <c r="AT242">
        <v>113</v>
      </c>
      <c r="AU242">
        <v>137</v>
      </c>
      <c r="AV242">
        <v>0.98099999999999998</v>
      </c>
      <c r="AW242" s="1"/>
      <c r="AX242" s="1"/>
      <c r="AY242" s="47">
        <f t="shared" si="214"/>
        <v>29700</v>
      </c>
      <c r="AZ242" s="49">
        <f t="shared" si="215"/>
        <v>166714</v>
      </c>
      <c r="BA242" s="49">
        <f t="shared" ref="BA242" si="258">SUMIF($B$2:$B$571,$B242,$O$2:$O$571)</f>
        <v>29194</v>
      </c>
      <c r="BB242" s="48">
        <f t="shared" si="217"/>
        <v>0.17511426754801637</v>
      </c>
    </row>
    <row r="243" spans="2:54" x14ac:dyDescent="0.2">
      <c r="B243" s="3">
        <v>2008</v>
      </c>
      <c r="C243" t="s">
        <v>41</v>
      </c>
      <c r="D243" t="s">
        <v>42</v>
      </c>
      <c r="E243">
        <v>4</v>
      </c>
      <c r="F243" t="s">
        <v>38</v>
      </c>
      <c r="G243" t="s">
        <v>38</v>
      </c>
      <c r="H243" t="s">
        <v>38</v>
      </c>
      <c r="I243" t="s">
        <v>38</v>
      </c>
      <c r="J243">
        <v>72</v>
      </c>
      <c r="K243">
        <v>90</v>
      </c>
      <c r="L243">
        <v>753</v>
      </c>
      <c r="M243" s="38">
        <v>5604</v>
      </c>
      <c r="N243" s="38">
        <v>1514</v>
      </c>
      <c r="O243" s="38">
        <f t="shared" si="204"/>
        <v>1035</v>
      </c>
      <c r="P243" s="38">
        <v>316</v>
      </c>
      <c r="Q243" s="38">
        <v>33</v>
      </c>
      <c r="R243" s="38">
        <v>130</v>
      </c>
      <c r="S243" s="38">
        <v>618</v>
      </c>
      <c r="T243" s="38">
        <v>42</v>
      </c>
      <c r="U243" s="38">
        <f t="shared" si="205"/>
        <v>3430</v>
      </c>
      <c r="V243">
        <v>1023</v>
      </c>
      <c r="W243">
        <v>58</v>
      </c>
      <c r="X243">
        <v>27</v>
      </c>
      <c r="Y243">
        <v>34</v>
      </c>
      <c r="Z243">
        <v>778</v>
      </c>
      <c r="AA243">
        <v>714</v>
      </c>
      <c r="AB243">
        <v>4.46</v>
      </c>
      <c r="AC243">
        <v>2</v>
      </c>
      <c r="AD243">
        <v>7</v>
      </c>
      <c r="AE243">
        <v>26</v>
      </c>
      <c r="AF243" s="45">
        <f t="shared" ca="1" si="192"/>
        <v>6168</v>
      </c>
      <c r="AG243" s="45">
        <f t="shared" ca="1" si="206"/>
        <v>1521</v>
      </c>
      <c r="AH243" s="45">
        <f t="shared" ca="1" si="207"/>
        <v>980</v>
      </c>
      <c r="AI243" s="45">
        <f t="shared" ca="1" si="208"/>
        <v>297</v>
      </c>
      <c r="AJ243" s="45">
        <f t="shared" ca="1" si="209"/>
        <v>39</v>
      </c>
      <c r="AK243" s="45">
        <f t="shared" ca="1" si="210"/>
        <v>205</v>
      </c>
      <c r="AL243" s="45">
        <f t="shared" ca="1" si="211"/>
        <v>565</v>
      </c>
      <c r="AM243" s="45">
        <f t="shared" ca="1" si="212"/>
        <v>76</v>
      </c>
      <c r="AN243" s="45">
        <f t="shared" ca="1" si="213"/>
        <v>4006</v>
      </c>
      <c r="AO243">
        <v>4322</v>
      </c>
      <c r="AP243">
        <v>1439</v>
      </c>
      <c r="AQ243">
        <v>156</v>
      </c>
      <c r="AR243">
        <v>586</v>
      </c>
      <c r="AS243">
        <v>1076</v>
      </c>
      <c r="AT243">
        <v>107</v>
      </c>
      <c r="AU243">
        <v>149</v>
      </c>
      <c r="AV243">
        <v>0.98299999999999998</v>
      </c>
      <c r="AW243" s="1"/>
      <c r="AX243" s="1"/>
      <c r="AY243" s="47">
        <f t="shared" si="214"/>
        <v>29700</v>
      </c>
      <c r="AZ243" s="49">
        <f t="shared" si="215"/>
        <v>166714</v>
      </c>
      <c r="BA243" s="49">
        <f t="shared" ref="BA243" si="259">SUMIF($B$2:$B$571,$B243,$P$2:$P$571)</f>
        <v>9014</v>
      </c>
      <c r="BB243" s="48">
        <f t="shared" si="217"/>
        <v>5.4068644504960593E-2</v>
      </c>
    </row>
    <row r="244" spans="2:54" x14ac:dyDescent="0.2">
      <c r="B244" s="3">
        <v>2008</v>
      </c>
      <c r="C244" t="s">
        <v>44</v>
      </c>
      <c r="D244" t="s">
        <v>45</v>
      </c>
      <c r="E244">
        <v>5</v>
      </c>
      <c r="F244" t="s">
        <v>38</v>
      </c>
      <c r="G244" t="s">
        <v>38</v>
      </c>
      <c r="H244" t="s">
        <v>38</v>
      </c>
      <c r="I244" t="s">
        <v>38</v>
      </c>
      <c r="J244">
        <v>68</v>
      </c>
      <c r="K244">
        <v>93</v>
      </c>
      <c r="L244">
        <v>782</v>
      </c>
      <c r="M244" s="38">
        <v>5559</v>
      </c>
      <c r="N244" s="38">
        <v>1486</v>
      </c>
      <c r="O244" s="38">
        <f t="shared" si="204"/>
        <v>962</v>
      </c>
      <c r="P244" s="38">
        <v>322</v>
      </c>
      <c r="Q244" s="38">
        <v>30</v>
      </c>
      <c r="R244" s="38">
        <v>172</v>
      </c>
      <c r="S244" s="38">
        <v>533</v>
      </c>
      <c r="T244" s="38">
        <v>42</v>
      </c>
      <c r="U244" s="38">
        <f t="shared" si="205"/>
        <v>3498</v>
      </c>
      <c r="V244">
        <v>990</v>
      </c>
      <c r="W244">
        <v>81</v>
      </c>
      <c r="X244">
        <v>37</v>
      </c>
      <c r="Y244">
        <v>48</v>
      </c>
      <c r="Z244">
        <v>869</v>
      </c>
      <c r="AA244">
        <v>810</v>
      </c>
      <c r="AB244">
        <v>5.13</v>
      </c>
      <c r="AC244">
        <v>4</v>
      </c>
      <c r="AD244">
        <v>4</v>
      </c>
      <c r="AE244">
        <v>35</v>
      </c>
      <c r="AF244" s="45">
        <f t="shared" ca="1" si="192"/>
        <v>6229</v>
      </c>
      <c r="AG244" s="45">
        <f t="shared" ca="1" si="206"/>
        <v>1560</v>
      </c>
      <c r="AH244" s="45">
        <f t="shared" ca="1" si="207"/>
        <v>1047</v>
      </c>
      <c r="AI244" s="45">
        <f t="shared" ca="1" si="208"/>
        <v>249</v>
      </c>
      <c r="AJ244" s="45">
        <f t="shared" ca="1" si="209"/>
        <v>33</v>
      </c>
      <c r="AK244" s="45">
        <f t="shared" ca="1" si="210"/>
        <v>231</v>
      </c>
      <c r="AL244" s="45">
        <f t="shared" ca="1" si="211"/>
        <v>627</v>
      </c>
      <c r="AM244" s="45">
        <f t="shared" ca="1" si="212"/>
        <v>51</v>
      </c>
      <c r="AN244" s="45">
        <f t="shared" ca="1" si="213"/>
        <v>3991</v>
      </c>
      <c r="AO244">
        <v>4266</v>
      </c>
      <c r="AP244">
        <v>1538</v>
      </c>
      <c r="AQ244">
        <v>184</v>
      </c>
      <c r="AR244">
        <v>687</v>
      </c>
      <c r="AS244">
        <v>922</v>
      </c>
      <c r="AT244">
        <v>100</v>
      </c>
      <c r="AU244">
        <v>163</v>
      </c>
      <c r="AV244">
        <v>0.98299999999999998</v>
      </c>
      <c r="AW244" s="1"/>
      <c r="AX244" s="1"/>
      <c r="AY244" s="47">
        <f t="shared" si="214"/>
        <v>29700</v>
      </c>
      <c r="AZ244" s="49">
        <f t="shared" si="215"/>
        <v>166714</v>
      </c>
      <c r="BA244" s="49">
        <f t="shared" ref="BA244" si="260">SUMIF($B$2:$B$571,$B244,$Q$2:$Q$571)</f>
        <v>886</v>
      </c>
      <c r="BB244" s="48">
        <f t="shared" si="217"/>
        <v>5.3144906846455606E-3</v>
      </c>
    </row>
    <row r="245" spans="2:54" x14ac:dyDescent="0.2">
      <c r="B245" s="3">
        <v>2008</v>
      </c>
      <c r="C245" t="s">
        <v>46</v>
      </c>
      <c r="D245" t="s">
        <v>47</v>
      </c>
      <c r="E245">
        <v>2</v>
      </c>
      <c r="F245" t="s">
        <v>38</v>
      </c>
      <c r="G245" t="s">
        <v>43</v>
      </c>
      <c r="H245" t="s">
        <v>38</v>
      </c>
      <c r="I245" t="s">
        <v>38</v>
      </c>
      <c r="J245">
        <v>95</v>
      </c>
      <c r="K245">
        <v>67</v>
      </c>
      <c r="L245">
        <v>845</v>
      </c>
      <c r="M245" s="38">
        <v>5596</v>
      </c>
      <c r="N245" s="38">
        <v>1565</v>
      </c>
      <c r="O245" s="38">
        <f t="shared" si="204"/>
        <v>1006</v>
      </c>
      <c r="P245" s="38">
        <v>353</v>
      </c>
      <c r="Q245" s="38">
        <v>33</v>
      </c>
      <c r="R245" s="38">
        <v>173</v>
      </c>
      <c r="S245" s="38">
        <v>646</v>
      </c>
      <c r="T245" s="38">
        <v>70</v>
      </c>
      <c r="U245" s="38">
        <f t="shared" si="205"/>
        <v>3315</v>
      </c>
      <c r="V245">
        <v>1068</v>
      </c>
      <c r="W245">
        <v>120</v>
      </c>
      <c r="X245">
        <v>35</v>
      </c>
      <c r="Y245">
        <v>62</v>
      </c>
      <c r="Z245">
        <v>694</v>
      </c>
      <c r="AA245">
        <v>645</v>
      </c>
      <c r="AB245">
        <v>4.01</v>
      </c>
      <c r="AC245">
        <v>5</v>
      </c>
      <c r="AD245">
        <v>16</v>
      </c>
      <c r="AE245">
        <v>47</v>
      </c>
      <c r="AF245" s="45">
        <f t="shared" ca="1" si="192"/>
        <v>6485</v>
      </c>
      <c r="AG245" s="45">
        <f t="shared" ca="1" si="206"/>
        <v>1660</v>
      </c>
      <c r="AH245" s="45">
        <f t="shared" ca="1" si="207"/>
        <v>1163</v>
      </c>
      <c r="AI245" s="45">
        <f t="shared" ca="1" si="208"/>
        <v>257</v>
      </c>
      <c r="AJ245" s="45">
        <f t="shared" ca="1" si="209"/>
        <v>29</v>
      </c>
      <c r="AK245" s="45">
        <f t="shared" ca="1" si="210"/>
        <v>211</v>
      </c>
      <c r="AL245" s="45">
        <f t="shared" ca="1" si="211"/>
        <v>657</v>
      </c>
      <c r="AM245" s="45">
        <f t="shared" ca="1" si="212"/>
        <v>82</v>
      </c>
      <c r="AN245" s="45">
        <f t="shared" ca="1" si="213"/>
        <v>4086</v>
      </c>
      <c r="AO245">
        <v>4339</v>
      </c>
      <c r="AP245">
        <v>1369</v>
      </c>
      <c r="AQ245">
        <v>147</v>
      </c>
      <c r="AR245">
        <v>548</v>
      </c>
      <c r="AS245">
        <v>1185</v>
      </c>
      <c r="AT245">
        <v>85</v>
      </c>
      <c r="AU245">
        <v>149</v>
      </c>
      <c r="AV245">
        <v>0.98599999999999999</v>
      </c>
      <c r="AW245" s="1"/>
      <c r="AX245" s="1"/>
      <c r="AY245" s="47">
        <f t="shared" si="214"/>
        <v>29700</v>
      </c>
      <c r="AZ245" s="49">
        <f t="shared" si="215"/>
        <v>166714</v>
      </c>
      <c r="BA245" s="49">
        <f t="shared" ref="BA245" si="261">SUMIF($B$2:$B$571,$B245,$R$2:$R$571)</f>
        <v>4878</v>
      </c>
      <c r="BB245" s="48">
        <f t="shared" si="217"/>
        <v>2.9259690247969577E-2</v>
      </c>
    </row>
    <row r="246" spans="2:54" x14ac:dyDescent="0.2">
      <c r="B246" s="3">
        <v>2008</v>
      </c>
      <c r="C246" t="s">
        <v>48</v>
      </c>
      <c r="D246" t="s">
        <v>49</v>
      </c>
      <c r="E246">
        <v>1</v>
      </c>
      <c r="F246" t="s">
        <v>43</v>
      </c>
      <c r="G246" t="s">
        <v>38</v>
      </c>
      <c r="H246" t="s">
        <v>38</v>
      </c>
      <c r="I246" t="s">
        <v>38</v>
      </c>
      <c r="J246">
        <v>89</v>
      </c>
      <c r="K246">
        <v>74</v>
      </c>
      <c r="L246">
        <v>811</v>
      </c>
      <c r="M246" s="38">
        <v>5553</v>
      </c>
      <c r="N246" s="38">
        <v>1458</v>
      </c>
      <c r="O246" s="38">
        <f t="shared" si="204"/>
        <v>914</v>
      </c>
      <c r="P246" s="38">
        <v>296</v>
      </c>
      <c r="Q246" s="38">
        <v>13</v>
      </c>
      <c r="R246" s="38">
        <v>235</v>
      </c>
      <c r="S246" s="38">
        <v>540</v>
      </c>
      <c r="T246" s="38">
        <v>63</v>
      </c>
      <c r="U246" s="38">
        <f t="shared" si="205"/>
        <v>3492</v>
      </c>
      <c r="V246">
        <v>1016</v>
      </c>
      <c r="W246">
        <v>67</v>
      </c>
      <c r="X246">
        <v>34</v>
      </c>
      <c r="Y246">
        <v>47</v>
      </c>
      <c r="Z246">
        <v>729</v>
      </c>
      <c r="AA246">
        <v>658</v>
      </c>
      <c r="AB246">
        <v>4.0599999999999996</v>
      </c>
      <c r="AC246">
        <v>4</v>
      </c>
      <c r="AD246">
        <v>10</v>
      </c>
      <c r="AE246">
        <v>34</v>
      </c>
      <c r="AF246" s="45">
        <f t="shared" ref="AF246:AF309" ca="1" si="262">RANDBETWEEN(6049,6490)</f>
        <v>6144</v>
      </c>
      <c r="AG246" s="45">
        <f t="shared" ca="1" si="206"/>
        <v>1342</v>
      </c>
      <c r="AH246" s="45">
        <f t="shared" ca="1" si="207"/>
        <v>797</v>
      </c>
      <c r="AI246" s="45">
        <f t="shared" ca="1" si="208"/>
        <v>340</v>
      </c>
      <c r="AJ246" s="45">
        <f t="shared" ca="1" si="209"/>
        <v>32</v>
      </c>
      <c r="AK246" s="45">
        <f t="shared" ca="1" si="210"/>
        <v>173</v>
      </c>
      <c r="AL246" s="45">
        <f t="shared" ca="1" si="211"/>
        <v>490</v>
      </c>
      <c r="AM246" s="45">
        <f t="shared" ca="1" si="212"/>
        <v>87</v>
      </c>
      <c r="AN246" s="45">
        <f t="shared" ca="1" si="213"/>
        <v>4225</v>
      </c>
      <c r="AO246">
        <v>4373</v>
      </c>
      <c r="AP246">
        <v>1471</v>
      </c>
      <c r="AQ246">
        <v>156</v>
      </c>
      <c r="AR246">
        <v>460</v>
      </c>
      <c r="AS246">
        <v>1147</v>
      </c>
      <c r="AT246">
        <v>108</v>
      </c>
      <c r="AU246">
        <v>155</v>
      </c>
      <c r="AV246">
        <v>0.98299999999999998</v>
      </c>
      <c r="AW246" s="1"/>
      <c r="AX246" s="1"/>
      <c r="AY246" s="47">
        <f t="shared" si="214"/>
        <v>29700</v>
      </c>
      <c r="AZ246" s="49">
        <f t="shared" si="215"/>
        <v>166714</v>
      </c>
      <c r="BA246" s="49">
        <f t="shared" ref="BA246" si="263">SUMIF($B$2:$B$571,$B246,$S$2:$S$571)</f>
        <v>16337</v>
      </c>
      <c r="BB246" s="48">
        <f t="shared" si="217"/>
        <v>9.7994169655817753E-2</v>
      </c>
    </row>
    <row r="247" spans="2:54" x14ac:dyDescent="0.2">
      <c r="B247" s="3">
        <v>2008</v>
      </c>
      <c r="C247" t="s">
        <v>50</v>
      </c>
      <c r="D247" t="s">
        <v>51</v>
      </c>
      <c r="E247">
        <v>1</v>
      </c>
      <c r="F247" t="s">
        <v>43</v>
      </c>
      <c r="G247" t="s">
        <v>38</v>
      </c>
      <c r="H247" t="s">
        <v>38</v>
      </c>
      <c r="I247" t="s">
        <v>38</v>
      </c>
      <c r="J247">
        <v>97</v>
      </c>
      <c r="K247">
        <v>64</v>
      </c>
      <c r="L247">
        <v>855</v>
      </c>
      <c r="M247" s="38">
        <v>5588</v>
      </c>
      <c r="N247" s="38">
        <v>1552</v>
      </c>
      <c r="O247" s="38">
        <f t="shared" si="204"/>
        <v>1018</v>
      </c>
      <c r="P247" s="38">
        <v>329</v>
      </c>
      <c r="Q247" s="38">
        <v>21</v>
      </c>
      <c r="R247" s="38">
        <v>184</v>
      </c>
      <c r="S247" s="38">
        <v>636</v>
      </c>
      <c r="T247" s="38">
        <v>50</v>
      </c>
      <c r="U247" s="38">
        <f t="shared" si="205"/>
        <v>3350</v>
      </c>
      <c r="V247">
        <v>1186</v>
      </c>
      <c r="W247">
        <v>87</v>
      </c>
      <c r="X247">
        <v>34</v>
      </c>
      <c r="Y247">
        <v>45</v>
      </c>
      <c r="Z247">
        <v>671</v>
      </c>
      <c r="AA247">
        <v>624</v>
      </c>
      <c r="AB247">
        <v>3.87</v>
      </c>
      <c r="AC247">
        <v>2</v>
      </c>
      <c r="AD247">
        <v>8</v>
      </c>
      <c r="AE247">
        <v>44</v>
      </c>
      <c r="AF247" s="45">
        <f t="shared" ca="1" si="262"/>
        <v>6078</v>
      </c>
      <c r="AG247" s="45">
        <f t="shared" ca="1" si="206"/>
        <v>1498</v>
      </c>
      <c r="AH247" s="45">
        <f t="shared" ca="1" si="207"/>
        <v>932</v>
      </c>
      <c r="AI247" s="45">
        <f t="shared" ca="1" si="208"/>
        <v>286</v>
      </c>
      <c r="AJ247" s="45">
        <f t="shared" ca="1" si="209"/>
        <v>47</v>
      </c>
      <c r="AK247" s="45">
        <f t="shared" ca="1" si="210"/>
        <v>233</v>
      </c>
      <c r="AL247" s="45">
        <f t="shared" ca="1" si="211"/>
        <v>493</v>
      </c>
      <c r="AM247" s="45">
        <f t="shared" ca="1" si="212"/>
        <v>50</v>
      </c>
      <c r="AN247" s="45">
        <f t="shared" ca="1" si="213"/>
        <v>4037</v>
      </c>
      <c r="AO247">
        <v>4352</v>
      </c>
      <c r="AP247">
        <v>1329</v>
      </c>
      <c r="AQ247">
        <v>160</v>
      </c>
      <c r="AR247">
        <v>548</v>
      </c>
      <c r="AS247">
        <v>1264</v>
      </c>
      <c r="AT247">
        <v>99</v>
      </c>
      <c r="AU247">
        <v>118</v>
      </c>
      <c r="AV247">
        <v>0.98299999999999998</v>
      </c>
      <c r="AW247" s="1"/>
      <c r="AX247" s="1"/>
      <c r="AY247" s="47">
        <f t="shared" si="214"/>
        <v>29700</v>
      </c>
      <c r="AZ247" s="49">
        <f t="shared" si="215"/>
        <v>166714</v>
      </c>
      <c r="BA247" s="49">
        <f t="shared" ref="BA247" si="264">SUMIF($B$2:$B$571,$B247,$T$2:$T$571)</f>
        <v>1672</v>
      </c>
      <c r="BB247" s="48">
        <f t="shared" si="217"/>
        <v>1.0029151720911261E-2</v>
      </c>
    </row>
    <row r="248" spans="2:54" x14ac:dyDescent="0.2">
      <c r="B248" s="3">
        <v>2008</v>
      </c>
      <c r="C248" t="s">
        <v>52</v>
      </c>
      <c r="D248" t="s">
        <v>53</v>
      </c>
      <c r="E248">
        <v>5</v>
      </c>
      <c r="F248" t="s">
        <v>38</v>
      </c>
      <c r="G248" t="s">
        <v>38</v>
      </c>
      <c r="H248" t="s">
        <v>38</v>
      </c>
      <c r="I248" t="s">
        <v>38</v>
      </c>
      <c r="J248">
        <v>74</v>
      </c>
      <c r="K248">
        <v>88</v>
      </c>
      <c r="L248">
        <v>704</v>
      </c>
      <c r="M248" s="38">
        <v>5465</v>
      </c>
      <c r="N248" s="38">
        <v>1351</v>
      </c>
      <c r="O248" s="38">
        <f t="shared" si="204"/>
        <v>871</v>
      </c>
      <c r="P248" s="38">
        <v>269</v>
      </c>
      <c r="Q248" s="38">
        <v>24</v>
      </c>
      <c r="R248" s="38">
        <v>187</v>
      </c>
      <c r="S248" s="38">
        <v>560</v>
      </c>
      <c r="T248" s="38">
        <v>50</v>
      </c>
      <c r="U248" s="38">
        <f t="shared" si="205"/>
        <v>3504</v>
      </c>
      <c r="V248">
        <v>1125</v>
      </c>
      <c r="W248">
        <v>85</v>
      </c>
      <c r="X248">
        <v>47</v>
      </c>
      <c r="Y248">
        <v>41</v>
      </c>
      <c r="Z248">
        <v>800</v>
      </c>
      <c r="AA248">
        <v>729</v>
      </c>
      <c r="AB248">
        <v>4.55</v>
      </c>
      <c r="AC248">
        <v>2</v>
      </c>
      <c r="AD248">
        <v>6</v>
      </c>
      <c r="AE248">
        <v>34</v>
      </c>
      <c r="AF248" s="45">
        <f t="shared" ca="1" si="262"/>
        <v>6087</v>
      </c>
      <c r="AG248" s="45">
        <f t="shared" ca="1" si="206"/>
        <v>1487</v>
      </c>
      <c r="AH248" s="45">
        <f t="shared" ca="1" si="207"/>
        <v>851</v>
      </c>
      <c r="AI248" s="45">
        <f t="shared" ca="1" si="208"/>
        <v>382</v>
      </c>
      <c r="AJ248" s="45">
        <f t="shared" ca="1" si="209"/>
        <v>27</v>
      </c>
      <c r="AK248" s="45">
        <f t="shared" ca="1" si="210"/>
        <v>227</v>
      </c>
      <c r="AL248" s="45">
        <f t="shared" ca="1" si="211"/>
        <v>621</v>
      </c>
      <c r="AM248" s="45">
        <f t="shared" ca="1" si="212"/>
        <v>79</v>
      </c>
      <c r="AN248" s="45">
        <f t="shared" ca="1" si="213"/>
        <v>3900</v>
      </c>
      <c r="AO248">
        <v>4327</v>
      </c>
      <c r="AP248">
        <v>1542</v>
      </c>
      <c r="AQ248">
        <v>201</v>
      </c>
      <c r="AR248">
        <v>557</v>
      </c>
      <c r="AS248">
        <v>1227</v>
      </c>
      <c r="AT248">
        <v>114</v>
      </c>
      <c r="AU248">
        <v>156</v>
      </c>
      <c r="AV248">
        <v>0.98099999999999998</v>
      </c>
      <c r="AW248" s="1"/>
      <c r="AX248" s="1"/>
      <c r="AY248" s="47">
        <f t="shared" si="214"/>
        <v>29700</v>
      </c>
      <c r="AZ248" s="49">
        <f t="shared" si="215"/>
        <v>166714</v>
      </c>
      <c r="BA248" s="49">
        <f t="shared" ref="BA248" si="265">SUMIF($B$2:$B$571,$B248,$U$2:$U$571)</f>
        <v>104733</v>
      </c>
      <c r="BB248" s="48">
        <f t="shared" si="217"/>
        <v>0.62821958563767888</v>
      </c>
    </row>
    <row r="249" spans="2:54" x14ac:dyDescent="0.2">
      <c r="B249" s="3">
        <v>2008</v>
      </c>
      <c r="C249" t="s">
        <v>54</v>
      </c>
      <c r="D249" t="s">
        <v>55</v>
      </c>
      <c r="E249">
        <v>3</v>
      </c>
      <c r="F249" t="s">
        <v>38</v>
      </c>
      <c r="G249" t="s">
        <v>38</v>
      </c>
      <c r="H249" t="s">
        <v>38</v>
      </c>
      <c r="I249" t="s">
        <v>38</v>
      </c>
      <c r="J249">
        <v>81</v>
      </c>
      <c r="K249">
        <v>81</v>
      </c>
      <c r="L249">
        <v>805</v>
      </c>
      <c r="M249" s="38">
        <v>5543</v>
      </c>
      <c r="N249" s="38">
        <v>1455</v>
      </c>
      <c r="O249" s="38">
        <f t="shared" si="204"/>
        <v>923</v>
      </c>
      <c r="P249" s="38">
        <v>339</v>
      </c>
      <c r="Q249" s="38">
        <v>22</v>
      </c>
      <c r="R249" s="38">
        <v>171</v>
      </c>
      <c r="S249" s="38">
        <v>560</v>
      </c>
      <c r="T249" s="38">
        <v>103</v>
      </c>
      <c r="U249" s="38">
        <f t="shared" si="205"/>
        <v>3425</v>
      </c>
      <c r="V249">
        <v>1213</v>
      </c>
      <c r="W249">
        <v>77</v>
      </c>
      <c r="X249">
        <v>29</v>
      </c>
      <c r="Y249">
        <v>49</v>
      </c>
      <c r="Z249">
        <v>761</v>
      </c>
      <c r="AA249">
        <v>711</v>
      </c>
      <c r="AB249">
        <v>4.45</v>
      </c>
      <c r="AC249">
        <v>10</v>
      </c>
      <c r="AD249">
        <v>13</v>
      </c>
      <c r="AE249">
        <v>31</v>
      </c>
      <c r="AF249" s="45">
        <f t="shared" ca="1" si="262"/>
        <v>6307</v>
      </c>
      <c r="AG249" s="45">
        <f t="shared" ca="1" si="206"/>
        <v>1422</v>
      </c>
      <c r="AH249" s="45">
        <f t="shared" ca="1" si="207"/>
        <v>864</v>
      </c>
      <c r="AI249" s="45">
        <f t="shared" ca="1" si="208"/>
        <v>356</v>
      </c>
      <c r="AJ249" s="45">
        <f t="shared" ca="1" si="209"/>
        <v>48</v>
      </c>
      <c r="AK249" s="45">
        <f t="shared" ca="1" si="210"/>
        <v>154</v>
      </c>
      <c r="AL249" s="45">
        <f t="shared" ca="1" si="211"/>
        <v>583</v>
      </c>
      <c r="AM249" s="45">
        <f t="shared" ca="1" si="212"/>
        <v>81</v>
      </c>
      <c r="AN249" s="45">
        <f t="shared" ca="1" si="213"/>
        <v>4221</v>
      </c>
      <c r="AO249">
        <v>4311</v>
      </c>
      <c r="AP249">
        <v>1530</v>
      </c>
      <c r="AQ249">
        <v>170</v>
      </c>
      <c r="AR249">
        <v>444</v>
      </c>
      <c r="AS249">
        <v>986</v>
      </c>
      <c r="AT249">
        <v>94</v>
      </c>
      <c r="AU249">
        <v>182</v>
      </c>
      <c r="AV249">
        <v>0.98499999999999999</v>
      </c>
      <c r="AW249" s="1"/>
      <c r="AX249" s="1"/>
      <c r="AY249" s="47">
        <f t="shared" si="214"/>
        <v>29700</v>
      </c>
      <c r="AZ249" s="49">
        <f t="shared" si="215"/>
        <v>166714</v>
      </c>
      <c r="BA249" s="49"/>
      <c r="BB249" s="48">
        <f t="shared" si="217"/>
        <v>0</v>
      </c>
    </row>
    <row r="250" spans="2:54" x14ac:dyDescent="0.2">
      <c r="B250" s="3">
        <v>2008</v>
      </c>
      <c r="C250" t="s">
        <v>56</v>
      </c>
      <c r="D250" t="s">
        <v>57</v>
      </c>
      <c r="E250">
        <v>3</v>
      </c>
      <c r="F250" t="s">
        <v>38</v>
      </c>
      <c r="G250" t="s">
        <v>38</v>
      </c>
      <c r="H250" t="s">
        <v>38</v>
      </c>
      <c r="I250" t="s">
        <v>38</v>
      </c>
      <c r="J250">
        <v>74</v>
      </c>
      <c r="K250">
        <v>88</v>
      </c>
      <c r="L250">
        <v>747</v>
      </c>
      <c r="M250" s="38">
        <v>5557</v>
      </c>
      <c r="N250" s="38">
        <v>1462</v>
      </c>
      <c r="O250" s="38">
        <f t="shared" si="204"/>
        <v>964</v>
      </c>
      <c r="P250" s="38">
        <v>310</v>
      </c>
      <c r="Q250" s="38">
        <v>28</v>
      </c>
      <c r="R250" s="38">
        <v>160</v>
      </c>
      <c r="S250" s="38">
        <v>570</v>
      </c>
      <c r="T250" s="38">
        <v>57</v>
      </c>
      <c r="U250" s="38">
        <f t="shared" si="205"/>
        <v>3468</v>
      </c>
      <c r="V250">
        <v>1209</v>
      </c>
      <c r="W250">
        <v>141</v>
      </c>
      <c r="X250">
        <v>37</v>
      </c>
      <c r="Y250">
        <v>38</v>
      </c>
      <c r="Z250">
        <v>822</v>
      </c>
      <c r="AA250">
        <v>766</v>
      </c>
      <c r="AB250">
        <v>4.7699999999999996</v>
      </c>
      <c r="AC250">
        <v>3</v>
      </c>
      <c r="AD250">
        <v>8</v>
      </c>
      <c r="AE250">
        <v>36</v>
      </c>
      <c r="AF250" s="45">
        <f t="shared" ca="1" si="262"/>
        <v>6292</v>
      </c>
      <c r="AG250" s="45">
        <f t="shared" ca="1" si="206"/>
        <v>1397</v>
      </c>
      <c r="AH250" s="45">
        <f t="shared" ca="1" si="207"/>
        <v>877</v>
      </c>
      <c r="AI250" s="45">
        <f t="shared" ca="1" si="208"/>
        <v>273</v>
      </c>
      <c r="AJ250" s="45">
        <f t="shared" ca="1" si="209"/>
        <v>24</v>
      </c>
      <c r="AK250" s="45">
        <f t="shared" ca="1" si="210"/>
        <v>223</v>
      </c>
      <c r="AL250" s="45">
        <f t="shared" ca="1" si="211"/>
        <v>451</v>
      </c>
      <c r="AM250" s="45">
        <f t="shared" ca="1" si="212"/>
        <v>71</v>
      </c>
      <c r="AN250" s="45">
        <f t="shared" ca="1" si="213"/>
        <v>4373</v>
      </c>
      <c r="AO250">
        <v>4338</v>
      </c>
      <c r="AP250">
        <v>1547</v>
      </c>
      <c r="AQ250">
        <v>148</v>
      </c>
      <c r="AR250">
        <v>562</v>
      </c>
      <c r="AS250">
        <v>1041</v>
      </c>
      <c r="AT250">
        <v>96</v>
      </c>
      <c r="AU250">
        <v>176</v>
      </c>
      <c r="AV250">
        <v>0.98499999999999999</v>
      </c>
      <c r="AW250" s="1"/>
      <c r="AX250" s="1"/>
      <c r="AY250" s="47">
        <f t="shared" si="214"/>
        <v>29700</v>
      </c>
      <c r="AZ250" s="49">
        <f t="shared" si="215"/>
        <v>166714</v>
      </c>
      <c r="BA250" s="49">
        <f t="shared" ref="BA250" si="266">SUMIF($B$2:$B$571,$B250,$O$2:$O$571)</f>
        <v>29194</v>
      </c>
      <c r="BB250" s="48">
        <f t="shared" si="217"/>
        <v>0.17511426754801637</v>
      </c>
    </row>
    <row r="251" spans="2:54" x14ac:dyDescent="0.2">
      <c r="B251" s="3">
        <v>2008</v>
      </c>
      <c r="C251" t="s">
        <v>58</v>
      </c>
      <c r="D251" t="s">
        <v>59</v>
      </c>
      <c r="E251">
        <v>5</v>
      </c>
      <c r="F251" t="s">
        <v>38</v>
      </c>
      <c r="G251" t="s">
        <v>38</v>
      </c>
      <c r="H251" t="s">
        <v>38</v>
      </c>
      <c r="I251" t="s">
        <v>38</v>
      </c>
      <c r="J251">
        <v>74</v>
      </c>
      <c r="K251">
        <v>88</v>
      </c>
      <c r="L251">
        <v>821</v>
      </c>
      <c r="M251" s="38">
        <v>5641</v>
      </c>
      <c r="N251" s="38">
        <v>1529</v>
      </c>
      <c r="O251" s="38">
        <f t="shared" si="204"/>
        <v>995</v>
      </c>
      <c r="P251" s="38">
        <v>293</v>
      </c>
      <c r="Q251" s="38">
        <v>41</v>
      </c>
      <c r="R251" s="38">
        <v>200</v>
      </c>
      <c r="S251" s="38">
        <v>572</v>
      </c>
      <c r="T251" s="38">
        <v>44</v>
      </c>
      <c r="U251" s="38">
        <f t="shared" si="205"/>
        <v>3496</v>
      </c>
      <c r="V251">
        <v>1076</v>
      </c>
      <c r="W251">
        <v>63</v>
      </c>
      <c r="X251">
        <v>31</v>
      </c>
      <c r="Y251">
        <v>44</v>
      </c>
      <c r="Z251">
        <v>857</v>
      </c>
      <c r="AA251">
        <v>786</v>
      </c>
      <c r="AB251">
        <v>4.9000000000000004</v>
      </c>
      <c r="AC251">
        <v>1</v>
      </c>
      <c r="AD251">
        <v>2</v>
      </c>
      <c r="AE251">
        <v>34</v>
      </c>
      <c r="AF251" s="45">
        <f t="shared" ca="1" si="262"/>
        <v>6074</v>
      </c>
      <c r="AG251" s="45">
        <f t="shared" ca="1" si="206"/>
        <v>1618</v>
      </c>
      <c r="AH251" s="45">
        <f t="shared" ca="1" si="207"/>
        <v>1068</v>
      </c>
      <c r="AI251" s="45">
        <f t="shared" ca="1" si="208"/>
        <v>343</v>
      </c>
      <c r="AJ251" s="45">
        <f t="shared" ca="1" si="209"/>
        <v>36</v>
      </c>
      <c r="AK251" s="45">
        <f t="shared" ca="1" si="210"/>
        <v>171</v>
      </c>
      <c r="AL251" s="45">
        <f t="shared" ca="1" si="211"/>
        <v>413</v>
      </c>
      <c r="AM251" s="45">
        <f t="shared" ca="1" si="212"/>
        <v>86</v>
      </c>
      <c r="AN251" s="45">
        <f t="shared" ca="1" si="213"/>
        <v>3957</v>
      </c>
      <c r="AO251">
        <v>4335</v>
      </c>
      <c r="AP251">
        <v>1541</v>
      </c>
      <c r="AQ251">
        <v>172</v>
      </c>
      <c r="AR251">
        <v>644</v>
      </c>
      <c r="AS251">
        <v>991</v>
      </c>
      <c r="AT251">
        <v>113</v>
      </c>
      <c r="AU251">
        <v>172</v>
      </c>
      <c r="AV251">
        <v>0.98099999999999998</v>
      </c>
      <c r="AW251" s="1"/>
      <c r="AX251" s="1"/>
      <c r="AY251" s="47">
        <f t="shared" si="214"/>
        <v>29700</v>
      </c>
      <c r="AZ251" s="49">
        <f t="shared" si="215"/>
        <v>166714</v>
      </c>
      <c r="BA251" s="49">
        <f t="shared" ref="BA251" si="267">SUMIF($B$2:$B$571,$B251,$P$2:$P$571)</f>
        <v>9014</v>
      </c>
      <c r="BB251" s="48">
        <f t="shared" si="217"/>
        <v>5.4068644504960593E-2</v>
      </c>
    </row>
    <row r="252" spans="2:54" x14ac:dyDescent="0.2">
      <c r="B252" s="3">
        <v>2008</v>
      </c>
      <c r="C252" t="s">
        <v>60</v>
      </c>
      <c r="D252" t="s">
        <v>61</v>
      </c>
      <c r="E252">
        <v>3</v>
      </c>
      <c r="F252" t="s">
        <v>38</v>
      </c>
      <c r="G252" t="s">
        <v>38</v>
      </c>
      <c r="H252" t="s">
        <v>38</v>
      </c>
      <c r="I252" t="s">
        <v>38</v>
      </c>
      <c r="J252">
        <v>84</v>
      </c>
      <c r="K252">
        <v>77</v>
      </c>
      <c r="L252">
        <v>770</v>
      </c>
      <c r="M252" s="38">
        <v>5499</v>
      </c>
      <c r="N252" s="38">
        <v>1397</v>
      </c>
      <c r="O252" s="38">
        <f t="shared" si="204"/>
        <v>859</v>
      </c>
      <c r="P252" s="38">
        <v>302</v>
      </c>
      <c r="Q252" s="38">
        <v>28</v>
      </c>
      <c r="R252" s="38">
        <v>208</v>
      </c>
      <c r="S252" s="38">
        <v>543</v>
      </c>
      <c r="T252" s="38">
        <v>69</v>
      </c>
      <c r="U252" s="38">
        <f t="shared" si="205"/>
        <v>3490</v>
      </c>
      <c r="V252">
        <v>1371</v>
      </c>
      <c r="W252">
        <v>76</v>
      </c>
      <c r="X252">
        <v>28</v>
      </c>
      <c r="Y252">
        <v>46</v>
      </c>
      <c r="Z252">
        <v>767</v>
      </c>
      <c r="AA252">
        <v>707</v>
      </c>
      <c r="AB252">
        <v>4.43</v>
      </c>
      <c r="AC252">
        <v>2</v>
      </c>
      <c r="AD252">
        <v>8</v>
      </c>
      <c r="AE252">
        <v>36</v>
      </c>
      <c r="AF252" s="45">
        <f t="shared" ca="1" si="262"/>
        <v>6111</v>
      </c>
      <c r="AG252" s="45">
        <f t="shared" ca="1" si="206"/>
        <v>1560</v>
      </c>
      <c r="AH252" s="45">
        <f t="shared" ca="1" si="207"/>
        <v>1077</v>
      </c>
      <c r="AI252" s="45">
        <f t="shared" ca="1" si="208"/>
        <v>219</v>
      </c>
      <c r="AJ252" s="45">
        <f t="shared" ca="1" si="209"/>
        <v>26</v>
      </c>
      <c r="AK252" s="45">
        <f t="shared" ca="1" si="210"/>
        <v>238</v>
      </c>
      <c r="AL252" s="45">
        <f t="shared" ca="1" si="211"/>
        <v>595</v>
      </c>
      <c r="AM252" s="45">
        <f t="shared" ca="1" si="212"/>
        <v>31</v>
      </c>
      <c r="AN252" s="45">
        <f t="shared" ca="1" si="213"/>
        <v>3925</v>
      </c>
      <c r="AO252">
        <v>4306</v>
      </c>
      <c r="AP252">
        <v>1421</v>
      </c>
      <c r="AQ252">
        <v>161</v>
      </c>
      <c r="AR252">
        <v>586</v>
      </c>
      <c r="AS252">
        <v>1127</v>
      </c>
      <c r="AT252">
        <v>117</v>
      </c>
      <c r="AU252">
        <v>122</v>
      </c>
      <c r="AV252">
        <v>0.98</v>
      </c>
      <c r="AW252" s="1"/>
      <c r="AX252" s="1"/>
      <c r="AY252" s="47">
        <f t="shared" si="214"/>
        <v>29700</v>
      </c>
      <c r="AZ252" s="49">
        <f t="shared" si="215"/>
        <v>166714</v>
      </c>
      <c r="BA252" s="49">
        <f t="shared" ref="BA252" si="268">SUMIF($B$2:$B$571,$B252,$Q$2:$Q$571)</f>
        <v>886</v>
      </c>
      <c r="BB252" s="48">
        <f t="shared" si="217"/>
        <v>5.3144906846455606E-3</v>
      </c>
    </row>
    <row r="253" spans="2:54" x14ac:dyDescent="0.2">
      <c r="B253" s="3">
        <v>2008</v>
      </c>
      <c r="C253" t="s">
        <v>62</v>
      </c>
      <c r="D253" t="s">
        <v>63</v>
      </c>
      <c r="E253">
        <v>3</v>
      </c>
      <c r="F253" t="s">
        <v>38</v>
      </c>
      <c r="G253" t="s">
        <v>38</v>
      </c>
      <c r="H253" t="s">
        <v>38</v>
      </c>
      <c r="I253" t="s">
        <v>38</v>
      </c>
      <c r="J253">
        <v>86</v>
      </c>
      <c r="K253">
        <v>75</v>
      </c>
      <c r="L253">
        <v>712</v>
      </c>
      <c r="M253" s="38">
        <v>5451</v>
      </c>
      <c r="N253" s="38">
        <v>1432</v>
      </c>
      <c r="O253" s="38">
        <f t="shared" si="204"/>
        <v>959</v>
      </c>
      <c r="P253" s="38">
        <v>284</v>
      </c>
      <c r="Q253" s="38">
        <v>22</v>
      </c>
      <c r="R253" s="38">
        <v>167</v>
      </c>
      <c r="S253" s="38">
        <v>449</v>
      </c>
      <c r="T253" s="38">
        <v>52</v>
      </c>
      <c r="U253" s="38">
        <f t="shared" si="205"/>
        <v>3518</v>
      </c>
      <c r="V253">
        <v>1051</v>
      </c>
      <c r="W253">
        <v>114</v>
      </c>
      <c r="X253">
        <v>52</v>
      </c>
      <c r="Y253">
        <v>41</v>
      </c>
      <c r="Z253">
        <v>743</v>
      </c>
      <c r="AA253">
        <v>691</v>
      </c>
      <c r="AB253">
        <v>4.3600000000000003</v>
      </c>
      <c r="AC253">
        <v>4</v>
      </c>
      <c r="AD253">
        <v>13</v>
      </c>
      <c r="AE253">
        <v>48</v>
      </c>
      <c r="AF253" s="45">
        <f t="shared" ca="1" si="262"/>
        <v>6241</v>
      </c>
      <c r="AG253" s="45">
        <f t="shared" ca="1" si="206"/>
        <v>1653</v>
      </c>
      <c r="AH253" s="45">
        <f t="shared" ca="1" si="207"/>
        <v>1015</v>
      </c>
      <c r="AI253" s="45">
        <f t="shared" ca="1" si="208"/>
        <v>372</v>
      </c>
      <c r="AJ253" s="45">
        <f t="shared" ca="1" si="209"/>
        <v>40</v>
      </c>
      <c r="AK253" s="45">
        <f t="shared" ca="1" si="210"/>
        <v>226</v>
      </c>
      <c r="AL253" s="45">
        <f t="shared" ca="1" si="211"/>
        <v>568</v>
      </c>
      <c r="AM253" s="45">
        <f t="shared" ca="1" si="212"/>
        <v>36</v>
      </c>
      <c r="AN253" s="45">
        <f t="shared" ca="1" si="213"/>
        <v>3984</v>
      </c>
      <c r="AO253">
        <v>4276</v>
      </c>
      <c r="AP253">
        <v>1453</v>
      </c>
      <c r="AQ253">
        <v>197</v>
      </c>
      <c r="AR253">
        <v>492</v>
      </c>
      <c r="AS253">
        <v>1095</v>
      </c>
      <c r="AT253">
        <v>67</v>
      </c>
      <c r="AU253">
        <v>142</v>
      </c>
      <c r="AV253">
        <v>0.98899999999999999</v>
      </c>
      <c r="AW253" s="1"/>
      <c r="AX253" s="1"/>
      <c r="AY253" s="47">
        <f t="shared" si="214"/>
        <v>29700</v>
      </c>
      <c r="AZ253" s="49">
        <f t="shared" si="215"/>
        <v>166714</v>
      </c>
      <c r="BA253" s="49">
        <f t="shared" ref="BA253" si="269">SUMIF($B$2:$B$571,$B253,$R$2:$R$571)</f>
        <v>4878</v>
      </c>
      <c r="BB253" s="48">
        <f t="shared" si="217"/>
        <v>2.9259690247969577E-2</v>
      </c>
    </row>
    <row r="254" spans="2:54" x14ac:dyDescent="0.2">
      <c r="B254" s="3">
        <v>2008</v>
      </c>
      <c r="C254" t="s">
        <v>64</v>
      </c>
      <c r="D254" t="s">
        <v>65</v>
      </c>
      <c r="E254">
        <v>4</v>
      </c>
      <c r="F254" t="s">
        <v>38</v>
      </c>
      <c r="G254" t="s">
        <v>38</v>
      </c>
      <c r="H254" t="s">
        <v>38</v>
      </c>
      <c r="I254" t="s">
        <v>38</v>
      </c>
      <c r="J254">
        <v>75</v>
      </c>
      <c r="K254">
        <v>87</v>
      </c>
      <c r="L254">
        <v>691</v>
      </c>
      <c r="M254" s="38">
        <v>5608</v>
      </c>
      <c r="N254" s="38">
        <v>1507</v>
      </c>
      <c r="O254" s="38">
        <f t="shared" si="204"/>
        <v>1056</v>
      </c>
      <c r="P254" s="38">
        <v>303</v>
      </c>
      <c r="Q254" s="38">
        <v>28</v>
      </c>
      <c r="R254" s="38">
        <v>120</v>
      </c>
      <c r="S254" s="38">
        <v>392</v>
      </c>
      <c r="T254" s="38">
        <v>50</v>
      </c>
      <c r="U254" s="38">
        <f t="shared" si="205"/>
        <v>3659</v>
      </c>
      <c r="V254">
        <v>1005</v>
      </c>
      <c r="W254">
        <v>79</v>
      </c>
      <c r="X254">
        <v>38</v>
      </c>
      <c r="Y254">
        <v>36</v>
      </c>
      <c r="Z254">
        <v>781</v>
      </c>
      <c r="AA254">
        <v>720</v>
      </c>
      <c r="AB254">
        <v>4.4800000000000004</v>
      </c>
      <c r="AC254">
        <v>2</v>
      </c>
      <c r="AD254">
        <v>8</v>
      </c>
      <c r="AE254">
        <v>44</v>
      </c>
      <c r="AF254" s="45">
        <f t="shared" ca="1" si="262"/>
        <v>6054</v>
      </c>
      <c r="AG254" s="45">
        <f t="shared" ca="1" si="206"/>
        <v>1681</v>
      </c>
      <c r="AH254" s="45">
        <f t="shared" ca="1" si="207"/>
        <v>1169</v>
      </c>
      <c r="AI254" s="45">
        <f t="shared" ca="1" si="208"/>
        <v>334</v>
      </c>
      <c r="AJ254" s="45">
        <f t="shared" ca="1" si="209"/>
        <v>32</v>
      </c>
      <c r="AK254" s="45">
        <f t="shared" ca="1" si="210"/>
        <v>146</v>
      </c>
      <c r="AL254" s="45">
        <f t="shared" ca="1" si="211"/>
        <v>537</v>
      </c>
      <c r="AM254" s="45">
        <f t="shared" ca="1" si="212"/>
        <v>64</v>
      </c>
      <c r="AN254" s="45">
        <f t="shared" ca="1" si="213"/>
        <v>3772</v>
      </c>
      <c r="AO254">
        <v>4337</v>
      </c>
      <c r="AP254">
        <v>1473</v>
      </c>
      <c r="AQ254">
        <v>159</v>
      </c>
      <c r="AR254">
        <v>515</v>
      </c>
      <c r="AS254">
        <v>1085</v>
      </c>
      <c r="AT254">
        <v>96</v>
      </c>
      <c r="AU254">
        <v>159</v>
      </c>
      <c r="AV254">
        <v>0.98399999999999999</v>
      </c>
      <c r="AW254" s="1"/>
      <c r="AX254" s="1"/>
      <c r="AY254" s="47">
        <f t="shared" si="214"/>
        <v>29700</v>
      </c>
      <c r="AZ254" s="49">
        <f t="shared" si="215"/>
        <v>166714</v>
      </c>
      <c r="BA254" s="49">
        <f t="shared" ref="BA254" si="270">SUMIF($B$2:$B$571,$B254,$S$2:$S$571)</f>
        <v>16337</v>
      </c>
      <c r="BB254" s="48">
        <f t="shared" si="217"/>
        <v>9.7994169655817753E-2</v>
      </c>
    </row>
    <row r="255" spans="2:54" x14ac:dyDescent="0.2">
      <c r="B255" s="3">
        <v>2008</v>
      </c>
      <c r="C255" t="s">
        <v>98</v>
      </c>
      <c r="D255" t="s">
        <v>99</v>
      </c>
      <c r="E255">
        <v>1</v>
      </c>
      <c r="F255" t="s">
        <v>43</v>
      </c>
      <c r="G255" t="s">
        <v>38</v>
      </c>
      <c r="H255" t="s">
        <v>38</v>
      </c>
      <c r="I255" t="s">
        <v>38</v>
      </c>
      <c r="J255">
        <v>100</v>
      </c>
      <c r="K255">
        <v>62</v>
      </c>
      <c r="L255">
        <v>765</v>
      </c>
      <c r="M255" s="38">
        <v>5540</v>
      </c>
      <c r="N255" s="38">
        <v>1486</v>
      </c>
      <c r="O255" s="38">
        <f t="shared" si="204"/>
        <v>1028</v>
      </c>
      <c r="P255" s="38">
        <v>274</v>
      </c>
      <c r="Q255" s="38">
        <v>25</v>
      </c>
      <c r="R255" s="38">
        <v>159</v>
      </c>
      <c r="S255" s="38">
        <v>481</v>
      </c>
      <c r="T255" s="38">
        <v>52</v>
      </c>
      <c r="U255" s="38">
        <f t="shared" si="205"/>
        <v>3521</v>
      </c>
      <c r="V255">
        <v>987</v>
      </c>
      <c r="W255">
        <v>129</v>
      </c>
      <c r="X255">
        <v>48</v>
      </c>
      <c r="Y255">
        <v>50</v>
      </c>
      <c r="Z255">
        <v>697</v>
      </c>
      <c r="AA255">
        <v>644</v>
      </c>
      <c r="AB255">
        <v>3.99</v>
      </c>
      <c r="AC255">
        <v>7</v>
      </c>
      <c r="AD255">
        <v>10</v>
      </c>
      <c r="AE255">
        <v>66</v>
      </c>
      <c r="AF255" s="45">
        <f t="shared" ca="1" si="262"/>
        <v>6417</v>
      </c>
      <c r="AG255" s="45">
        <f t="shared" ca="1" si="206"/>
        <v>1492</v>
      </c>
      <c r="AH255" s="45">
        <f t="shared" ca="1" si="207"/>
        <v>1056</v>
      </c>
      <c r="AI255" s="45">
        <f t="shared" ca="1" si="208"/>
        <v>277</v>
      </c>
      <c r="AJ255" s="45">
        <f t="shared" ca="1" si="209"/>
        <v>25</v>
      </c>
      <c r="AK255" s="45">
        <f t="shared" ca="1" si="210"/>
        <v>134</v>
      </c>
      <c r="AL255" s="45">
        <f t="shared" ca="1" si="211"/>
        <v>666</v>
      </c>
      <c r="AM255" s="45">
        <f t="shared" ca="1" si="212"/>
        <v>47</v>
      </c>
      <c r="AN255" s="45">
        <f t="shared" ca="1" si="213"/>
        <v>4212</v>
      </c>
      <c r="AO255">
        <v>4354</v>
      </c>
      <c r="AP255">
        <v>1455</v>
      </c>
      <c r="AQ255">
        <v>160</v>
      </c>
      <c r="AR255">
        <v>457</v>
      </c>
      <c r="AS255">
        <v>1106</v>
      </c>
      <c r="AT255">
        <v>91</v>
      </c>
      <c r="AU255">
        <v>159</v>
      </c>
      <c r="AV255">
        <v>0.98499999999999999</v>
      </c>
      <c r="AW255" s="1"/>
      <c r="AX255" s="1"/>
      <c r="AY255" s="47">
        <f t="shared" si="214"/>
        <v>29700</v>
      </c>
      <c r="AZ255" s="49">
        <f t="shared" si="215"/>
        <v>166714</v>
      </c>
      <c r="BA255" s="49">
        <f t="shared" ref="BA255" si="271">SUMIF($B$2:$B$571,$B255,$T$2:$T$571)</f>
        <v>1672</v>
      </c>
      <c r="BB255" s="48">
        <f t="shared" si="217"/>
        <v>1.0029151720911261E-2</v>
      </c>
    </row>
    <row r="256" spans="2:54" x14ac:dyDescent="0.2">
      <c r="B256" s="3">
        <v>2008</v>
      </c>
      <c r="C256" t="s">
        <v>66</v>
      </c>
      <c r="D256" t="s">
        <v>67</v>
      </c>
      <c r="E256">
        <v>1</v>
      </c>
      <c r="F256" t="s">
        <v>43</v>
      </c>
      <c r="G256" t="s">
        <v>38</v>
      </c>
      <c r="H256" t="s">
        <v>38</v>
      </c>
      <c r="I256" t="s">
        <v>38</v>
      </c>
      <c r="J256">
        <v>84</v>
      </c>
      <c r="K256">
        <v>78</v>
      </c>
      <c r="L256">
        <v>700</v>
      </c>
      <c r="M256" s="38">
        <v>5506</v>
      </c>
      <c r="N256" s="38">
        <v>1455</v>
      </c>
      <c r="O256" s="38">
        <f t="shared" si="204"/>
        <v>1018</v>
      </c>
      <c r="P256" s="38">
        <v>271</v>
      </c>
      <c r="Q256" s="38">
        <v>29</v>
      </c>
      <c r="R256" s="38">
        <v>137</v>
      </c>
      <c r="S256" s="38">
        <v>543</v>
      </c>
      <c r="T256" s="38">
        <v>43</v>
      </c>
      <c r="U256" s="38">
        <f t="shared" si="205"/>
        <v>3465</v>
      </c>
      <c r="V256">
        <v>1032</v>
      </c>
      <c r="W256">
        <v>126</v>
      </c>
      <c r="X256">
        <v>43</v>
      </c>
      <c r="Y256">
        <v>38</v>
      </c>
      <c r="Z256">
        <v>648</v>
      </c>
      <c r="AA256">
        <v>591</v>
      </c>
      <c r="AB256">
        <v>3.68</v>
      </c>
      <c r="AC256">
        <v>5</v>
      </c>
      <c r="AD256">
        <v>11</v>
      </c>
      <c r="AE256">
        <v>35</v>
      </c>
      <c r="AF256" s="45">
        <f t="shared" ca="1" si="262"/>
        <v>6312</v>
      </c>
      <c r="AG256" s="45">
        <f t="shared" ca="1" si="206"/>
        <v>1461</v>
      </c>
      <c r="AH256" s="45">
        <f t="shared" ca="1" si="207"/>
        <v>804</v>
      </c>
      <c r="AI256" s="45">
        <f t="shared" ca="1" si="208"/>
        <v>391</v>
      </c>
      <c r="AJ256" s="45">
        <f t="shared" ca="1" si="209"/>
        <v>29</v>
      </c>
      <c r="AK256" s="45">
        <f t="shared" ca="1" si="210"/>
        <v>237</v>
      </c>
      <c r="AL256" s="45">
        <f t="shared" ca="1" si="211"/>
        <v>623</v>
      </c>
      <c r="AM256" s="45">
        <f t="shared" ca="1" si="212"/>
        <v>63</v>
      </c>
      <c r="AN256" s="45">
        <f t="shared" ca="1" si="213"/>
        <v>4165</v>
      </c>
      <c r="AO256">
        <v>4342</v>
      </c>
      <c r="AP256">
        <v>1381</v>
      </c>
      <c r="AQ256">
        <v>123</v>
      </c>
      <c r="AR256">
        <v>480</v>
      </c>
      <c r="AS256">
        <v>1205</v>
      </c>
      <c r="AT256">
        <v>101</v>
      </c>
      <c r="AU256">
        <v>138</v>
      </c>
      <c r="AV256">
        <v>0.98399999999999999</v>
      </c>
      <c r="AW256" s="1"/>
      <c r="AX256" s="1"/>
      <c r="AY256" s="47">
        <f t="shared" si="214"/>
        <v>29700</v>
      </c>
      <c r="AZ256" s="49">
        <f t="shared" si="215"/>
        <v>166714</v>
      </c>
      <c r="BA256" s="49">
        <f t="shared" ref="BA256" si="272">SUMIF($B$2:$B$571,$B256,$U$2:$U$571)</f>
        <v>104733</v>
      </c>
      <c r="BB256" s="48">
        <f t="shared" si="217"/>
        <v>0.62821958563767888</v>
      </c>
    </row>
    <row r="257" spans="2:54" x14ac:dyDescent="0.2">
      <c r="B257" s="3">
        <v>2008</v>
      </c>
      <c r="C257" t="s">
        <v>68</v>
      </c>
      <c r="D257" t="s">
        <v>69</v>
      </c>
      <c r="E257">
        <v>2</v>
      </c>
      <c r="F257" t="s">
        <v>38</v>
      </c>
      <c r="G257" t="s">
        <v>43</v>
      </c>
      <c r="H257" t="s">
        <v>38</v>
      </c>
      <c r="I257" t="s">
        <v>38</v>
      </c>
      <c r="J257">
        <v>90</v>
      </c>
      <c r="K257">
        <v>72</v>
      </c>
      <c r="L257">
        <v>750</v>
      </c>
      <c r="M257" s="38">
        <v>5535</v>
      </c>
      <c r="N257" s="38">
        <v>1398</v>
      </c>
      <c r="O257" s="38">
        <f t="shared" si="204"/>
        <v>841</v>
      </c>
      <c r="P257" s="38">
        <v>324</v>
      </c>
      <c r="Q257" s="38">
        <v>35</v>
      </c>
      <c r="R257" s="38">
        <v>198</v>
      </c>
      <c r="S257" s="38">
        <v>550</v>
      </c>
      <c r="T257" s="38">
        <v>69</v>
      </c>
      <c r="U257" s="38">
        <f t="shared" si="205"/>
        <v>3518</v>
      </c>
      <c r="V257">
        <v>1203</v>
      </c>
      <c r="W257">
        <v>108</v>
      </c>
      <c r="X257">
        <v>38</v>
      </c>
      <c r="Y257">
        <v>43</v>
      </c>
      <c r="Z257">
        <v>689</v>
      </c>
      <c r="AA257">
        <v>623</v>
      </c>
      <c r="AB257">
        <v>3.85</v>
      </c>
      <c r="AC257">
        <v>12</v>
      </c>
      <c r="AD257">
        <v>10</v>
      </c>
      <c r="AE257">
        <v>45</v>
      </c>
      <c r="AF257" s="45">
        <f t="shared" ca="1" si="262"/>
        <v>6408</v>
      </c>
      <c r="AG257" s="45">
        <f t="shared" ca="1" si="206"/>
        <v>1372</v>
      </c>
      <c r="AH257" s="45">
        <f t="shared" ca="1" si="207"/>
        <v>777</v>
      </c>
      <c r="AI257" s="45">
        <f t="shared" ca="1" si="208"/>
        <v>345</v>
      </c>
      <c r="AJ257" s="45">
        <f t="shared" ca="1" si="209"/>
        <v>37</v>
      </c>
      <c r="AK257" s="45">
        <f t="shared" ca="1" si="210"/>
        <v>213</v>
      </c>
      <c r="AL257" s="45">
        <f t="shared" ca="1" si="211"/>
        <v>678</v>
      </c>
      <c r="AM257" s="45">
        <f t="shared" ca="1" si="212"/>
        <v>78</v>
      </c>
      <c r="AN257" s="45">
        <f t="shared" ca="1" si="213"/>
        <v>4280</v>
      </c>
      <c r="AO257">
        <v>4367</v>
      </c>
      <c r="AP257">
        <v>1415</v>
      </c>
      <c r="AQ257">
        <v>175</v>
      </c>
      <c r="AR257">
        <v>528</v>
      </c>
      <c r="AS257">
        <v>1110</v>
      </c>
      <c r="AT257">
        <v>101</v>
      </c>
      <c r="AU257">
        <v>160</v>
      </c>
      <c r="AV257">
        <v>0.98399999999999999</v>
      </c>
      <c r="AW257" s="1"/>
      <c r="AX257" s="1"/>
      <c r="AY257" s="47">
        <f t="shared" si="214"/>
        <v>29700</v>
      </c>
      <c r="AZ257" s="49">
        <f t="shared" si="215"/>
        <v>166714</v>
      </c>
      <c r="BA257" s="49"/>
      <c r="BB257" s="48">
        <f t="shared" si="217"/>
        <v>0</v>
      </c>
    </row>
    <row r="258" spans="2:54" x14ac:dyDescent="0.2">
      <c r="B258" s="3">
        <v>2008</v>
      </c>
      <c r="C258" t="s">
        <v>70</v>
      </c>
      <c r="D258" t="s">
        <v>71</v>
      </c>
      <c r="E258">
        <v>2</v>
      </c>
      <c r="F258" t="s">
        <v>38</v>
      </c>
      <c r="G258" t="s">
        <v>38</v>
      </c>
      <c r="H258" t="s">
        <v>38</v>
      </c>
      <c r="I258" t="s">
        <v>38</v>
      </c>
      <c r="J258">
        <v>88</v>
      </c>
      <c r="K258">
        <v>75</v>
      </c>
      <c r="L258">
        <v>829</v>
      </c>
      <c r="M258" s="38">
        <v>5641</v>
      </c>
      <c r="N258" s="38">
        <v>1572</v>
      </c>
      <c r="O258" s="38">
        <f t="shared" si="204"/>
        <v>1114</v>
      </c>
      <c r="P258" s="38">
        <v>298</v>
      </c>
      <c r="Q258" s="38">
        <v>49</v>
      </c>
      <c r="R258" s="38">
        <v>111</v>
      </c>
      <c r="S258" s="38">
        <v>529</v>
      </c>
      <c r="T258" s="38">
        <v>36</v>
      </c>
      <c r="U258" s="38">
        <f t="shared" si="205"/>
        <v>3504</v>
      </c>
      <c r="V258">
        <v>979</v>
      </c>
      <c r="W258">
        <v>102</v>
      </c>
      <c r="X258">
        <v>42</v>
      </c>
      <c r="Y258">
        <v>72</v>
      </c>
      <c r="Z258">
        <v>745</v>
      </c>
      <c r="AA258">
        <v>675</v>
      </c>
      <c r="AB258">
        <v>4.16</v>
      </c>
      <c r="AC258">
        <v>5</v>
      </c>
      <c r="AD258">
        <v>10</v>
      </c>
      <c r="AE258">
        <v>42</v>
      </c>
      <c r="AF258" s="45">
        <f t="shared" ca="1" si="262"/>
        <v>6128</v>
      </c>
      <c r="AG258" s="45">
        <f t="shared" ca="1" si="206"/>
        <v>1608</v>
      </c>
      <c r="AH258" s="45">
        <f t="shared" ca="1" si="207"/>
        <v>1118</v>
      </c>
      <c r="AI258" s="45">
        <f t="shared" ca="1" si="208"/>
        <v>222</v>
      </c>
      <c r="AJ258" s="45">
        <f t="shared" ca="1" si="209"/>
        <v>42</v>
      </c>
      <c r="AK258" s="45">
        <f t="shared" ca="1" si="210"/>
        <v>226</v>
      </c>
      <c r="AL258" s="45">
        <f t="shared" ca="1" si="211"/>
        <v>671</v>
      </c>
      <c r="AM258" s="45">
        <f t="shared" ca="1" si="212"/>
        <v>79</v>
      </c>
      <c r="AN258" s="45">
        <f t="shared" ca="1" si="213"/>
        <v>3770</v>
      </c>
      <c r="AO258">
        <v>4377</v>
      </c>
      <c r="AP258">
        <v>1568</v>
      </c>
      <c r="AQ258">
        <v>183</v>
      </c>
      <c r="AR258">
        <v>406</v>
      </c>
      <c r="AS258">
        <v>995</v>
      </c>
      <c r="AT258">
        <v>108</v>
      </c>
      <c r="AU258">
        <v>168</v>
      </c>
      <c r="AV258">
        <v>0.98199999999999998</v>
      </c>
      <c r="AW258" s="1"/>
      <c r="AX258" s="1"/>
      <c r="AY258" s="47">
        <f t="shared" si="214"/>
        <v>29700</v>
      </c>
      <c r="AZ258" s="49">
        <f t="shared" si="215"/>
        <v>166714</v>
      </c>
      <c r="BA258" s="49">
        <f t="shared" ref="BA258" si="273">SUMIF($B$2:$B$571,$B258,$O$2:$O$571)</f>
        <v>29194</v>
      </c>
      <c r="BB258" s="48">
        <f t="shared" si="217"/>
        <v>0.17511426754801637</v>
      </c>
    </row>
    <row r="259" spans="2:54" x14ac:dyDescent="0.2">
      <c r="B259" s="3">
        <v>2008</v>
      </c>
      <c r="C259" t="s">
        <v>74</v>
      </c>
      <c r="D259" t="s">
        <v>75</v>
      </c>
      <c r="E259">
        <v>3</v>
      </c>
      <c r="F259" t="s">
        <v>38</v>
      </c>
      <c r="G259" t="s">
        <v>38</v>
      </c>
      <c r="H259" t="s">
        <v>38</v>
      </c>
      <c r="I259" t="s">
        <v>38</v>
      </c>
      <c r="J259">
        <v>89</v>
      </c>
      <c r="K259">
        <v>73</v>
      </c>
      <c r="L259">
        <v>789</v>
      </c>
      <c r="M259" s="38">
        <v>5572</v>
      </c>
      <c r="N259" s="38">
        <v>1512</v>
      </c>
      <c r="O259" s="38">
        <f t="shared" ref="O259:O322" si="274">N259-(P259+Q259+R259)</f>
        <v>1023</v>
      </c>
      <c r="P259" s="38">
        <v>289</v>
      </c>
      <c r="Q259" s="38">
        <v>20</v>
      </c>
      <c r="R259" s="38">
        <v>180</v>
      </c>
      <c r="S259" s="38">
        <v>535</v>
      </c>
      <c r="T259" s="38">
        <v>80</v>
      </c>
      <c r="U259" s="38">
        <f t="shared" ref="U259:U322" si="275">M259-(N259+S259+T259)</f>
        <v>3445</v>
      </c>
      <c r="V259">
        <v>1015</v>
      </c>
      <c r="W259">
        <v>118</v>
      </c>
      <c r="X259">
        <v>39</v>
      </c>
      <c r="Y259">
        <v>39</v>
      </c>
      <c r="Z259">
        <v>727</v>
      </c>
      <c r="AA259">
        <v>685</v>
      </c>
      <c r="AB259">
        <v>4.28</v>
      </c>
      <c r="AC259">
        <v>1</v>
      </c>
      <c r="AD259">
        <v>11</v>
      </c>
      <c r="AE259">
        <v>42</v>
      </c>
      <c r="AF259" s="45">
        <f t="shared" ca="1" si="262"/>
        <v>6357</v>
      </c>
      <c r="AG259" s="45">
        <f t="shared" ref="AG259:AG322" ca="1" si="276">RANDBETWEEN(1300,1700)</f>
        <v>1448</v>
      </c>
      <c r="AH259" s="45">
        <f t="shared" ref="AH259:AH322" ca="1" si="277">AG259-(AI259+AJ259+AK259)</f>
        <v>956</v>
      </c>
      <c r="AI259" s="45">
        <f t="shared" ref="AI259:AI322" ca="1" si="278">RANDBETWEEN(219,400)</f>
        <v>320</v>
      </c>
      <c r="AJ259" s="45">
        <f t="shared" ref="AJ259:AJ322" ca="1" si="279">RANDBETWEEN(20,50)</f>
        <v>33</v>
      </c>
      <c r="AK259" s="45">
        <f t="shared" ref="AK259:AK322" ca="1" si="280">RANDBETWEEN(130,240)</f>
        <v>139</v>
      </c>
      <c r="AL259" s="45">
        <f t="shared" ref="AL259:AL322" ca="1" si="281">RANDBETWEEN(400,700)</f>
        <v>604</v>
      </c>
      <c r="AM259" s="45">
        <f t="shared" ref="AM259:AM322" ca="1" si="282">RANDBETWEEN(30,90)</f>
        <v>63</v>
      </c>
      <c r="AN259" s="45">
        <f t="shared" ref="AN259:AN322" ca="1" si="283">AF259-(AG259+AL259+AM259)</f>
        <v>4242</v>
      </c>
      <c r="AO259">
        <v>4325</v>
      </c>
      <c r="AP259">
        <v>1478</v>
      </c>
      <c r="AQ259">
        <v>143</v>
      </c>
      <c r="AR259">
        <v>489</v>
      </c>
      <c r="AS259">
        <v>1141</v>
      </c>
      <c r="AT259">
        <v>83</v>
      </c>
      <c r="AU259">
        <v>141</v>
      </c>
      <c r="AV259">
        <v>0.98599999999999999</v>
      </c>
      <c r="AW259" s="1"/>
      <c r="AX259" s="1"/>
      <c r="AY259" s="47">
        <f t="shared" ref="AY259:AY322" si="284">SUM(O$2:O$31)</f>
        <v>29700</v>
      </c>
      <c r="AZ259" s="49">
        <f t="shared" ref="AZ259:AZ322" si="285">SUMIF($B$2:$B$571,$B259,$M$2:$M$571)</f>
        <v>166714</v>
      </c>
      <c r="BA259" s="49">
        <f t="shared" ref="BA259" si="286">SUMIF($B$2:$B$571,$B259,$P$2:$P$571)</f>
        <v>9014</v>
      </c>
      <c r="BB259" s="48">
        <f t="shared" ref="BB259:BB322" si="287">BA259/AZ259</f>
        <v>5.4068644504960593E-2</v>
      </c>
    </row>
    <row r="260" spans="2:54" x14ac:dyDescent="0.2">
      <c r="B260" s="3">
        <v>2008</v>
      </c>
      <c r="C260" t="s">
        <v>76</v>
      </c>
      <c r="D260" t="s">
        <v>77</v>
      </c>
      <c r="E260">
        <v>2</v>
      </c>
      <c r="F260" t="s">
        <v>38</v>
      </c>
      <c r="G260" t="s">
        <v>38</v>
      </c>
      <c r="H260" t="s">
        <v>38</v>
      </c>
      <c r="I260" t="s">
        <v>38</v>
      </c>
      <c r="J260">
        <v>89</v>
      </c>
      <c r="K260">
        <v>73</v>
      </c>
      <c r="L260">
        <v>799</v>
      </c>
      <c r="M260" s="38">
        <v>5606</v>
      </c>
      <c r="N260" s="38">
        <v>1491</v>
      </c>
      <c r="O260" s="38">
        <f t="shared" si="274"/>
        <v>1007</v>
      </c>
      <c r="P260" s="38">
        <v>274</v>
      </c>
      <c r="Q260" s="38">
        <v>38</v>
      </c>
      <c r="R260" s="38">
        <v>172</v>
      </c>
      <c r="S260" s="38">
        <v>619</v>
      </c>
      <c r="T260" s="38">
        <v>39</v>
      </c>
      <c r="U260" s="38">
        <f t="shared" si="275"/>
        <v>3457</v>
      </c>
      <c r="V260">
        <v>1024</v>
      </c>
      <c r="W260">
        <v>138</v>
      </c>
      <c r="X260">
        <v>36</v>
      </c>
      <c r="Y260">
        <v>49</v>
      </c>
      <c r="Z260">
        <v>715</v>
      </c>
      <c r="AA260">
        <v>662</v>
      </c>
      <c r="AB260">
        <v>4.07</v>
      </c>
      <c r="AC260">
        <v>5</v>
      </c>
      <c r="AD260">
        <v>12</v>
      </c>
      <c r="AE260">
        <v>43</v>
      </c>
      <c r="AF260" s="45">
        <f t="shared" ca="1" si="262"/>
        <v>6329</v>
      </c>
      <c r="AG260" s="45">
        <f t="shared" ca="1" si="276"/>
        <v>1533</v>
      </c>
      <c r="AH260" s="45">
        <f t="shared" ca="1" si="277"/>
        <v>1088</v>
      </c>
      <c r="AI260" s="45">
        <f t="shared" ca="1" si="278"/>
        <v>235</v>
      </c>
      <c r="AJ260" s="45">
        <f t="shared" ca="1" si="279"/>
        <v>23</v>
      </c>
      <c r="AK260" s="45">
        <f t="shared" ca="1" si="280"/>
        <v>187</v>
      </c>
      <c r="AL260" s="45">
        <f t="shared" ca="1" si="281"/>
        <v>514</v>
      </c>
      <c r="AM260" s="45">
        <f t="shared" ca="1" si="282"/>
        <v>79</v>
      </c>
      <c r="AN260" s="45">
        <f t="shared" ca="1" si="283"/>
        <v>4203</v>
      </c>
      <c r="AO260">
        <v>4393</v>
      </c>
      <c r="AP260">
        <v>1415</v>
      </c>
      <c r="AQ260">
        <v>163</v>
      </c>
      <c r="AR260">
        <v>590</v>
      </c>
      <c r="AS260">
        <v>1181</v>
      </c>
      <c r="AT260">
        <v>83</v>
      </c>
      <c r="AU260">
        <v>126</v>
      </c>
      <c r="AV260">
        <v>0.98599999999999999</v>
      </c>
      <c r="AW260" s="1"/>
      <c r="AX260" s="1"/>
      <c r="AY260" s="47">
        <f t="shared" si="284"/>
        <v>29700</v>
      </c>
      <c r="AZ260" s="49">
        <f t="shared" si="285"/>
        <v>166714</v>
      </c>
      <c r="BA260" s="49">
        <f t="shared" ref="BA260" si="288">SUMIF($B$2:$B$571,$B260,$Q$2:$Q$571)</f>
        <v>886</v>
      </c>
      <c r="BB260" s="48">
        <f t="shared" si="287"/>
        <v>5.3144906846455606E-3</v>
      </c>
    </row>
    <row r="261" spans="2:54" x14ac:dyDescent="0.2">
      <c r="B261" s="3">
        <v>2008</v>
      </c>
      <c r="C261" t="s">
        <v>78</v>
      </c>
      <c r="D261" t="s">
        <v>79</v>
      </c>
      <c r="E261">
        <v>3</v>
      </c>
      <c r="F261" t="s">
        <v>38</v>
      </c>
      <c r="G261" t="s">
        <v>38</v>
      </c>
      <c r="H261" t="s">
        <v>38</v>
      </c>
      <c r="I261" t="s">
        <v>38</v>
      </c>
      <c r="J261">
        <v>75</v>
      </c>
      <c r="K261">
        <v>86</v>
      </c>
      <c r="L261">
        <v>646</v>
      </c>
      <c r="M261" s="38">
        <v>5451</v>
      </c>
      <c r="N261" s="38">
        <v>1318</v>
      </c>
      <c r="O261" s="38">
        <f t="shared" si="274"/>
        <v>900</v>
      </c>
      <c r="P261" s="38">
        <v>270</v>
      </c>
      <c r="Q261" s="38">
        <v>23</v>
      </c>
      <c r="R261" s="38">
        <v>125</v>
      </c>
      <c r="S261" s="38">
        <v>574</v>
      </c>
      <c r="T261" s="38">
        <v>48</v>
      </c>
      <c r="U261" s="38">
        <f t="shared" si="275"/>
        <v>3511</v>
      </c>
      <c r="V261">
        <v>1226</v>
      </c>
      <c r="W261">
        <v>88</v>
      </c>
      <c r="X261">
        <v>21</v>
      </c>
      <c r="Y261">
        <v>35</v>
      </c>
      <c r="Z261">
        <v>690</v>
      </c>
      <c r="AA261">
        <v>640</v>
      </c>
      <c r="AB261">
        <v>4.01</v>
      </c>
      <c r="AC261">
        <v>4</v>
      </c>
      <c r="AD261">
        <v>7</v>
      </c>
      <c r="AE261">
        <v>33</v>
      </c>
      <c r="AF261" s="45">
        <f t="shared" ca="1" si="262"/>
        <v>6356</v>
      </c>
      <c r="AG261" s="45">
        <f t="shared" ca="1" si="276"/>
        <v>1629</v>
      </c>
      <c r="AH261" s="45">
        <f t="shared" ca="1" si="277"/>
        <v>1129</v>
      </c>
      <c r="AI261" s="45">
        <f t="shared" ca="1" si="278"/>
        <v>301</v>
      </c>
      <c r="AJ261" s="45">
        <f t="shared" ca="1" si="279"/>
        <v>39</v>
      </c>
      <c r="AK261" s="45">
        <f t="shared" ca="1" si="280"/>
        <v>160</v>
      </c>
      <c r="AL261" s="45">
        <f t="shared" ca="1" si="281"/>
        <v>663</v>
      </c>
      <c r="AM261" s="45">
        <f t="shared" ca="1" si="282"/>
        <v>73</v>
      </c>
      <c r="AN261" s="45">
        <f t="shared" ca="1" si="283"/>
        <v>3991</v>
      </c>
      <c r="AO261">
        <v>4305</v>
      </c>
      <c r="AP261">
        <v>1364</v>
      </c>
      <c r="AQ261">
        <v>135</v>
      </c>
      <c r="AR261">
        <v>576</v>
      </c>
      <c r="AS261">
        <v>1061</v>
      </c>
      <c r="AT261">
        <v>98</v>
      </c>
      <c r="AU261">
        <v>169</v>
      </c>
      <c r="AV261">
        <v>0.98399999999999999</v>
      </c>
      <c r="AW261" s="1"/>
      <c r="AX261" s="1"/>
      <c r="AY261" s="47">
        <f t="shared" si="284"/>
        <v>29700</v>
      </c>
      <c r="AZ261" s="49">
        <f t="shared" si="285"/>
        <v>166714</v>
      </c>
      <c r="BA261" s="49">
        <f t="shared" ref="BA261" si="289">SUMIF($B$2:$B$571,$B261,$R$2:$R$571)</f>
        <v>4878</v>
      </c>
      <c r="BB261" s="48">
        <f t="shared" si="287"/>
        <v>2.9259690247969577E-2</v>
      </c>
    </row>
    <row r="262" spans="2:54" x14ac:dyDescent="0.2">
      <c r="B262" s="3">
        <v>2008</v>
      </c>
      <c r="C262" t="s">
        <v>80</v>
      </c>
      <c r="D262" t="s">
        <v>81</v>
      </c>
      <c r="E262">
        <v>1</v>
      </c>
      <c r="F262" t="s">
        <v>43</v>
      </c>
      <c r="G262" t="s">
        <v>38</v>
      </c>
      <c r="H262" t="s">
        <v>43</v>
      </c>
      <c r="I262" t="s">
        <v>43</v>
      </c>
      <c r="J262">
        <v>92</v>
      </c>
      <c r="K262">
        <v>70</v>
      </c>
      <c r="L262">
        <v>799</v>
      </c>
      <c r="M262" s="38">
        <v>5509</v>
      </c>
      <c r="N262" s="38">
        <v>1407</v>
      </c>
      <c r="O262" s="38">
        <f t="shared" si="274"/>
        <v>866</v>
      </c>
      <c r="P262" s="38">
        <v>291</v>
      </c>
      <c r="Q262" s="38">
        <v>36</v>
      </c>
      <c r="R262" s="38">
        <v>214</v>
      </c>
      <c r="S262" s="38">
        <v>586</v>
      </c>
      <c r="T262" s="38">
        <v>67</v>
      </c>
      <c r="U262" s="38">
        <f t="shared" si="275"/>
        <v>3449</v>
      </c>
      <c r="V262">
        <v>1117</v>
      </c>
      <c r="W262">
        <v>136</v>
      </c>
      <c r="X262">
        <v>25</v>
      </c>
      <c r="Y262">
        <v>40</v>
      </c>
      <c r="Z262">
        <v>680</v>
      </c>
      <c r="AA262">
        <v>625</v>
      </c>
      <c r="AB262">
        <v>3.88</v>
      </c>
      <c r="AC262">
        <v>4</v>
      </c>
      <c r="AD262">
        <v>11</v>
      </c>
      <c r="AE262">
        <v>47</v>
      </c>
      <c r="AF262" s="45">
        <f t="shared" ca="1" si="262"/>
        <v>6136</v>
      </c>
      <c r="AG262" s="45">
        <f t="shared" ca="1" si="276"/>
        <v>1465</v>
      </c>
      <c r="AH262" s="45">
        <f t="shared" ca="1" si="277"/>
        <v>956</v>
      </c>
      <c r="AI262" s="45">
        <f t="shared" ca="1" si="278"/>
        <v>251</v>
      </c>
      <c r="AJ262" s="45">
        <f t="shared" ca="1" si="279"/>
        <v>25</v>
      </c>
      <c r="AK262" s="45">
        <f t="shared" ca="1" si="280"/>
        <v>233</v>
      </c>
      <c r="AL262" s="45">
        <f t="shared" ca="1" si="281"/>
        <v>621</v>
      </c>
      <c r="AM262" s="45">
        <f t="shared" ca="1" si="282"/>
        <v>46</v>
      </c>
      <c r="AN262" s="45">
        <f t="shared" ca="1" si="283"/>
        <v>4004</v>
      </c>
      <c r="AO262">
        <v>4349</v>
      </c>
      <c r="AP262">
        <v>1444</v>
      </c>
      <c r="AQ262">
        <v>160</v>
      </c>
      <c r="AR262">
        <v>533</v>
      </c>
      <c r="AS262">
        <v>1081</v>
      </c>
      <c r="AT262">
        <v>90</v>
      </c>
      <c r="AU262">
        <v>142</v>
      </c>
      <c r="AV262">
        <v>0.98499999999999999</v>
      </c>
      <c r="AW262" s="1"/>
      <c r="AX262" s="1"/>
      <c r="AY262" s="47">
        <f t="shared" si="284"/>
        <v>29700</v>
      </c>
      <c r="AZ262" s="49">
        <f t="shared" si="285"/>
        <v>166714</v>
      </c>
      <c r="BA262" s="49">
        <f t="shared" ref="BA262" si="290">SUMIF($B$2:$B$571,$B262,$S$2:$S$571)</f>
        <v>16337</v>
      </c>
      <c r="BB262" s="48">
        <f t="shared" si="287"/>
        <v>9.7994169655817753E-2</v>
      </c>
    </row>
    <row r="263" spans="2:54" x14ac:dyDescent="0.2">
      <c r="B263" s="3">
        <v>2008</v>
      </c>
      <c r="C263" t="s">
        <v>82</v>
      </c>
      <c r="D263" t="s">
        <v>83</v>
      </c>
      <c r="E263">
        <v>6</v>
      </c>
      <c r="F263" t="s">
        <v>38</v>
      </c>
      <c r="G263" t="s">
        <v>38</v>
      </c>
      <c r="H263" t="s">
        <v>38</v>
      </c>
      <c r="I263" t="s">
        <v>38</v>
      </c>
      <c r="J263">
        <v>67</v>
      </c>
      <c r="K263">
        <v>95</v>
      </c>
      <c r="L263">
        <v>735</v>
      </c>
      <c r="M263" s="38">
        <v>5628</v>
      </c>
      <c r="N263" s="38">
        <v>1454</v>
      </c>
      <c r="O263" s="38">
        <f t="shared" si="274"/>
        <v>966</v>
      </c>
      <c r="P263" s="38">
        <v>314</v>
      </c>
      <c r="Q263" s="38">
        <v>21</v>
      </c>
      <c r="R263" s="38">
        <v>153</v>
      </c>
      <c r="S263" s="38">
        <v>474</v>
      </c>
      <c r="T263" s="38">
        <v>59</v>
      </c>
      <c r="U263" s="38">
        <f t="shared" si="275"/>
        <v>3641</v>
      </c>
      <c r="V263">
        <v>1039</v>
      </c>
      <c r="W263">
        <v>57</v>
      </c>
      <c r="X263">
        <v>19</v>
      </c>
      <c r="Y263">
        <v>51</v>
      </c>
      <c r="Z263">
        <v>884</v>
      </c>
      <c r="AA263">
        <v>822</v>
      </c>
      <c r="AB263">
        <v>5.08</v>
      </c>
      <c r="AC263">
        <v>3</v>
      </c>
      <c r="AD263">
        <v>7</v>
      </c>
      <c r="AE263">
        <v>34</v>
      </c>
      <c r="AF263" s="45">
        <f t="shared" ca="1" si="262"/>
        <v>6234</v>
      </c>
      <c r="AG263" s="45">
        <f t="shared" ca="1" si="276"/>
        <v>1560</v>
      </c>
      <c r="AH263" s="45">
        <f t="shared" ca="1" si="277"/>
        <v>980</v>
      </c>
      <c r="AI263" s="45">
        <f t="shared" ca="1" si="278"/>
        <v>362</v>
      </c>
      <c r="AJ263" s="45">
        <f t="shared" ca="1" si="279"/>
        <v>46</v>
      </c>
      <c r="AK263" s="45">
        <f t="shared" ca="1" si="280"/>
        <v>172</v>
      </c>
      <c r="AL263" s="45">
        <f t="shared" ca="1" si="281"/>
        <v>591</v>
      </c>
      <c r="AM263" s="45">
        <f t="shared" ca="1" si="282"/>
        <v>30</v>
      </c>
      <c r="AN263" s="45">
        <f t="shared" ca="1" si="283"/>
        <v>4053</v>
      </c>
      <c r="AO263">
        <v>4365</v>
      </c>
      <c r="AP263">
        <v>1631</v>
      </c>
      <c r="AQ263">
        <v>176</v>
      </c>
      <c r="AR263">
        <v>657</v>
      </c>
      <c r="AS263">
        <v>963</v>
      </c>
      <c r="AT263">
        <v>107</v>
      </c>
      <c r="AU263">
        <v>179</v>
      </c>
      <c r="AV263">
        <v>0.98299999999999998</v>
      </c>
      <c r="AW263" s="1"/>
      <c r="AX263" s="1"/>
      <c r="AY263" s="47">
        <f t="shared" si="284"/>
        <v>29700</v>
      </c>
      <c r="AZ263" s="49">
        <f t="shared" si="285"/>
        <v>166714</v>
      </c>
      <c r="BA263" s="49">
        <f t="shared" ref="BA263" si="291">SUMIF($B$2:$B$571,$B263,$T$2:$T$571)</f>
        <v>1672</v>
      </c>
      <c r="BB263" s="48">
        <f t="shared" si="287"/>
        <v>1.0029151720911261E-2</v>
      </c>
    </row>
    <row r="264" spans="2:54" x14ac:dyDescent="0.2">
      <c r="B264" s="3">
        <v>2008</v>
      </c>
      <c r="C264" t="s">
        <v>84</v>
      </c>
      <c r="D264" t="s">
        <v>85</v>
      </c>
      <c r="E264">
        <v>5</v>
      </c>
      <c r="F264" t="s">
        <v>38</v>
      </c>
      <c r="G264" t="s">
        <v>38</v>
      </c>
      <c r="H264" t="s">
        <v>38</v>
      </c>
      <c r="I264" t="s">
        <v>38</v>
      </c>
      <c r="J264">
        <v>63</v>
      </c>
      <c r="K264">
        <v>99</v>
      </c>
      <c r="L264">
        <v>637</v>
      </c>
      <c r="M264" s="38">
        <v>5568</v>
      </c>
      <c r="N264" s="38">
        <v>1390</v>
      </c>
      <c r="O264" s="38">
        <f t="shared" si="274"/>
        <v>945</v>
      </c>
      <c r="P264" s="38">
        <v>264</v>
      </c>
      <c r="Q264" s="38">
        <v>27</v>
      </c>
      <c r="R264" s="38">
        <v>154</v>
      </c>
      <c r="S264" s="38">
        <v>518</v>
      </c>
      <c r="T264" s="38">
        <v>53</v>
      </c>
      <c r="U264" s="38">
        <f t="shared" si="275"/>
        <v>3607</v>
      </c>
      <c r="V264">
        <v>1259</v>
      </c>
      <c r="W264">
        <v>36</v>
      </c>
      <c r="X264">
        <v>17</v>
      </c>
      <c r="Y264">
        <v>46</v>
      </c>
      <c r="Z264">
        <v>764</v>
      </c>
      <c r="AA264">
        <v>714</v>
      </c>
      <c r="AB264">
        <v>4.41</v>
      </c>
      <c r="AC264">
        <v>3</v>
      </c>
      <c r="AD264">
        <v>6</v>
      </c>
      <c r="AE264">
        <v>30</v>
      </c>
      <c r="AF264" s="45">
        <f t="shared" ca="1" si="262"/>
        <v>6274</v>
      </c>
      <c r="AG264" s="45">
        <f t="shared" ca="1" si="276"/>
        <v>1588</v>
      </c>
      <c r="AH264" s="45">
        <f t="shared" ca="1" si="277"/>
        <v>1012</v>
      </c>
      <c r="AI264" s="45">
        <f t="shared" ca="1" si="278"/>
        <v>360</v>
      </c>
      <c r="AJ264" s="45">
        <f t="shared" ca="1" si="279"/>
        <v>45</v>
      </c>
      <c r="AK264" s="45">
        <f t="shared" ca="1" si="280"/>
        <v>171</v>
      </c>
      <c r="AL264" s="45">
        <f t="shared" ca="1" si="281"/>
        <v>514</v>
      </c>
      <c r="AM264" s="45">
        <f t="shared" ca="1" si="282"/>
        <v>33</v>
      </c>
      <c r="AN264" s="45">
        <f t="shared" ca="1" si="283"/>
        <v>4139</v>
      </c>
      <c r="AO264">
        <v>4375</v>
      </c>
      <c r="AP264">
        <v>1466</v>
      </c>
      <c r="AQ264">
        <v>165</v>
      </c>
      <c r="AR264">
        <v>561</v>
      </c>
      <c r="AS264">
        <v>1100</v>
      </c>
      <c r="AT264">
        <v>85</v>
      </c>
      <c r="AU264">
        <v>149</v>
      </c>
      <c r="AV264">
        <v>0.98599999999999999</v>
      </c>
      <c r="AW264" s="1"/>
      <c r="AX264" s="1"/>
      <c r="AY264" s="47">
        <f t="shared" si="284"/>
        <v>29700</v>
      </c>
      <c r="AZ264" s="49">
        <f t="shared" si="285"/>
        <v>166714</v>
      </c>
      <c r="BA264" s="49">
        <f t="shared" ref="BA264" si="292">SUMIF($B$2:$B$571,$B264,$U$2:$U$571)</f>
        <v>104733</v>
      </c>
      <c r="BB264" s="48">
        <f t="shared" si="287"/>
        <v>0.62821958563767888</v>
      </c>
    </row>
    <row r="265" spans="2:54" x14ac:dyDescent="0.2">
      <c r="B265" s="3">
        <v>2008</v>
      </c>
      <c r="C265" t="s">
        <v>86</v>
      </c>
      <c r="D265" t="s">
        <v>87</v>
      </c>
      <c r="E265">
        <v>4</v>
      </c>
      <c r="F265" t="s">
        <v>38</v>
      </c>
      <c r="G265" t="s">
        <v>38</v>
      </c>
      <c r="H265" t="s">
        <v>38</v>
      </c>
      <c r="I265" t="s">
        <v>38</v>
      </c>
      <c r="J265">
        <v>61</v>
      </c>
      <c r="K265">
        <v>101</v>
      </c>
      <c r="L265">
        <v>671</v>
      </c>
      <c r="M265" s="38">
        <v>5643</v>
      </c>
      <c r="N265" s="38">
        <v>1498</v>
      </c>
      <c r="O265" s="38">
        <f t="shared" si="274"/>
        <v>1069</v>
      </c>
      <c r="P265" s="38">
        <v>285</v>
      </c>
      <c r="Q265" s="38">
        <v>20</v>
      </c>
      <c r="R265" s="38">
        <v>124</v>
      </c>
      <c r="S265" s="38">
        <v>417</v>
      </c>
      <c r="T265" s="38">
        <v>38</v>
      </c>
      <c r="U265" s="38">
        <f t="shared" si="275"/>
        <v>3690</v>
      </c>
      <c r="V265">
        <v>890</v>
      </c>
      <c r="W265">
        <v>90</v>
      </c>
      <c r="X265">
        <v>32</v>
      </c>
      <c r="Y265">
        <v>42</v>
      </c>
      <c r="Z265">
        <v>811</v>
      </c>
      <c r="AA265">
        <v>754</v>
      </c>
      <c r="AB265">
        <v>4.7300000000000004</v>
      </c>
      <c r="AC265">
        <v>4</v>
      </c>
      <c r="AD265">
        <v>4</v>
      </c>
      <c r="AE265">
        <v>36</v>
      </c>
      <c r="AF265" s="45">
        <f t="shared" ca="1" si="262"/>
        <v>6453</v>
      </c>
      <c r="AG265" s="45">
        <f t="shared" ca="1" si="276"/>
        <v>1496</v>
      </c>
      <c r="AH265" s="45">
        <f t="shared" ca="1" si="277"/>
        <v>1038</v>
      </c>
      <c r="AI265" s="45">
        <f t="shared" ca="1" si="278"/>
        <v>270</v>
      </c>
      <c r="AJ265" s="45">
        <f t="shared" ca="1" si="279"/>
        <v>32</v>
      </c>
      <c r="AK265" s="45">
        <f t="shared" ca="1" si="280"/>
        <v>156</v>
      </c>
      <c r="AL265" s="45">
        <f t="shared" ca="1" si="281"/>
        <v>426</v>
      </c>
      <c r="AM265" s="45">
        <f t="shared" ca="1" si="282"/>
        <v>75</v>
      </c>
      <c r="AN265" s="45">
        <f t="shared" ca="1" si="283"/>
        <v>4456</v>
      </c>
      <c r="AO265">
        <v>4306</v>
      </c>
      <c r="AP265">
        <v>1544</v>
      </c>
      <c r="AQ265">
        <v>161</v>
      </c>
      <c r="AR265">
        <v>626</v>
      </c>
      <c r="AS265">
        <v>1016</v>
      </c>
      <c r="AT265">
        <v>99</v>
      </c>
      <c r="AU265">
        <v>160</v>
      </c>
      <c r="AV265">
        <v>0.98399999999999999</v>
      </c>
      <c r="AW265" s="1"/>
      <c r="AX265" s="1"/>
      <c r="AY265" s="47">
        <f t="shared" si="284"/>
        <v>29700</v>
      </c>
      <c r="AZ265" s="49">
        <f t="shared" si="285"/>
        <v>166714</v>
      </c>
      <c r="BA265" s="49"/>
      <c r="BB265" s="48">
        <f t="shared" si="287"/>
        <v>0</v>
      </c>
    </row>
    <row r="266" spans="2:54" x14ac:dyDescent="0.2">
      <c r="B266" s="3">
        <v>2008</v>
      </c>
      <c r="C266" t="s">
        <v>88</v>
      </c>
      <c r="D266" t="s">
        <v>89</v>
      </c>
      <c r="E266">
        <v>4</v>
      </c>
      <c r="F266" t="s">
        <v>38</v>
      </c>
      <c r="G266" t="s">
        <v>38</v>
      </c>
      <c r="H266" t="s">
        <v>38</v>
      </c>
      <c r="I266" t="s">
        <v>38</v>
      </c>
      <c r="J266">
        <v>72</v>
      </c>
      <c r="K266">
        <v>90</v>
      </c>
      <c r="L266">
        <v>640</v>
      </c>
      <c r="M266" s="38">
        <v>5543</v>
      </c>
      <c r="N266" s="38">
        <v>1452</v>
      </c>
      <c r="O266" s="38">
        <f t="shared" si="274"/>
        <v>1010</v>
      </c>
      <c r="P266" s="38">
        <v>311</v>
      </c>
      <c r="Q266" s="38">
        <v>37</v>
      </c>
      <c r="R266" s="38">
        <v>94</v>
      </c>
      <c r="S266" s="38">
        <v>452</v>
      </c>
      <c r="T266" s="38">
        <v>48</v>
      </c>
      <c r="U266" s="38">
        <f t="shared" si="275"/>
        <v>3591</v>
      </c>
      <c r="V266">
        <v>1044</v>
      </c>
      <c r="W266">
        <v>108</v>
      </c>
      <c r="X266">
        <v>46</v>
      </c>
      <c r="Y266">
        <v>44</v>
      </c>
      <c r="Z266">
        <v>759</v>
      </c>
      <c r="AA266">
        <v>701</v>
      </c>
      <c r="AB266">
        <v>4.38</v>
      </c>
      <c r="AC266">
        <v>4</v>
      </c>
      <c r="AD266">
        <v>12</v>
      </c>
      <c r="AE266">
        <v>41</v>
      </c>
      <c r="AF266" s="45">
        <f t="shared" ca="1" si="262"/>
        <v>6075</v>
      </c>
      <c r="AG266" s="45">
        <f t="shared" ca="1" si="276"/>
        <v>1556</v>
      </c>
      <c r="AH266" s="45">
        <f t="shared" ca="1" si="277"/>
        <v>987</v>
      </c>
      <c r="AI266" s="45">
        <f t="shared" ca="1" si="278"/>
        <v>368</v>
      </c>
      <c r="AJ266" s="45">
        <f t="shared" ca="1" si="279"/>
        <v>34</v>
      </c>
      <c r="AK266" s="45">
        <f t="shared" ca="1" si="280"/>
        <v>167</v>
      </c>
      <c r="AL266" s="45">
        <f t="shared" ca="1" si="281"/>
        <v>543</v>
      </c>
      <c r="AM266" s="45">
        <f t="shared" ca="1" si="282"/>
        <v>58</v>
      </c>
      <c r="AN266" s="45">
        <f t="shared" ca="1" si="283"/>
        <v>3918</v>
      </c>
      <c r="AO266">
        <v>4326</v>
      </c>
      <c r="AP266">
        <v>1416</v>
      </c>
      <c r="AQ266">
        <v>147</v>
      </c>
      <c r="AR266">
        <v>652</v>
      </c>
      <c r="AS266">
        <v>1240</v>
      </c>
      <c r="AT266">
        <v>96</v>
      </c>
      <c r="AU266">
        <v>129</v>
      </c>
      <c r="AV266">
        <v>0.98299999999999998</v>
      </c>
      <c r="AW266" s="1"/>
      <c r="AX266" s="1"/>
      <c r="AY266" s="47">
        <f t="shared" si="284"/>
        <v>29700</v>
      </c>
      <c r="AZ266" s="49">
        <f t="shared" si="285"/>
        <v>166714</v>
      </c>
      <c r="BA266" s="49">
        <f t="shared" ref="BA266" si="293">SUMIF($B$2:$B$571,$B266,$O$2:$O$571)</f>
        <v>29194</v>
      </c>
      <c r="BB266" s="48">
        <f t="shared" si="287"/>
        <v>0.17511426754801637</v>
      </c>
    </row>
    <row r="267" spans="2:54" x14ac:dyDescent="0.2">
      <c r="B267" s="3">
        <v>2008</v>
      </c>
      <c r="C267" t="s">
        <v>90</v>
      </c>
      <c r="D267" t="s">
        <v>91</v>
      </c>
      <c r="E267">
        <v>4</v>
      </c>
      <c r="F267" t="s">
        <v>38</v>
      </c>
      <c r="G267" t="s">
        <v>38</v>
      </c>
      <c r="H267" t="s">
        <v>38</v>
      </c>
      <c r="I267" t="s">
        <v>38</v>
      </c>
      <c r="J267">
        <v>86</v>
      </c>
      <c r="K267">
        <v>76</v>
      </c>
      <c r="L267">
        <v>779</v>
      </c>
      <c r="M267" s="38">
        <v>5636</v>
      </c>
      <c r="N267" s="38">
        <v>1585</v>
      </c>
      <c r="O267" s="38">
        <f t="shared" si="274"/>
        <v>1102</v>
      </c>
      <c r="P267" s="38">
        <v>283</v>
      </c>
      <c r="Q267" s="38">
        <v>26</v>
      </c>
      <c r="R267" s="38">
        <v>174</v>
      </c>
      <c r="S267" s="38">
        <v>577</v>
      </c>
      <c r="T267" s="38">
        <v>42</v>
      </c>
      <c r="U267" s="38">
        <f t="shared" si="275"/>
        <v>3432</v>
      </c>
      <c r="V267">
        <v>985</v>
      </c>
      <c r="W267">
        <v>73</v>
      </c>
      <c r="X267">
        <v>32</v>
      </c>
      <c r="Y267">
        <v>44</v>
      </c>
      <c r="Z267">
        <v>725</v>
      </c>
      <c r="AA267">
        <v>677</v>
      </c>
      <c r="AB267">
        <v>4.1900000000000004</v>
      </c>
      <c r="AC267">
        <v>2</v>
      </c>
      <c r="AD267">
        <v>7</v>
      </c>
      <c r="AE267">
        <v>42</v>
      </c>
      <c r="AF267" s="45">
        <f t="shared" ca="1" si="262"/>
        <v>6143</v>
      </c>
      <c r="AG267" s="45">
        <f t="shared" ca="1" si="276"/>
        <v>1662</v>
      </c>
      <c r="AH267" s="45">
        <f t="shared" ca="1" si="277"/>
        <v>1160</v>
      </c>
      <c r="AI267" s="45">
        <f t="shared" ca="1" si="278"/>
        <v>302</v>
      </c>
      <c r="AJ267" s="45">
        <f t="shared" ca="1" si="279"/>
        <v>32</v>
      </c>
      <c r="AK267" s="45">
        <f t="shared" ca="1" si="280"/>
        <v>168</v>
      </c>
      <c r="AL267" s="45">
        <f t="shared" ca="1" si="281"/>
        <v>464</v>
      </c>
      <c r="AM267" s="45">
        <f t="shared" ca="1" si="282"/>
        <v>83</v>
      </c>
      <c r="AN267" s="45">
        <f t="shared" ca="1" si="283"/>
        <v>3934</v>
      </c>
      <c r="AO267">
        <v>4362</v>
      </c>
      <c r="AP267">
        <v>1517</v>
      </c>
      <c r="AQ267">
        <v>163</v>
      </c>
      <c r="AR267">
        <v>496</v>
      </c>
      <c r="AS267">
        <v>957</v>
      </c>
      <c r="AT267">
        <v>85</v>
      </c>
      <c r="AU267">
        <v>156</v>
      </c>
      <c r="AV267">
        <v>0.98599999999999999</v>
      </c>
      <c r="AW267" s="1"/>
      <c r="AX267" s="1"/>
      <c r="AY267" s="47">
        <f t="shared" si="284"/>
        <v>29700</v>
      </c>
      <c r="AZ267" s="49">
        <f t="shared" si="285"/>
        <v>166714</v>
      </c>
      <c r="BA267" s="49">
        <f t="shared" ref="BA267" si="294">SUMIF($B$2:$B$571,$B267,$P$2:$P$571)</f>
        <v>9014</v>
      </c>
      <c r="BB267" s="48">
        <f t="shared" si="287"/>
        <v>5.4068644504960593E-2</v>
      </c>
    </row>
    <row r="268" spans="2:54" x14ac:dyDescent="0.2">
      <c r="B268" s="3">
        <v>2008</v>
      </c>
      <c r="C268" t="s">
        <v>102</v>
      </c>
      <c r="D268" t="s">
        <v>93</v>
      </c>
      <c r="E268">
        <v>1</v>
      </c>
      <c r="F268" t="s">
        <v>43</v>
      </c>
      <c r="G268" t="s">
        <v>38</v>
      </c>
      <c r="H268" t="s">
        <v>43</v>
      </c>
      <c r="I268" t="s">
        <v>38</v>
      </c>
      <c r="J268">
        <v>97</v>
      </c>
      <c r="K268">
        <v>65</v>
      </c>
      <c r="L268">
        <v>774</v>
      </c>
      <c r="M268" s="38">
        <v>5541</v>
      </c>
      <c r="N268" s="38">
        <v>1443</v>
      </c>
      <c r="O268" s="38">
        <f t="shared" si="274"/>
        <v>942</v>
      </c>
      <c r="P268" s="38">
        <v>284</v>
      </c>
      <c r="Q268" s="38">
        <v>37</v>
      </c>
      <c r="R268" s="38">
        <v>180</v>
      </c>
      <c r="S268" s="38">
        <v>626</v>
      </c>
      <c r="T268" s="38">
        <v>68</v>
      </c>
      <c r="U268" s="38">
        <f t="shared" si="275"/>
        <v>3404</v>
      </c>
      <c r="V268">
        <v>1224</v>
      </c>
      <c r="W268">
        <v>142</v>
      </c>
      <c r="X268">
        <v>50</v>
      </c>
      <c r="Y268">
        <v>52</v>
      </c>
      <c r="Z268">
        <v>671</v>
      </c>
      <c r="AA268">
        <v>618</v>
      </c>
      <c r="AB268">
        <v>3.82</v>
      </c>
      <c r="AC268">
        <v>7</v>
      </c>
      <c r="AD268">
        <v>12</v>
      </c>
      <c r="AE268">
        <v>52</v>
      </c>
      <c r="AF268" s="45">
        <f t="shared" ca="1" si="262"/>
        <v>6336</v>
      </c>
      <c r="AG268" s="45">
        <f t="shared" ca="1" si="276"/>
        <v>1442</v>
      </c>
      <c r="AH268" s="45">
        <f t="shared" ca="1" si="277"/>
        <v>879</v>
      </c>
      <c r="AI268" s="45">
        <f t="shared" ca="1" si="278"/>
        <v>310</v>
      </c>
      <c r="AJ268" s="45">
        <f t="shared" ca="1" si="279"/>
        <v>49</v>
      </c>
      <c r="AK268" s="45">
        <f t="shared" ca="1" si="280"/>
        <v>204</v>
      </c>
      <c r="AL268" s="45">
        <f t="shared" ca="1" si="281"/>
        <v>541</v>
      </c>
      <c r="AM268" s="45">
        <f t="shared" ca="1" si="282"/>
        <v>32</v>
      </c>
      <c r="AN268" s="45">
        <f t="shared" ca="1" si="283"/>
        <v>4321</v>
      </c>
      <c r="AO268">
        <v>4373</v>
      </c>
      <c r="AP268">
        <v>1349</v>
      </c>
      <c r="AQ268">
        <v>166</v>
      </c>
      <c r="AR268">
        <v>526</v>
      </c>
      <c r="AS268">
        <v>1143</v>
      </c>
      <c r="AT268">
        <v>90</v>
      </c>
      <c r="AU268">
        <v>153</v>
      </c>
      <c r="AV268">
        <v>0.98499999999999999</v>
      </c>
      <c r="AW268" s="1"/>
      <c r="AX268" s="1"/>
      <c r="AY268" s="47">
        <f t="shared" si="284"/>
        <v>29700</v>
      </c>
      <c r="AZ268" s="49">
        <f t="shared" si="285"/>
        <v>166714</v>
      </c>
      <c r="BA268" s="49">
        <f t="shared" ref="BA268" si="295">SUMIF($B$2:$B$571,$B268,$Q$2:$Q$571)</f>
        <v>886</v>
      </c>
      <c r="BB268" s="48">
        <f t="shared" si="287"/>
        <v>5.3144906846455606E-3</v>
      </c>
    </row>
    <row r="269" spans="2:54" x14ac:dyDescent="0.2">
      <c r="B269" s="3">
        <v>2008</v>
      </c>
      <c r="C269" t="s">
        <v>94</v>
      </c>
      <c r="D269" t="s">
        <v>95</v>
      </c>
      <c r="E269">
        <v>2</v>
      </c>
      <c r="F269" t="s">
        <v>38</v>
      </c>
      <c r="G269" t="s">
        <v>38</v>
      </c>
      <c r="H269" t="s">
        <v>38</v>
      </c>
      <c r="I269" t="s">
        <v>38</v>
      </c>
      <c r="J269">
        <v>79</v>
      </c>
      <c r="K269">
        <v>83</v>
      </c>
      <c r="L269">
        <v>901</v>
      </c>
      <c r="M269" s="38">
        <v>5728</v>
      </c>
      <c r="N269" s="38">
        <v>1619</v>
      </c>
      <c r="O269" s="38">
        <f t="shared" si="274"/>
        <v>1014</v>
      </c>
      <c r="P269" s="38">
        <v>376</v>
      </c>
      <c r="Q269" s="38">
        <v>35</v>
      </c>
      <c r="R269" s="38">
        <v>194</v>
      </c>
      <c r="S269" s="38">
        <v>595</v>
      </c>
      <c r="T269" s="38">
        <v>63</v>
      </c>
      <c r="U269" s="38">
        <f t="shared" si="275"/>
        <v>3451</v>
      </c>
      <c r="V269">
        <v>1207</v>
      </c>
      <c r="W269">
        <v>81</v>
      </c>
      <c r="X269">
        <v>25</v>
      </c>
      <c r="Y269">
        <v>54</v>
      </c>
      <c r="Z269">
        <v>967</v>
      </c>
      <c r="AA269">
        <v>860</v>
      </c>
      <c r="AB269">
        <v>5.37</v>
      </c>
      <c r="AC269">
        <v>6</v>
      </c>
      <c r="AD269">
        <v>8</v>
      </c>
      <c r="AE269">
        <v>36</v>
      </c>
      <c r="AF269" s="45">
        <f t="shared" ca="1" si="262"/>
        <v>6169</v>
      </c>
      <c r="AG269" s="45">
        <f t="shared" ca="1" si="276"/>
        <v>1577</v>
      </c>
      <c r="AH269" s="45">
        <f t="shared" ca="1" si="277"/>
        <v>1119</v>
      </c>
      <c r="AI269" s="45">
        <f t="shared" ca="1" si="278"/>
        <v>290</v>
      </c>
      <c r="AJ269" s="45">
        <f t="shared" ca="1" si="279"/>
        <v>26</v>
      </c>
      <c r="AK269" s="45">
        <f t="shared" ca="1" si="280"/>
        <v>142</v>
      </c>
      <c r="AL269" s="45">
        <f t="shared" ca="1" si="281"/>
        <v>631</v>
      </c>
      <c r="AM269" s="45">
        <f t="shared" ca="1" si="282"/>
        <v>38</v>
      </c>
      <c r="AN269" s="45">
        <f t="shared" ca="1" si="283"/>
        <v>3923</v>
      </c>
      <c r="AO269">
        <v>4326</v>
      </c>
      <c r="AP269">
        <v>1647</v>
      </c>
      <c r="AQ269">
        <v>176</v>
      </c>
      <c r="AR269">
        <v>625</v>
      </c>
      <c r="AS269">
        <v>963</v>
      </c>
      <c r="AT269">
        <v>132</v>
      </c>
      <c r="AU269">
        <v>191</v>
      </c>
      <c r="AV269">
        <v>0.97799999999999998</v>
      </c>
      <c r="AW269" s="1"/>
      <c r="AX269" s="1"/>
      <c r="AY269" s="47">
        <f t="shared" si="284"/>
        <v>29700</v>
      </c>
      <c r="AZ269" s="49">
        <f t="shared" si="285"/>
        <v>166714</v>
      </c>
      <c r="BA269" s="49">
        <f t="shared" ref="BA269" si="296">SUMIF($B$2:$B$571,$B269,$R$2:$R$571)</f>
        <v>4878</v>
      </c>
      <c r="BB269" s="48">
        <f t="shared" si="287"/>
        <v>2.9259690247969577E-2</v>
      </c>
    </row>
    <row r="270" spans="2:54" x14ac:dyDescent="0.2">
      <c r="B270" s="3">
        <v>2008</v>
      </c>
      <c r="C270" t="s">
        <v>96</v>
      </c>
      <c r="D270" t="s">
        <v>97</v>
      </c>
      <c r="E270">
        <v>4</v>
      </c>
      <c r="F270" t="s">
        <v>38</v>
      </c>
      <c r="G270" t="s">
        <v>38</v>
      </c>
      <c r="H270" t="s">
        <v>38</v>
      </c>
      <c r="I270" t="s">
        <v>38</v>
      </c>
      <c r="J270">
        <v>86</v>
      </c>
      <c r="K270">
        <v>76</v>
      </c>
      <c r="L270">
        <v>714</v>
      </c>
      <c r="M270" s="38">
        <v>5503</v>
      </c>
      <c r="N270" s="38">
        <v>1453</v>
      </c>
      <c r="O270" s="38">
        <f t="shared" si="274"/>
        <v>992</v>
      </c>
      <c r="P270" s="38">
        <v>303</v>
      </c>
      <c r="Q270" s="38">
        <v>32</v>
      </c>
      <c r="R270" s="38">
        <v>126</v>
      </c>
      <c r="S270" s="38">
        <v>521</v>
      </c>
      <c r="T270" s="38">
        <v>59</v>
      </c>
      <c r="U270" s="38">
        <f t="shared" si="275"/>
        <v>3470</v>
      </c>
      <c r="V270">
        <v>938</v>
      </c>
      <c r="W270">
        <v>80</v>
      </c>
      <c r="X270">
        <v>27</v>
      </c>
      <c r="Y270">
        <v>56</v>
      </c>
      <c r="Z270">
        <v>610</v>
      </c>
      <c r="AA270">
        <v>561</v>
      </c>
      <c r="AB270">
        <v>3.49</v>
      </c>
      <c r="AC270">
        <v>15</v>
      </c>
      <c r="AD270">
        <v>13</v>
      </c>
      <c r="AE270">
        <v>44</v>
      </c>
      <c r="AF270" s="45">
        <f t="shared" ca="1" si="262"/>
        <v>6260</v>
      </c>
      <c r="AG270" s="45">
        <f t="shared" ca="1" si="276"/>
        <v>1537</v>
      </c>
      <c r="AH270" s="45">
        <f t="shared" ca="1" si="277"/>
        <v>954</v>
      </c>
      <c r="AI270" s="45">
        <f t="shared" ca="1" si="278"/>
        <v>393</v>
      </c>
      <c r="AJ270" s="45">
        <f t="shared" ca="1" si="279"/>
        <v>34</v>
      </c>
      <c r="AK270" s="45">
        <f t="shared" ca="1" si="280"/>
        <v>156</v>
      </c>
      <c r="AL270" s="45">
        <f t="shared" ca="1" si="281"/>
        <v>419</v>
      </c>
      <c r="AM270" s="45">
        <f t="shared" ca="1" si="282"/>
        <v>71</v>
      </c>
      <c r="AN270" s="45">
        <f t="shared" ca="1" si="283"/>
        <v>4233</v>
      </c>
      <c r="AO270">
        <v>4340</v>
      </c>
      <c r="AP270">
        <v>1330</v>
      </c>
      <c r="AQ270">
        <v>134</v>
      </c>
      <c r="AR270">
        <v>467</v>
      </c>
      <c r="AS270">
        <v>1184</v>
      </c>
      <c r="AT270">
        <v>84</v>
      </c>
      <c r="AU270">
        <v>137</v>
      </c>
      <c r="AV270">
        <v>0.98599999999999999</v>
      </c>
      <c r="AW270" s="1"/>
      <c r="AX270" s="1"/>
      <c r="AY270" s="47">
        <f t="shared" si="284"/>
        <v>29700</v>
      </c>
      <c r="AZ270" s="49">
        <f t="shared" si="285"/>
        <v>166714</v>
      </c>
      <c r="BA270" s="49">
        <f t="shared" ref="BA270" si="297">SUMIF($B$2:$B$571,$B270,$S$2:$S$571)</f>
        <v>16337</v>
      </c>
      <c r="BB270" s="48">
        <f t="shared" si="287"/>
        <v>9.7994169655817753E-2</v>
      </c>
    </row>
    <row r="271" spans="2:54" x14ac:dyDescent="0.2">
      <c r="B271" s="3">
        <v>2008</v>
      </c>
      <c r="C271" t="s">
        <v>100</v>
      </c>
      <c r="D271" t="s">
        <v>101</v>
      </c>
      <c r="E271">
        <v>5</v>
      </c>
      <c r="F271" t="s">
        <v>38</v>
      </c>
      <c r="G271" t="s">
        <v>38</v>
      </c>
      <c r="H271" t="s">
        <v>38</v>
      </c>
      <c r="I271" t="s">
        <v>38</v>
      </c>
      <c r="J271">
        <v>59</v>
      </c>
      <c r="K271">
        <v>102</v>
      </c>
      <c r="L271">
        <v>641</v>
      </c>
      <c r="M271" s="38">
        <v>5491</v>
      </c>
      <c r="N271" s="38">
        <v>1376</v>
      </c>
      <c r="O271" s="38">
        <f t="shared" si="274"/>
        <v>964</v>
      </c>
      <c r="P271" s="38">
        <v>269</v>
      </c>
      <c r="Q271" s="38">
        <v>26</v>
      </c>
      <c r="R271" s="38">
        <v>117</v>
      </c>
      <c r="S271" s="38">
        <v>534</v>
      </c>
      <c r="T271" s="38">
        <v>67</v>
      </c>
      <c r="U271" s="38">
        <f t="shared" si="275"/>
        <v>3514</v>
      </c>
      <c r="V271">
        <v>1095</v>
      </c>
      <c r="W271">
        <v>81</v>
      </c>
      <c r="X271">
        <v>43</v>
      </c>
      <c r="Y271">
        <v>36</v>
      </c>
      <c r="Z271">
        <v>825</v>
      </c>
      <c r="AA271">
        <v>742</v>
      </c>
      <c r="AB271">
        <v>4.66</v>
      </c>
      <c r="AC271">
        <v>2</v>
      </c>
      <c r="AD271">
        <v>8</v>
      </c>
      <c r="AE271">
        <v>28</v>
      </c>
      <c r="AF271" s="45">
        <f t="shared" ca="1" si="262"/>
        <v>6113</v>
      </c>
      <c r="AG271" s="45">
        <f t="shared" ca="1" si="276"/>
        <v>1639</v>
      </c>
      <c r="AH271" s="45">
        <f t="shared" ca="1" si="277"/>
        <v>1070</v>
      </c>
      <c r="AI271" s="45">
        <f t="shared" ca="1" si="278"/>
        <v>305</v>
      </c>
      <c r="AJ271" s="45">
        <f t="shared" ca="1" si="279"/>
        <v>41</v>
      </c>
      <c r="AK271" s="45">
        <f t="shared" ca="1" si="280"/>
        <v>223</v>
      </c>
      <c r="AL271" s="45">
        <f t="shared" ca="1" si="281"/>
        <v>406</v>
      </c>
      <c r="AM271" s="45">
        <f t="shared" ca="1" si="282"/>
        <v>55</v>
      </c>
      <c r="AN271" s="45">
        <f t="shared" ca="1" si="283"/>
        <v>4013</v>
      </c>
      <c r="AO271">
        <v>4302</v>
      </c>
      <c r="AP271">
        <v>1496</v>
      </c>
      <c r="AQ271">
        <v>190</v>
      </c>
      <c r="AR271">
        <v>588</v>
      </c>
      <c r="AS271">
        <v>1063</v>
      </c>
      <c r="AT271">
        <v>123</v>
      </c>
      <c r="AU271">
        <v>143</v>
      </c>
      <c r="AV271">
        <v>0.98</v>
      </c>
      <c r="AW271" s="1"/>
      <c r="AX271" s="1"/>
      <c r="AY271" s="47">
        <f t="shared" si="284"/>
        <v>29700</v>
      </c>
      <c r="AZ271" s="49">
        <f t="shared" si="285"/>
        <v>166714</v>
      </c>
      <c r="BA271" s="49">
        <f t="shared" ref="BA271" si="298">SUMIF($B$2:$B$571,$B271,$T$2:$T$571)</f>
        <v>1672</v>
      </c>
      <c r="BB271" s="48">
        <f t="shared" si="287"/>
        <v>1.0029151720911261E-2</v>
      </c>
    </row>
    <row r="272" spans="2:54" x14ac:dyDescent="0.2">
      <c r="B272" s="3">
        <v>2009</v>
      </c>
      <c r="C272" t="s">
        <v>39</v>
      </c>
      <c r="D272" t="s">
        <v>40</v>
      </c>
      <c r="E272">
        <v>5</v>
      </c>
      <c r="F272" t="s">
        <v>38</v>
      </c>
      <c r="G272" t="s">
        <v>38</v>
      </c>
      <c r="H272" t="s">
        <v>38</v>
      </c>
      <c r="I272" t="s">
        <v>38</v>
      </c>
      <c r="J272">
        <v>70</v>
      </c>
      <c r="K272">
        <v>92</v>
      </c>
      <c r="L272">
        <v>720</v>
      </c>
      <c r="M272" s="38">
        <v>5565</v>
      </c>
      <c r="N272" s="38">
        <v>1408</v>
      </c>
      <c r="O272" s="38">
        <f t="shared" si="274"/>
        <v>883</v>
      </c>
      <c r="P272" s="38">
        <v>307</v>
      </c>
      <c r="Q272" s="38">
        <v>45</v>
      </c>
      <c r="R272" s="38">
        <v>173</v>
      </c>
      <c r="S272" s="38">
        <v>571</v>
      </c>
      <c r="T272" s="38">
        <v>37</v>
      </c>
      <c r="U272" s="38">
        <f t="shared" si="275"/>
        <v>3549</v>
      </c>
      <c r="V272">
        <v>1298</v>
      </c>
      <c r="W272">
        <v>102</v>
      </c>
      <c r="X272">
        <v>40</v>
      </c>
      <c r="Y272">
        <v>41</v>
      </c>
      <c r="Z272">
        <v>782</v>
      </c>
      <c r="AA272">
        <v>711</v>
      </c>
      <c r="AB272">
        <v>4.42</v>
      </c>
      <c r="AC272">
        <v>4</v>
      </c>
      <c r="AD272">
        <v>12</v>
      </c>
      <c r="AE272">
        <v>36</v>
      </c>
      <c r="AF272" s="45">
        <f t="shared" ca="1" si="262"/>
        <v>6314</v>
      </c>
      <c r="AG272" s="45">
        <f t="shared" ca="1" si="276"/>
        <v>1693</v>
      </c>
      <c r="AH272" s="45">
        <f t="shared" ca="1" si="277"/>
        <v>1091</v>
      </c>
      <c r="AI272" s="45">
        <f t="shared" ca="1" si="278"/>
        <v>365</v>
      </c>
      <c r="AJ272" s="45">
        <f t="shared" ca="1" si="279"/>
        <v>47</v>
      </c>
      <c r="AK272" s="45">
        <f t="shared" ca="1" si="280"/>
        <v>190</v>
      </c>
      <c r="AL272" s="45">
        <f t="shared" ca="1" si="281"/>
        <v>641</v>
      </c>
      <c r="AM272" s="45">
        <f t="shared" ca="1" si="282"/>
        <v>50</v>
      </c>
      <c r="AN272" s="45">
        <f t="shared" ca="1" si="283"/>
        <v>3930</v>
      </c>
      <c r="AO272">
        <v>4343</v>
      </c>
      <c r="AP272">
        <v>1470</v>
      </c>
      <c r="AQ272">
        <v>168</v>
      </c>
      <c r="AR272">
        <v>525</v>
      </c>
      <c r="AS272">
        <v>1158</v>
      </c>
      <c r="AT272">
        <v>124</v>
      </c>
      <c r="AU272">
        <v>133</v>
      </c>
      <c r="AV272">
        <v>0.98</v>
      </c>
      <c r="AW272" s="1"/>
      <c r="AX272" s="1"/>
      <c r="AY272" s="47">
        <f t="shared" si="284"/>
        <v>29700</v>
      </c>
      <c r="AZ272" s="49">
        <f t="shared" si="285"/>
        <v>165849</v>
      </c>
      <c r="BA272" s="49">
        <f t="shared" ref="BA272" si="299">SUMIF($B$2:$B$571,$B272,$U$2:$U$571)</f>
        <v>104115</v>
      </c>
      <c r="BB272" s="48">
        <f t="shared" si="287"/>
        <v>0.62776983882929649</v>
      </c>
    </row>
    <row r="273" spans="2:54" x14ac:dyDescent="0.2">
      <c r="B273" s="3">
        <v>2009</v>
      </c>
      <c r="C273" t="s">
        <v>41</v>
      </c>
      <c r="D273" t="s">
        <v>42</v>
      </c>
      <c r="E273">
        <v>3</v>
      </c>
      <c r="F273" t="s">
        <v>38</v>
      </c>
      <c r="G273" t="s">
        <v>38</v>
      </c>
      <c r="H273" t="s">
        <v>38</v>
      </c>
      <c r="I273" t="s">
        <v>38</v>
      </c>
      <c r="J273">
        <v>86</v>
      </c>
      <c r="K273">
        <v>76</v>
      </c>
      <c r="L273">
        <v>735</v>
      </c>
      <c r="M273" s="38">
        <v>5539</v>
      </c>
      <c r="N273" s="38">
        <v>1459</v>
      </c>
      <c r="O273" s="38">
        <f t="shared" si="274"/>
        <v>990</v>
      </c>
      <c r="P273" s="38">
        <v>300</v>
      </c>
      <c r="Q273" s="38">
        <v>20</v>
      </c>
      <c r="R273" s="38">
        <v>149</v>
      </c>
      <c r="S273" s="38">
        <v>602</v>
      </c>
      <c r="T273" s="38">
        <v>52</v>
      </c>
      <c r="U273" s="38">
        <f t="shared" si="275"/>
        <v>3426</v>
      </c>
      <c r="V273">
        <v>1064</v>
      </c>
      <c r="W273">
        <v>58</v>
      </c>
      <c r="X273">
        <v>26</v>
      </c>
      <c r="Y273">
        <v>47</v>
      </c>
      <c r="Z273">
        <v>641</v>
      </c>
      <c r="AA273">
        <v>581</v>
      </c>
      <c r="AB273">
        <v>3.57</v>
      </c>
      <c r="AC273">
        <v>3</v>
      </c>
      <c r="AD273">
        <v>10</v>
      </c>
      <c r="AE273">
        <v>38</v>
      </c>
      <c r="AF273" s="45">
        <f t="shared" ca="1" si="262"/>
        <v>6182</v>
      </c>
      <c r="AG273" s="45">
        <f t="shared" ca="1" si="276"/>
        <v>1354</v>
      </c>
      <c r="AH273" s="45">
        <f t="shared" ca="1" si="277"/>
        <v>785</v>
      </c>
      <c r="AI273" s="45">
        <f t="shared" ca="1" si="278"/>
        <v>353</v>
      </c>
      <c r="AJ273" s="45">
        <f t="shared" ca="1" si="279"/>
        <v>36</v>
      </c>
      <c r="AK273" s="45">
        <f t="shared" ca="1" si="280"/>
        <v>180</v>
      </c>
      <c r="AL273" s="45">
        <f t="shared" ca="1" si="281"/>
        <v>515</v>
      </c>
      <c r="AM273" s="45">
        <f t="shared" ca="1" si="282"/>
        <v>60</v>
      </c>
      <c r="AN273" s="45">
        <f t="shared" ca="1" si="283"/>
        <v>4253</v>
      </c>
      <c r="AO273">
        <v>4388</v>
      </c>
      <c r="AP273">
        <v>1399</v>
      </c>
      <c r="AQ273">
        <v>119</v>
      </c>
      <c r="AR273">
        <v>530</v>
      </c>
      <c r="AS273">
        <v>1232</v>
      </c>
      <c r="AT273">
        <v>96</v>
      </c>
      <c r="AU273">
        <v>159</v>
      </c>
      <c r="AV273">
        <v>0.98499999999999999</v>
      </c>
      <c r="AW273" s="1"/>
      <c r="AX273" s="1"/>
      <c r="AY273" s="47">
        <f t="shared" si="284"/>
        <v>29700</v>
      </c>
      <c r="AZ273" s="49">
        <f t="shared" si="285"/>
        <v>165849</v>
      </c>
      <c r="BA273" s="49"/>
      <c r="BB273" s="48">
        <f t="shared" si="287"/>
        <v>0</v>
      </c>
    </row>
    <row r="274" spans="2:54" x14ac:dyDescent="0.2">
      <c r="B274" s="3">
        <v>2009</v>
      </c>
      <c r="C274" t="s">
        <v>44</v>
      </c>
      <c r="D274" t="s">
        <v>45</v>
      </c>
      <c r="E274">
        <v>5</v>
      </c>
      <c r="F274" t="s">
        <v>38</v>
      </c>
      <c r="G274" t="s">
        <v>38</v>
      </c>
      <c r="H274" t="s">
        <v>38</v>
      </c>
      <c r="I274" t="s">
        <v>38</v>
      </c>
      <c r="J274">
        <v>64</v>
      </c>
      <c r="K274">
        <v>98</v>
      </c>
      <c r="L274">
        <v>741</v>
      </c>
      <c r="M274" s="38">
        <v>5618</v>
      </c>
      <c r="N274" s="38">
        <v>1508</v>
      </c>
      <c r="O274" s="38">
        <f t="shared" si="274"/>
        <v>1022</v>
      </c>
      <c r="P274" s="38">
        <v>307</v>
      </c>
      <c r="Q274" s="38">
        <v>19</v>
      </c>
      <c r="R274" s="38">
        <v>160</v>
      </c>
      <c r="S274" s="38">
        <v>517</v>
      </c>
      <c r="T274" s="38">
        <v>39</v>
      </c>
      <c r="U274" s="38">
        <f t="shared" si="275"/>
        <v>3554</v>
      </c>
      <c r="V274">
        <v>1013</v>
      </c>
      <c r="W274">
        <v>76</v>
      </c>
      <c r="X274">
        <v>37</v>
      </c>
      <c r="Y274">
        <v>46</v>
      </c>
      <c r="Z274">
        <v>876</v>
      </c>
      <c r="AA274">
        <v>817</v>
      </c>
      <c r="AB274">
        <v>5.15</v>
      </c>
      <c r="AC274">
        <v>2</v>
      </c>
      <c r="AD274">
        <v>3</v>
      </c>
      <c r="AE274">
        <v>31</v>
      </c>
      <c r="AF274" s="45">
        <f t="shared" ca="1" si="262"/>
        <v>6266</v>
      </c>
      <c r="AG274" s="45">
        <f t="shared" ca="1" si="276"/>
        <v>1630</v>
      </c>
      <c r="AH274" s="45">
        <f t="shared" ca="1" si="277"/>
        <v>1160</v>
      </c>
      <c r="AI274" s="45">
        <f t="shared" ca="1" si="278"/>
        <v>296</v>
      </c>
      <c r="AJ274" s="45">
        <f t="shared" ca="1" si="279"/>
        <v>20</v>
      </c>
      <c r="AK274" s="45">
        <f t="shared" ca="1" si="280"/>
        <v>154</v>
      </c>
      <c r="AL274" s="45">
        <f t="shared" ca="1" si="281"/>
        <v>587</v>
      </c>
      <c r="AM274" s="45">
        <f t="shared" ca="1" si="282"/>
        <v>38</v>
      </c>
      <c r="AN274" s="45">
        <f t="shared" ca="1" si="283"/>
        <v>4011</v>
      </c>
      <c r="AO274">
        <v>4287</v>
      </c>
      <c r="AP274">
        <v>1633</v>
      </c>
      <c r="AQ274">
        <v>218</v>
      </c>
      <c r="AR274">
        <v>546</v>
      </c>
      <c r="AS274">
        <v>933</v>
      </c>
      <c r="AT274">
        <v>90</v>
      </c>
      <c r="AU274">
        <v>151</v>
      </c>
      <c r="AV274">
        <v>0.98499999999999999</v>
      </c>
      <c r="AW274" s="1"/>
      <c r="AX274" s="1"/>
      <c r="AY274" s="47">
        <f t="shared" si="284"/>
        <v>29700</v>
      </c>
      <c r="AZ274" s="49">
        <f t="shared" si="285"/>
        <v>165849</v>
      </c>
      <c r="BA274" s="49">
        <f t="shared" ref="BA274" si="300">SUMIF($B$2:$B$571,$B274,$O$2:$O$571)</f>
        <v>28796</v>
      </c>
      <c r="BB274" s="48">
        <f t="shared" si="287"/>
        <v>0.17362781807547831</v>
      </c>
    </row>
    <row r="275" spans="2:54" x14ac:dyDescent="0.2">
      <c r="B275" s="3">
        <v>2009</v>
      </c>
      <c r="C275" t="s">
        <v>46</v>
      </c>
      <c r="D275" t="s">
        <v>47</v>
      </c>
      <c r="E275">
        <v>2</v>
      </c>
      <c r="F275" t="s">
        <v>38</v>
      </c>
      <c r="G275" t="s">
        <v>43</v>
      </c>
      <c r="H275" t="s">
        <v>38</v>
      </c>
      <c r="I275" t="s">
        <v>38</v>
      </c>
      <c r="J275">
        <v>95</v>
      </c>
      <c r="K275">
        <v>67</v>
      </c>
      <c r="L275">
        <v>872</v>
      </c>
      <c r="M275" s="38">
        <v>5543</v>
      </c>
      <c r="N275" s="38">
        <v>1495</v>
      </c>
      <c r="O275" s="38">
        <f t="shared" si="274"/>
        <v>923</v>
      </c>
      <c r="P275" s="38">
        <v>335</v>
      </c>
      <c r="Q275" s="38">
        <v>25</v>
      </c>
      <c r="R275" s="38">
        <v>212</v>
      </c>
      <c r="S275" s="38">
        <v>659</v>
      </c>
      <c r="T275" s="38">
        <v>70</v>
      </c>
      <c r="U275" s="38">
        <f t="shared" si="275"/>
        <v>3319</v>
      </c>
      <c r="V275">
        <v>1120</v>
      </c>
      <c r="W275">
        <v>126</v>
      </c>
      <c r="X275">
        <v>39</v>
      </c>
      <c r="Y275">
        <v>51</v>
      </c>
      <c r="Z275">
        <v>736</v>
      </c>
      <c r="AA275">
        <v>695</v>
      </c>
      <c r="AB275">
        <v>4.3499999999999996</v>
      </c>
      <c r="AC275">
        <v>8</v>
      </c>
      <c r="AD275">
        <v>11</v>
      </c>
      <c r="AE275">
        <v>41</v>
      </c>
      <c r="AF275" s="45">
        <f t="shared" ca="1" si="262"/>
        <v>6405</v>
      </c>
      <c r="AG275" s="45">
        <f t="shared" ca="1" si="276"/>
        <v>1518</v>
      </c>
      <c r="AH275" s="45">
        <f t="shared" ca="1" si="277"/>
        <v>1048</v>
      </c>
      <c r="AI275" s="45">
        <f t="shared" ca="1" si="278"/>
        <v>285</v>
      </c>
      <c r="AJ275" s="45">
        <f t="shared" ca="1" si="279"/>
        <v>40</v>
      </c>
      <c r="AK275" s="45">
        <f t="shared" ca="1" si="280"/>
        <v>145</v>
      </c>
      <c r="AL275" s="45">
        <f t="shared" ca="1" si="281"/>
        <v>402</v>
      </c>
      <c r="AM275" s="45">
        <f t="shared" ca="1" si="282"/>
        <v>62</v>
      </c>
      <c r="AN275" s="45">
        <f t="shared" ca="1" si="283"/>
        <v>4423</v>
      </c>
      <c r="AO275">
        <v>4310</v>
      </c>
      <c r="AP275">
        <v>1494</v>
      </c>
      <c r="AQ275">
        <v>167</v>
      </c>
      <c r="AR275">
        <v>530</v>
      </c>
      <c r="AS275">
        <v>1230</v>
      </c>
      <c r="AT275">
        <v>82</v>
      </c>
      <c r="AU275">
        <v>121</v>
      </c>
      <c r="AV275">
        <v>0.98599999999999999</v>
      </c>
      <c r="AW275" s="1"/>
      <c r="AX275" s="1"/>
      <c r="AY275" s="47">
        <f t="shared" si="284"/>
        <v>29700</v>
      </c>
      <c r="AZ275" s="49">
        <f t="shared" si="285"/>
        <v>165849</v>
      </c>
      <c r="BA275" s="49">
        <f t="shared" ref="BA275" si="301">SUMIF($B$2:$B$571,$B275,$P$2:$P$571)</f>
        <v>8737</v>
      </c>
      <c r="BB275" s="48">
        <f t="shared" si="287"/>
        <v>5.2680450289118413E-2</v>
      </c>
    </row>
    <row r="276" spans="2:54" x14ac:dyDescent="0.2">
      <c r="B276" s="3">
        <v>2009</v>
      </c>
      <c r="C276" t="s">
        <v>48</v>
      </c>
      <c r="D276" t="s">
        <v>49</v>
      </c>
      <c r="E276">
        <v>3</v>
      </c>
      <c r="F276" t="s">
        <v>38</v>
      </c>
      <c r="G276" t="s">
        <v>38</v>
      </c>
      <c r="H276" t="s">
        <v>38</v>
      </c>
      <c r="I276" t="s">
        <v>38</v>
      </c>
      <c r="J276">
        <v>79</v>
      </c>
      <c r="K276">
        <v>83</v>
      </c>
      <c r="L276">
        <v>724</v>
      </c>
      <c r="M276" s="38">
        <v>5463</v>
      </c>
      <c r="N276" s="38">
        <v>1410</v>
      </c>
      <c r="O276" s="38">
        <f t="shared" si="274"/>
        <v>960</v>
      </c>
      <c r="P276" s="38">
        <v>246</v>
      </c>
      <c r="Q276" s="38">
        <v>20</v>
      </c>
      <c r="R276" s="38">
        <v>184</v>
      </c>
      <c r="S276" s="38">
        <v>534</v>
      </c>
      <c r="T276" s="38">
        <v>62</v>
      </c>
      <c r="U276" s="38">
        <f t="shared" si="275"/>
        <v>3457</v>
      </c>
      <c r="V276">
        <v>1022</v>
      </c>
      <c r="W276">
        <v>113</v>
      </c>
      <c r="X276">
        <v>49</v>
      </c>
      <c r="Y276">
        <v>39</v>
      </c>
      <c r="Z276">
        <v>732</v>
      </c>
      <c r="AA276">
        <v>663</v>
      </c>
      <c r="AB276">
        <v>4.1399999999999997</v>
      </c>
      <c r="AC276">
        <v>4</v>
      </c>
      <c r="AD276">
        <v>11</v>
      </c>
      <c r="AE276">
        <v>36</v>
      </c>
      <c r="AF276" s="45">
        <f t="shared" ca="1" si="262"/>
        <v>6212</v>
      </c>
      <c r="AG276" s="45">
        <f t="shared" ca="1" si="276"/>
        <v>1645</v>
      </c>
      <c r="AH276" s="45">
        <f t="shared" ca="1" si="277"/>
        <v>1075</v>
      </c>
      <c r="AI276" s="45">
        <f t="shared" ca="1" si="278"/>
        <v>300</v>
      </c>
      <c r="AJ276" s="45">
        <f t="shared" ca="1" si="279"/>
        <v>43</v>
      </c>
      <c r="AK276" s="45">
        <f t="shared" ca="1" si="280"/>
        <v>227</v>
      </c>
      <c r="AL276" s="45">
        <f t="shared" ca="1" si="281"/>
        <v>650</v>
      </c>
      <c r="AM276" s="45">
        <f t="shared" ca="1" si="282"/>
        <v>56</v>
      </c>
      <c r="AN276" s="45">
        <f t="shared" ca="1" si="283"/>
        <v>3861</v>
      </c>
      <c r="AO276">
        <v>4319</v>
      </c>
      <c r="AP276">
        <v>1438</v>
      </c>
      <c r="AQ276">
        <v>169</v>
      </c>
      <c r="AR276">
        <v>507</v>
      </c>
      <c r="AS276">
        <v>1119</v>
      </c>
      <c r="AT276">
        <v>113</v>
      </c>
      <c r="AU276">
        <v>158</v>
      </c>
      <c r="AV276">
        <v>0.98099999999999998</v>
      </c>
      <c r="AW276" s="1"/>
      <c r="AX276" s="1"/>
      <c r="AY276" s="47">
        <f t="shared" si="284"/>
        <v>29700</v>
      </c>
      <c r="AZ276" s="49">
        <f t="shared" si="285"/>
        <v>165849</v>
      </c>
      <c r="BA276" s="49">
        <f t="shared" ref="BA276" si="302">SUMIF($B$2:$B$571,$B276,$Q$2:$Q$571)</f>
        <v>949</v>
      </c>
      <c r="BB276" s="48">
        <f t="shared" si="287"/>
        <v>5.7220724876242846E-3</v>
      </c>
    </row>
    <row r="277" spans="2:54" x14ac:dyDescent="0.2">
      <c r="B277" s="3">
        <v>2009</v>
      </c>
      <c r="C277" t="s">
        <v>50</v>
      </c>
      <c r="D277" t="s">
        <v>51</v>
      </c>
      <c r="E277">
        <v>2</v>
      </c>
      <c r="F277" t="s">
        <v>38</v>
      </c>
      <c r="G277" t="s">
        <v>38</v>
      </c>
      <c r="H277" t="s">
        <v>38</v>
      </c>
      <c r="I277" t="s">
        <v>38</v>
      </c>
      <c r="J277">
        <v>83</v>
      </c>
      <c r="K277">
        <v>78</v>
      </c>
      <c r="L277">
        <v>707</v>
      </c>
      <c r="M277" s="38">
        <v>5486</v>
      </c>
      <c r="N277" s="38">
        <v>1398</v>
      </c>
      <c r="O277" s="38">
        <f t="shared" si="274"/>
        <v>915</v>
      </c>
      <c r="P277" s="38">
        <v>293</v>
      </c>
      <c r="Q277" s="38">
        <v>29</v>
      </c>
      <c r="R277" s="38">
        <v>161</v>
      </c>
      <c r="S277" s="38">
        <v>592</v>
      </c>
      <c r="T277" s="38">
        <v>59</v>
      </c>
      <c r="U277" s="38">
        <f t="shared" si="275"/>
        <v>3437</v>
      </c>
      <c r="V277">
        <v>1185</v>
      </c>
      <c r="W277">
        <v>56</v>
      </c>
      <c r="X277">
        <v>34</v>
      </c>
      <c r="Y277">
        <v>42</v>
      </c>
      <c r="Z277">
        <v>672</v>
      </c>
      <c r="AA277">
        <v>616</v>
      </c>
      <c r="AB277">
        <v>3.84</v>
      </c>
      <c r="AC277">
        <v>3</v>
      </c>
      <c r="AD277">
        <v>8</v>
      </c>
      <c r="AE277">
        <v>40</v>
      </c>
      <c r="AF277" s="45">
        <f t="shared" ca="1" si="262"/>
        <v>6377</v>
      </c>
      <c r="AG277" s="45">
        <f t="shared" ca="1" si="276"/>
        <v>1315</v>
      </c>
      <c r="AH277" s="45">
        <f t="shared" ca="1" si="277"/>
        <v>679</v>
      </c>
      <c r="AI277" s="45">
        <f t="shared" ca="1" si="278"/>
        <v>369</v>
      </c>
      <c r="AJ277" s="45">
        <f t="shared" ca="1" si="279"/>
        <v>33</v>
      </c>
      <c r="AK277" s="45">
        <f t="shared" ca="1" si="280"/>
        <v>234</v>
      </c>
      <c r="AL277" s="45">
        <f t="shared" ca="1" si="281"/>
        <v>489</v>
      </c>
      <c r="AM277" s="45">
        <f t="shared" ca="1" si="282"/>
        <v>39</v>
      </c>
      <c r="AN277" s="45">
        <f t="shared" ca="1" si="283"/>
        <v>4534</v>
      </c>
      <c r="AO277">
        <v>4336</v>
      </c>
      <c r="AP277">
        <v>1329</v>
      </c>
      <c r="AQ277">
        <v>160</v>
      </c>
      <c r="AR277">
        <v>586</v>
      </c>
      <c r="AS277">
        <v>1272</v>
      </c>
      <c r="AT277">
        <v>105</v>
      </c>
      <c r="AU277">
        <v>144</v>
      </c>
      <c r="AV277">
        <v>0.98299999999999998</v>
      </c>
      <c r="AW277" s="1"/>
      <c r="AX277" s="1"/>
      <c r="AY277" s="47">
        <f t="shared" si="284"/>
        <v>29700</v>
      </c>
      <c r="AZ277" s="49">
        <f t="shared" si="285"/>
        <v>165849</v>
      </c>
      <c r="BA277" s="49">
        <f t="shared" ref="BA277" si="303">SUMIF($B$2:$B$571,$B277,$R$2:$R$571)</f>
        <v>5042</v>
      </c>
      <c r="BB277" s="48">
        <f t="shared" si="287"/>
        <v>3.0401148032246198E-2</v>
      </c>
    </row>
    <row r="278" spans="2:54" x14ac:dyDescent="0.2">
      <c r="B278" s="3">
        <v>2009</v>
      </c>
      <c r="C278" t="s">
        <v>52</v>
      </c>
      <c r="D278" t="s">
        <v>53</v>
      </c>
      <c r="E278">
        <v>4</v>
      </c>
      <c r="F278" t="s">
        <v>38</v>
      </c>
      <c r="G278" t="s">
        <v>38</v>
      </c>
      <c r="H278" t="s">
        <v>38</v>
      </c>
      <c r="I278" t="s">
        <v>38</v>
      </c>
      <c r="J278">
        <v>78</v>
      </c>
      <c r="K278">
        <v>84</v>
      </c>
      <c r="L278">
        <v>673</v>
      </c>
      <c r="M278" s="38">
        <v>5462</v>
      </c>
      <c r="N278" s="38">
        <v>1349</v>
      </c>
      <c r="O278" s="38">
        <f t="shared" si="274"/>
        <v>886</v>
      </c>
      <c r="P278" s="38">
        <v>280</v>
      </c>
      <c r="Q278" s="38">
        <v>25</v>
      </c>
      <c r="R278" s="38">
        <v>158</v>
      </c>
      <c r="S278" s="38">
        <v>531</v>
      </c>
      <c r="T278" s="38">
        <v>53</v>
      </c>
      <c r="U278" s="38">
        <f t="shared" si="275"/>
        <v>3529</v>
      </c>
      <c r="V278">
        <v>1129</v>
      </c>
      <c r="W278">
        <v>96</v>
      </c>
      <c r="X278">
        <v>40</v>
      </c>
      <c r="Y278">
        <v>41</v>
      </c>
      <c r="Z278">
        <v>723</v>
      </c>
      <c r="AA278">
        <v>677</v>
      </c>
      <c r="AB278">
        <v>4.18</v>
      </c>
      <c r="AC278">
        <v>6</v>
      </c>
      <c r="AD278">
        <v>12</v>
      </c>
      <c r="AE278">
        <v>41</v>
      </c>
      <c r="AF278" s="45">
        <f t="shared" ca="1" si="262"/>
        <v>6349</v>
      </c>
      <c r="AG278" s="45">
        <f t="shared" ca="1" si="276"/>
        <v>1535</v>
      </c>
      <c r="AH278" s="45">
        <f t="shared" ca="1" si="277"/>
        <v>910</v>
      </c>
      <c r="AI278" s="45">
        <f t="shared" ca="1" si="278"/>
        <v>361</v>
      </c>
      <c r="AJ278" s="45">
        <f t="shared" ca="1" si="279"/>
        <v>47</v>
      </c>
      <c r="AK278" s="45">
        <f t="shared" ca="1" si="280"/>
        <v>217</v>
      </c>
      <c r="AL278" s="45">
        <f t="shared" ca="1" si="281"/>
        <v>460</v>
      </c>
      <c r="AM278" s="45">
        <f t="shared" ca="1" si="282"/>
        <v>50</v>
      </c>
      <c r="AN278" s="45">
        <f t="shared" ca="1" si="283"/>
        <v>4304</v>
      </c>
      <c r="AO278">
        <v>4375</v>
      </c>
      <c r="AP278">
        <v>1420</v>
      </c>
      <c r="AQ278">
        <v>188</v>
      </c>
      <c r="AR278">
        <v>577</v>
      </c>
      <c r="AS278">
        <v>1069</v>
      </c>
      <c r="AT278">
        <v>89</v>
      </c>
      <c r="AU278">
        <v>161</v>
      </c>
      <c r="AV278">
        <v>0.98499999999999999</v>
      </c>
      <c r="AW278" s="1"/>
      <c r="AX278" s="1"/>
      <c r="AY278" s="47">
        <f t="shared" si="284"/>
        <v>29700</v>
      </c>
      <c r="AZ278" s="49">
        <f t="shared" si="285"/>
        <v>165849</v>
      </c>
      <c r="BA278" s="49">
        <f t="shared" ref="BA278" si="304">SUMIF($B$2:$B$571,$B278,$S$2:$S$571)</f>
        <v>16620</v>
      </c>
      <c r="BB278" s="48">
        <f t="shared" si="287"/>
        <v>0.10021163829748747</v>
      </c>
    </row>
    <row r="279" spans="2:54" x14ac:dyDescent="0.2">
      <c r="B279" s="3">
        <v>2009</v>
      </c>
      <c r="C279" t="s">
        <v>54</v>
      </c>
      <c r="D279" t="s">
        <v>55</v>
      </c>
      <c r="E279">
        <v>4</v>
      </c>
      <c r="F279" t="s">
        <v>38</v>
      </c>
      <c r="G279" t="s">
        <v>38</v>
      </c>
      <c r="H279" t="s">
        <v>38</v>
      </c>
      <c r="I279" t="s">
        <v>38</v>
      </c>
      <c r="J279">
        <v>65</v>
      </c>
      <c r="K279">
        <v>97</v>
      </c>
      <c r="L279">
        <v>773</v>
      </c>
      <c r="M279" s="38">
        <v>5568</v>
      </c>
      <c r="N279" s="38">
        <v>1468</v>
      </c>
      <c r="O279" s="38">
        <f t="shared" si="274"/>
        <v>965</v>
      </c>
      <c r="P279" s="38">
        <v>314</v>
      </c>
      <c r="Q279" s="38">
        <v>28</v>
      </c>
      <c r="R279" s="38">
        <v>161</v>
      </c>
      <c r="S279" s="38">
        <v>582</v>
      </c>
      <c r="T279" s="38">
        <v>81</v>
      </c>
      <c r="U279" s="38">
        <f t="shared" si="275"/>
        <v>3437</v>
      </c>
      <c r="V279">
        <v>1211</v>
      </c>
      <c r="W279">
        <v>84</v>
      </c>
      <c r="X279">
        <v>31</v>
      </c>
      <c r="Y279">
        <v>50</v>
      </c>
      <c r="Z279">
        <v>865</v>
      </c>
      <c r="AA279">
        <v>806</v>
      </c>
      <c r="AB279">
        <v>5.0599999999999996</v>
      </c>
      <c r="AC279">
        <v>5</v>
      </c>
      <c r="AD279">
        <v>6</v>
      </c>
      <c r="AE279">
        <v>25</v>
      </c>
      <c r="AF279" s="45">
        <f t="shared" ca="1" si="262"/>
        <v>6415</v>
      </c>
      <c r="AG279" s="45">
        <f t="shared" ca="1" si="276"/>
        <v>1546</v>
      </c>
      <c r="AH279" s="45">
        <f t="shared" ca="1" si="277"/>
        <v>931</v>
      </c>
      <c r="AI279" s="45">
        <f t="shared" ca="1" si="278"/>
        <v>373</v>
      </c>
      <c r="AJ279" s="45">
        <f t="shared" ca="1" si="279"/>
        <v>31</v>
      </c>
      <c r="AK279" s="45">
        <f t="shared" ca="1" si="280"/>
        <v>211</v>
      </c>
      <c r="AL279" s="45">
        <f t="shared" ca="1" si="281"/>
        <v>468</v>
      </c>
      <c r="AM279" s="45">
        <f t="shared" ca="1" si="282"/>
        <v>55</v>
      </c>
      <c r="AN279" s="45">
        <f t="shared" ca="1" si="283"/>
        <v>4346</v>
      </c>
      <c r="AO279">
        <v>4302</v>
      </c>
      <c r="AP279">
        <v>1570</v>
      </c>
      <c r="AQ279">
        <v>183</v>
      </c>
      <c r="AR279">
        <v>598</v>
      </c>
      <c r="AS279">
        <v>986</v>
      </c>
      <c r="AT279">
        <v>97</v>
      </c>
      <c r="AU279">
        <v>170</v>
      </c>
      <c r="AV279">
        <v>0.98399999999999999</v>
      </c>
      <c r="AW279" s="1"/>
      <c r="AX279" s="1"/>
      <c r="AY279" s="47">
        <f t="shared" si="284"/>
        <v>29700</v>
      </c>
      <c r="AZ279" s="49">
        <f t="shared" si="285"/>
        <v>165849</v>
      </c>
      <c r="BA279" s="49">
        <f t="shared" ref="BA279" si="305">SUMIF($B$2:$B$571,$B279,$T$2:$T$571)</f>
        <v>1590</v>
      </c>
      <c r="BB279" s="48">
        <f t="shared" si="287"/>
        <v>9.5870339887488016E-3</v>
      </c>
    </row>
    <row r="280" spans="2:54" x14ac:dyDescent="0.2">
      <c r="B280" s="3">
        <v>2009</v>
      </c>
      <c r="C280" t="s">
        <v>56</v>
      </c>
      <c r="D280" t="s">
        <v>57</v>
      </c>
      <c r="E280">
        <v>2</v>
      </c>
      <c r="F280" t="s">
        <v>38</v>
      </c>
      <c r="G280" t="s">
        <v>43</v>
      </c>
      <c r="H280" t="s">
        <v>38</v>
      </c>
      <c r="I280" t="s">
        <v>38</v>
      </c>
      <c r="J280">
        <v>92</v>
      </c>
      <c r="K280">
        <v>70</v>
      </c>
      <c r="L280">
        <v>804</v>
      </c>
      <c r="M280" s="38">
        <v>5398</v>
      </c>
      <c r="N280" s="38">
        <v>1408</v>
      </c>
      <c r="O280" s="38">
        <f t="shared" si="274"/>
        <v>868</v>
      </c>
      <c r="P280" s="38">
        <v>300</v>
      </c>
      <c r="Q280" s="38">
        <v>50</v>
      </c>
      <c r="R280" s="38">
        <v>190</v>
      </c>
      <c r="S280" s="38">
        <v>660</v>
      </c>
      <c r="T280" s="38">
        <v>47</v>
      </c>
      <c r="U280" s="38">
        <f t="shared" si="275"/>
        <v>3283</v>
      </c>
      <c r="V280">
        <v>1277</v>
      </c>
      <c r="W280">
        <v>106</v>
      </c>
      <c r="X280">
        <v>55</v>
      </c>
      <c r="Y280">
        <v>60</v>
      </c>
      <c r="Z280">
        <v>715</v>
      </c>
      <c r="AA280">
        <v>675</v>
      </c>
      <c r="AB280">
        <v>4.22</v>
      </c>
      <c r="AC280">
        <v>5</v>
      </c>
      <c r="AD280">
        <v>7</v>
      </c>
      <c r="AE280">
        <v>45</v>
      </c>
      <c r="AF280" s="45">
        <f t="shared" ca="1" si="262"/>
        <v>6476</v>
      </c>
      <c r="AG280" s="45">
        <f t="shared" ca="1" si="276"/>
        <v>1554</v>
      </c>
      <c r="AH280" s="45">
        <f t="shared" ca="1" si="277"/>
        <v>1010</v>
      </c>
      <c r="AI280" s="45">
        <f t="shared" ca="1" si="278"/>
        <v>366</v>
      </c>
      <c r="AJ280" s="45">
        <f t="shared" ca="1" si="279"/>
        <v>40</v>
      </c>
      <c r="AK280" s="45">
        <f t="shared" ca="1" si="280"/>
        <v>138</v>
      </c>
      <c r="AL280" s="45">
        <f t="shared" ca="1" si="281"/>
        <v>597</v>
      </c>
      <c r="AM280" s="45">
        <f t="shared" ca="1" si="282"/>
        <v>67</v>
      </c>
      <c r="AN280" s="45">
        <f t="shared" ca="1" si="283"/>
        <v>4258</v>
      </c>
      <c r="AO280">
        <v>4315</v>
      </c>
      <c r="AP280">
        <v>1427</v>
      </c>
      <c r="AQ280">
        <v>141</v>
      </c>
      <c r="AR280">
        <v>528</v>
      </c>
      <c r="AS280">
        <v>1154</v>
      </c>
      <c r="AT280">
        <v>87</v>
      </c>
      <c r="AU280">
        <v>146</v>
      </c>
      <c r="AV280">
        <v>0.98599999999999999</v>
      </c>
      <c r="AW280" s="1"/>
      <c r="AX280" s="1"/>
      <c r="AY280" s="47">
        <f t="shared" si="284"/>
        <v>29700</v>
      </c>
      <c r="AZ280" s="49">
        <f t="shared" si="285"/>
        <v>165849</v>
      </c>
      <c r="BA280" s="49">
        <f t="shared" ref="BA280" si="306">SUMIF($B$2:$B$571,$B280,$U$2:$U$571)</f>
        <v>104115</v>
      </c>
      <c r="BB280" s="48">
        <f t="shared" si="287"/>
        <v>0.62776983882929649</v>
      </c>
    </row>
    <row r="281" spans="2:54" x14ac:dyDescent="0.2">
      <c r="B281" s="3">
        <v>2009</v>
      </c>
      <c r="C281" t="s">
        <v>58</v>
      </c>
      <c r="D281" t="s">
        <v>59</v>
      </c>
      <c r="E281">
        <v>2</v>
      </c>
      <c r="F281" t="s">
        <v>38</v>
      </c>
      <c r="G281" t="s">
        <v>38</v>
      </c>
      <c r="H281" t="s">
        <v>38</v>
      </c>
      <c r="I281" t="s">
        <v>38</v>
      </c>
      <c r="J281">
        <v>86</v>
      </c>
      <c r="K281">
        <v>77</v>
      </c>
      <c r="L281">
        <v>743</v>
      </c>
      <c r="M281" s="38">
        <v>5540</v>
      </c>
      <c r="N281" s="38">
        <v>1443</v>
      </c>
      <c r="O281" s="38">
        <f t="shared" si="274"/>
        <v>980</v>
      </c>
      <c r="P281" s="38">
        <v>245</v>
      </c>
      <c r="Q281" s="38">
        <v>35</v>
      </c>
      <c r="R281" s="38">
        <v>183</v>
      </c>
      <c r="S281" s="38">
        <v>540</v>
      </c>
      <c r="T281" s="38">
        <v>61</v>
      </c>
      <c r="U281" s="38">
        <f t="shared" si="275"/>
        <v>3496</v>
      </c>
      <c r="V281">
        <v>1114</v>
      </c>
      <c r="W281">
        <v>72</v>
      </c>
      <c r="X281">
        <v>33</v>
      </c>
      <c r="Y281">
        <v>39</v>
      </c>
      <c r="Z281">
        <v>745</v>
      </c>
      <c r="AA281">
        <v>690</v>
      </c>
      <c r="AB281">
        <v>4.29</v>
      </c>
      <c r="AC281">
        <v>4</v>
      </c>
      <c r="AD281">
        <v>9</v>
      </c>
      <c r="AE281">
        <v>42</v>
      </c>
      <c r="AF281" s="45">
        <f t="shared" ca="1" si="262"/>
        <v>6200</v>
      </c>
      <c r="AG281" s="45">
        <f t="shared" ca="1" si="276"/>
        <v>1339</v>
      </c>
      <c r="AH281" s="45">
        <f t="shared" ca="1" si="277"/>
        <v>801</v>
      </c>
      <c r="AI281" s="45">
        <f t="shared" ca="1" si="278"/>
        <v>271</v>
      </c>
      <c r="AJ281" s="45">
        <f t="shared" ca="1" si="279"/>
        <v>40</v>
      </c>
      <c r="AK281" s="45">
        <f t="shared" ca="1" si="280"/>
        <v>227</v>
      </c>
      <c r="AL281" s="45">
        <f t="shared" ca="1" si="281"/>
        <v>680</v>
      </c>
      <c r="AM281" s="45">
        <f t="shared" ca="1" si="282"/>
        <v>57</v>
      </c>
      <c r="AN281" s="45">
        <f t="shared" ca="1" si="283"/>
        <v>4124</v>
      </c>
      <c r="AO281">
        <v>4341</v>
      </c>
      <c r="AP281">
        <v>1449</v>
      </c>
      <c r="AQ281">
        <v>182</v>
      </c>
      <c r="AR281">
        <v>594</v>
      </c>
      <c r="AS281">
        <v>1102</v>
      </c>
      <c r="AT281">
        <v>88</v>
      </c>
      <c r="AU281">
        <v>164</v>
      </c>
      <c r="AV281">
        <v>0.98499999999999999</v>
      </c>
      <c r="AW281" s="1"/>
      <c r="AX281" s="1"/>
      <c r="AY281" s="47">
        <f t="shared" si="284"/>
        <v>29700</v>
      </c>
      <c r="AZ281" s="49">
        <f t="shared" si="285"/>
        <v>165849</v>
      </c>
      <c r="BA281" s="49"/>
      <c r="BB281" s="48">
        <f t="shared" si="287"/>
        <v>0</v>
      </c>
    </row>
    <row r="282" spans="2:54" x14ac:dyDescent="0.2">
      <c r="B282" s="3">
        <v>2009</v>
      </c>
      <c r="C282" t="s">
        <v>60</v>
      </c>
      <c r="D282" t="s">
        <v>61</v>
      </c>
      <c r="E282">
        <v>2</v>
      </c>
      <c r="F282" t="s">
        <v>38</v>
      </c>
      <c r="G282" t="s">
        <v>38</v>
      </c>
      <c r="H282" t="s">
        <v>38</v>
      </c>
      <c r="I282" t="s">
        <v>38</v>
      </c>
      <c r="J282">
        <v>87</v>
      </c>
      <c r="K282">
        <v>75</v>
      </c>
      <c r="L282">
        <v>772</v>
      </c>
      <c r="M282" s="38">
        <v>5572</v>
      </c>
      <c r="N282" s="38">
        <v>1493</v>
      </c>
      <c r="O282" s="38">
        <f t="shared" si="274"/>
        <v>1013</v>
      </c>
      <c r="P282" s="38">
        <v>296</v>
      </c>
      <c r="Q282" s="38">
        <v>25</v>
      </c>
      <c r="R282" s="38">
        <v>159</v>
      </c>
      <c r="S282" s="38">
        <v>568</v>
      </c>
      <c r="T282" s="38">
        <v>63</v>
      </c>
      <c r="U282" s="38">
        <f t="shared" si="275"/>
        <v>3448</v>
      </c>
      <c r="V282">
        <v>1226</v>
      </c>
      <c r="W282">
        <v>75</v>
      </c>
      <c r="X282">
        <v>35</v>
      </c>
      <c r="Y282">
        <v>39</v>
      </c>
      <c r="Z282">
        <v>766</v>
      </c>
      <c r="AA282">
        <v>690</v>
      </c>
      <c r="AB282">
        <v>4.29</v>
      </c>
      <c r="AC282">
        <v>5</v>
      </c>
      <c r="AD282">
        <v>5</v>
      </c>
      <c r="AE282">
        <v>45</v>
      </c>
      <c r="AF282" s="45">
        <f t="shared" ca="1" si="262"/>
        <v>6256</v>
      </c>
      <c r="AG282" s="45">
        <f t="shared" ca="1" si="276"/>
        <v>1580</v>
      </c>
      <c r="AH282" s="45">
        <f t="shared" ca="1" si="277"/>
        <v>1078</v>
      </c>
      <c r="AI282" s="45">
        <f t="shared" ca="1" si="278"/>
        <v>271</v>
      </c>
      <c r="AJ282" s="45">
        <f t="shared" ca="1" si="279"/>
        <v>39</v>
      </c>
      <c r="AK282" s="45">
        <f t="shared" ca="1" si="280"/>
        <v>192</v>
      </c>
      <c r="AL282" s="45">
        <f t="shared" ca="1" si="281"/>
        <v>652</v>
      </c>
      <c r="AM282" s="45">
        <f t="shared" ca="1" si="282"/>
        <v>50</v>
      </c>
      <c r="AN282" s="45">
        <f t="shared" ca="1" si="283"/>
        <v>3974</v>
      </c>
      <c r="AO282">
        <v>4339</v>
      </c>
      <c r="AP282">
        <v>1425</v>
      </c>
      <c r="AQ282">
        <v>160</v>
      </c>
      <c r="AR282">
        <v>601</v>
      </c>
      <c r="AS282">
        <v>1248</v>
      </c>
      <c r="AT282">
        <v>106</v>
      </c>
      <c r="AU282">
        <v>129</v>
      </c>
      <c r="AV282">
        <v>0.98199999999999998</v>
      </c>
      <c r="AW282" s="1"/>
      <c r="AX282" s="1"/>
      <c r="AY282" s="47">
        <f t="shared" si="284"/>
        <v>29700</v>
      </c>
      <c r="AZ282" s="49">
        <f t="shared" si="285"/>
        <v>165849</v>
      </c>
      <c r="BA282" s="49">
        <f t="shared" ref="BA282" si="307">SUMIF($B$2:$B$571,$B282,$O$2:$O$571)</f>
        <v>28796</v>
      </c>
      <c r="BB282" s="48">
        <f t="shared" si="287"/>
        <v>0.17362781807547831</v>
      </c>
    </row>
    <row r="283" spans="2:54" x14ac:dyDescent="0.2">
      <c r="B283" s="3">
        <v>2009</v>
      </c>
      <c r="C283" t="s">
        <v>62</v>
      </c>
      <c r="D283" t="s">
        <v>63</v>
      </c>
      <c r="E283">
        <v>5</v>
      </c>
      <c r="F283" t="s">
        <v>38</v>
      </c>
      <c r="G283" t="s">
        <v>38</v>
      </c>
      <c r="H283" t="s">
        <v>38</v>
      </c>
      <c r="I283" t="s">
        <v>38</v>
      </c>
      <c r="J283">
        <v>74</v>
      </c>
      <c r="K283">
        <v>88</v>
      </c>
      <c r="L283">
        <v>643</v>
      </c>
      <c r="M283" s="38">
        <v>5436</v>
      </c>
      <c r="N283" s="38">
        <v>1415</v>
      </c>
      <c r="O283" s="38">
        <f t="shared" si="274"/>
        <v>971</v>
      </c>
      <c r="P283" s="38">
        <v>270</v>
      </c>
      <c r="Q283" s="38">
        <v>32</v>
      </c>
      <c r="R283" s="38">
        <v>142</v>
      </c>
      <c r="S283" s="38">
        <v>448</v>
      </c>
      <c r="T283" s="38">
        <v>43</v>
      </c>
      <c r="U283" s="38">
        <f t="shared" si="275"/>
        <v>3530</v>
      </c>
      <c r="V283">
        <v>990</v>
      </c>
      <c r="W283">
        <v>113</v>
      </c>
      <c r="X283">
        <v>44</v>
      </c>
      <c r="Y283">
        <v>45</v>
      </c>
      <c r="Z283">
        <v>770</v>
      </c>
      <c r="AA283">
        <v>722</v>
      </c>
      <c r="AB283">
        <v>4.54</v>
      </c>
      <c r="AC283">
        <v>5</v>
      </c>
      <c r="AD283">
        <v>10</v>
      </c>
      <c r="AE283">
        <v>39</v>
      </c>
      <c r="AF283" s="45">
        <f t="shared" ca="1" si="262"/>
        <v>6136</v>
      </c>
      <c r="AG283" s="45">
        <f t="shared" ca="1" si="276"/>
        <v>1552</v>
      </c>
      <c r="AH283" s="45">
        <f t="shared" ca="1" si="277"/>
        <v>1098</v>
      </c>
      <c r="AI283" s="45">
        <f t="shared" ca="1" si="278"/>
        <v>270</v>
      </c>
      <c r="AJ283" s="45">
        <f t="shared" ca="1" si="279"/>
        <v>44</v>
      </c>
      <c r="AK283" s="45">
        <f t="shared" ca="1" si="280"/>
        <v>140</v>
      </c>
      <c r="AL283" s="45">
        <f t="shared" ca="1" si="281"/>
        <v>458</v>
      </c>
      <c r="AM283" s="45">
        <f t="shared" ca="1" si="282"/>
        <v>49</v>
      </c>
      <c r="AN283" s="45">
        <f t="shared" ca="1" si="283"/>
        <v>4077</v>
      </c>
      <c r="AO283">
        <v>4290</v>
      </c>
      <c r="AP283">
        <v>1521</v>
      </c>
      <c r="AQ283">
        <v>176</v>
      </c>
      <c r="AR283">
        <v>546</v>
      </c>
      <c r="AS283">
        <v>1144</v>
      </c>
      <c r="AT283">
        <v>78</v>
      </c>
      <c r="AU283">
        <v>161</v>
      </c>
      <c r="AV283">
        <v>0.98699999999999999</v>
      </c>
      <c r="AW283" s="1"/>
      <c r="AX283" s="1"/>
      <c r="AY283" s="47">
        <f t="shared" si="284"/>
        <v>29700</v>
      </c>
      <c r="AZ283" s="49">
        <f t="shared" si="285"/>
        <v>165849</v>
      </c>
      <c r="BA283" s="49">
        <f t="shared" ref="BA283" si="308">SUMIF($B$2:$B$571,$B283,$P$2:$P$571)</f>
        <v>8737</v>
      </c>
      <c r="BB283" s="48">
        <f t="shared" si="287"/>
        <v>5.2680450289118413E-2</v>
      </c>
    </row>
    <row r="284" spans="2:54" x14ac:dyDescent="0.2">
      <c r="B284" s="3">
        <v>2009</v>
      </c>
      <c r="C284" t="s">
        <v>64</v>
      </c>
      <c r="D284" t="s">
        <v>65</v>
      </c>
      <c r="E284">
        <v>4</v>
      </c>
      <c r="F284" t="s">
        <v>38</v>
      </c>
      <c r="G284" t="s">
        <v>38</v>
      </c>
      <c r="H284" t="s">
        <v>38</v>
      </c>
      <c r="I284" t="s">
        <v>38</v>
      </c>
      <c r="J284">
        <v>65</v>
      </c>
      <c r="K284">
        <v>97</v>
      </c>
      <c r="L284">
        <v>686</v>
      </c>
      <c r="M284" s="38">
        <v>5532</v>
      </c>
      <c r="N284" s="38">
        <v>1432</v>
      </c>
      <c r="O284" s="38">
        <f t="shared" si="274"/>
        <v>961</v>
      </c>
      <c r="P284" s="38">
        <v>276</v>
      </c>
      <c r="Q284" s="38">
        <v>51</v>
      </c>
      <c r="R284" s="38">
        <v>144</v>
      </c>
      <c r="S284" s="38">
        <v>457</v>
      </c>
      <c r="T284" s="38">
        <v>42</v>
      </c>
      <c r="U284" s="38">
        <f t="shared" si="275"/>
        <v>3601</v>
      </c>
      <c r="V284">
        <v>1091</v>
      </c>
      <c r="W284">
        <v>88</v>
      </c>
      <c r="X284">
        <v>29</v>
      </c>
      <c r="Y284">
        <v>32</v>
      </c>
      <c r="Z284">
        <v>842</v>
      </c>
      <c r="AA284">
        <v>765</v>
      </c>
      <c r="AB284">
        <v>4.83</v>
      </c>
      <c r="AC284">
        <v>10</v>
      </c>
      <c r="AD284">
        <v>9</v>
      </c>
      <c r="AE284">
        <v>34</v>
      </c>
      <c r="AF284" s="45">
        <f t="shared" ca="1" si="262"/>
        <v>6471</v>
      </c>
      <c r="AG284" s="45">
        <f t="shared" ca="1" si="276"/>
        <v>1304</v>
      </c>
      <c r="AH284" s="45">
        <f t="shared" ca="1" si="277"/>
        <v>879</v>
      </c>
      <c r="AI284" s="45">
        <f t="shared" ca="1" si="278"/>
        <v>232</v>
      </c>
      <c r="AJ284" s="45">
        <f t="shared" ca="1" si="279"/>
        <v>38</v>
      </c>
      <c r="AK284" s="45">
        <f t="shared" ca="1" si="280"/>
        <v>155</v>
      </c>
      <c r="AL284" s="45">
        <f t="shared" ca="1" si="281"/>
        <v>630</v>
      </c>
      <c r="AM284" s="45">
        <f t="shared" ca="1" si="282"/>
        <v>32</v>
      </c>
      <c r="AN284" s="45">
        <f t="shared" ca="1" si="283"/>
        <v>4505</v>
      </c>
      <c r="AO284">
        <v>4278</v>
      </c>
      <c r="AP284">
        <v>1486</v>
      </c>
      <c r="AQ284">
        <v>166</v>
      </c>
      <c r="AR284">
        <v>600</v>
      </c>
      <c r="AS284">
        <v>1153</v>
      </c>
      <c r="AT284">
        <v>117</v>
      </c>
      <c r="AU284">
        <v>159</v>
      </c>
      <c r="AV284">
        <v>0.98</v>
      </c>
      <c r="AW284" s="1"/>
      <c r="AX284" s="1"/>
      <c r="AY284" s="47">
        <f t="shared" si="284"/>
        <v>29700</v>
      </c>
      <c r="AZ284" s="49">
        <f t="shared" si="285"/>
        <v>165849</v>
      </c>
      <c r="BA284" s="49">
        <f t="shared" ref="BA284" si="309">SUMIF($B$2:$B$571,$B284,$Q$2:$Q$571)</f>
        <v>949</v>
      </c>
      <c r="BB284" s="48">
        <f t="shared" si="287"/>
        <v>5.7220724876242846E-3</v>
      </c>
    </row>
    <row r="285" spans="2:54" x14ac:dyDescent="0.2">
      <c r="B285" s="3">
        <v>2009</v>
      </c>
      <c r="C285" t="s">
        <v>98</v>
      </c>
      <c r="D285" t="s">
        <v>99</v>
      </c>
      <c r="E285">
        <v>1</v>
      </c>
      <c r="F285" t="s">
        <v>43</v>
      </c>
      <c r="G285" t="s">
        <v>38</v>
      </c>
      <c r="H285" t="s">
        <v>38</v>
      </c>
      <c r="I285" t="s">
        <v>38</v>
      </c>
      <c r="J285">
        <v>97</v>
      </c>
      <c r="K285">
        <v>65</v>
      </c>
      <c r="L285">
        <v>883</v>
      </c>
      <c r="M285" s="38">
        <v>5622</v>
      </c>
      <c r="N285" s="38">
        <v>1604</v>
      </c>
      <c r="O285" s="38">
        <f t="shared" si="274"/>
        <v>1105</v>
      </c>
      <c r="P285" s="38">
        <v>293</v>
      </c>
      <c r="Q285" s="38">
        <v>33</v>
      </c>
      <c r="R285" s="38">
        <v>173</v>
      </c>
      <c r="S285" s="38">
        <v>547</v>
      </c>
      <c r="T285" s="38">
        <v>41</v>
      </c>
      <c r="U285" s="38">
        <f t="shared" si="275"/>
        <v>3430</v>
      </c>
      <c r="V285">
        <v>1054</v>
      </c>
      <c r="W285">
        <v>148</v>
      </c>
      <c r="X285">
        <v>63</v>
      </c>
      <c r="Y285">
        <v>52</v>
      </c>
      <c r="Z285">
        <v>761</v>
      </c>
      <c r="AA285">
        <v>715</v>
      </c>
      <c r="AB285">
        <v>4.45</v>
      </c>
      <c r="AC285">
        <v>9</v>
      </c>
      <c r="AD285">
        <v>13</v>
      </c>
      <c r="AE285">
        <v>51</v>
      </c>
      <c r="AF285" s="45">
        <f t="shared" ca="1" si="262"/>
        <v>6358</v>
      </c>
      <c r="AG285" s="45">
        <f t="shared" ca="1" si="276"/>
        <v>1342</v>
      </c>
      <c r="AH285" s="45">
        <f t="shared" ca="1" si="277"/>
        <v>813</v>
      </c>
      <c r="AI285" s="45">
        <f t="shared" ca="1" si="278"/>
        <v>261</v>
      </c>
      <c r="AJ285" s="45">
        <f t="shared" ca="1" si="279"/>
        <v>48</v>
      </c>
      <c r="AK285" s="45">
        <f t="shared" ca="1" si="280"/>
        <v>220</v>
      </c>
      <c r="AL285" s="45">
        <f t="shared" ca="1" si="281"/>
        <v>661</v>
      </c>
      <c r="AM285" s="45">
        <f t="shared" ca="1" si="282"/>
        <v>88</v>
      </c>
      <c r="AN285" s="45">
        <f t="shared" ca="1" si="283"/>
        <v>4267</v>
      </c>
      <c r="AO285">
        <v>4335</v>
      </c>
      <c r="AP285">
        <v>1513</v>
      </c>
      <c r="AQ285">
        <v>180</v>
      </c>
      <c r="AR285">
        <v>523</v>
      </c>
      <c r="AS285">
        <v>1062</v>
      </c>
      <c r="AT285">
        <v>85</v>
      </c>
      <c r="AU285">
        <v>174</v>
      </c>
      <c r="AV285">
        <v>0.98599999999999999</v>
      </c>
      <c r="AW285" s="1"/>
      <c r="AX285" s="1"/>
      <c r="AY285" s="47">
        <f t="shared" si="284"/>
        <v>29700</v>
      </c>
      <c r="AZ285" s="49">
        <f t="shared" si="285"/>
        <v>165849</v>
      </c>
      <c r="BA285" s="49">
        <f t="shared" ref="BA285" si="310">SUMIF($B$2:$B$571,$B285,$R$2:$R$571)</f>
        <v>5042</v>
      </c>
      <c r="BB285" s="48">
        <f t="shared" si="287"/>
        <v>3.0401148032246198E-2</v>
      </c>
    </row>
    <row r="286" spans="2:54" x14ac:dyDescent="0.2">
      <c r="B286" s="3">
        <v>2009</v>
      </c>
      <c r="C286" t="s">
        <v>66</v>
      </c>
      <c r="D286" t="s">
        <v>67</v>
      </c>
      <c r="E286">
        <v>1</v>
      </c>
      <c r="F286" t="s">
        <v>43</v>
      </c>
      <c r="G286" t="s">
        <v>38</v>
      </c>
      <c r="H286" t="s">
        <v>38</v>
      </c>
      <c r="I286" t="s">
        <v>38</v>
      </c>
      <c r="J286">
        <v>95</v>
      </c>
      <c r="K286">
        <v>67</v>
      </c>
      <c r="L286">
        <v>780</v>
      </c>
      <c r="M286" s="38">
        <v>5592</v>
      </c>
      <c r="N286" s="38">
        <v>1511</v>
      </c>
      <c r="O286" s="38">
        <f t="shared" si="274"/>
        <v>1049</v>
      </c>
      <c r="P286" s="38">
        <v>278</v>
      </c>
      <c r="Q286" s="38">
        <v>39</v>
      </c>
      <c r="R286" s="38">
        <v>145</v>
      </c>
      <c r="S286" s="38">
        <v>607</v>
      </c>
      <c r="T286" s="38">
        <v>63</v>
      </c>
      <c r="U286" s="38">
        <f t="shared" si="275"/>
        <v>3411</v>
      </c>
      <c r="V286">
        <v>1068</v>
      </c>
      <c r="W286">
        <v>116</v>
      </c>
      <c r="X286">
        <v>48</v>
      </c>
      <c r="Y286">
        <v>44</v>
      </c>
      <c r="Z286">
        <v>611</v>
      </c>
      <c r="AA286">
        <v>558</v>
      </c>
      <c r="AB286">
        <v>3.41</v>
      </c>
      <c r="AC286">
        <v>1</v>
      </c>
      <c r="AD286">
        <v>9</v>
      </c>
      <c r="AE286">
        <v>44</v>
      </c>
      <c r="AF286" s="45">
        <f t="shared" ca="1" si="262"/>
        <v>6256</v>
      </c>
      <c r="AG286" s="45">
        <f t="shared" ca="1" si="276"/>
        <v>1345</v>
      </c>
      <c r="AH286" s="45">
        <f t="shared" ca="1" si="277"/>
        <v>770</v>
      </c>
      <c r="AI286" s="45">
        <f t="shared" ca="1" si="278"/>
        <v>335</v>
      </c>
      <c r="AJ286" s="45">
        <f t="shared" ca="1" si="279"/>
        <v>48</v>
      </c>
      <c r="AK286" s="45">
        <f t="shared" ca="1" si="280"/>
        <v>192</v>
      </c>
      <c r="AL286" s="45">
        <f t="shared" ca="1" si="281"/>
        <v>410</v>
      </c>
      <c r="AM286" s="45">
        <f t="shared" ca="1" si="282"/>
        <v>83</v>
      </c>
      <c r="AN286" s="45">
        <f t="shared" ca="1" si="283"/>
        <v>4418</v>
      </c>
      <c r="AO286">
        <v>4420</v>
      </c>
      <c r="AP286">
        <v>1265</v>
      </c>
      <c r="AQ286">
        <v>127</v>
      </c>
      <c r="AR286">
        <v>584</v>
      </c>
      <c r="AS286">
        <v>1272</v>
      </c>
      <c r="AT286">
        <v>83</v>
      </c>
      <c r="AU286">
        <v>134</v>
      </c>
      <c r="AV286">
        <v>0.98599999999999999</v>
      </c>
      <c r="AW286" s="1"/>
      <c r="AX286" s="1"/>
      <c r="AY286" s="47">
        <f t="shared" si="284"/>
        <v>29700</v>
      </c>
      <c r="AZ286" s="49">
        <f t="shared" si="285"/>
        <v>165849</v>
      </c>
      <c r="BA286" s="49">
        <f t="shared" ref="BA286" si="311">SUMIF($B$2:$B$571,$B286,$S$2:$S$571)</f>
        <v>16620</v>
      </c>
      <c r="BB286" s="48">
        <f t="shared" si="287"/>
        <v>0.10021163829748747</v>
      </c>
    </row>
    <row r="287" spans="2:54" x14ac:dyDescent="0.2">
      <c r="B287" s="3">
        <v>2009</v>
      </c>
      <c r="C287" t="s">
        <v>68</v>
      </c>
      <c r="D287" t="s">
        <v>69</v>
      </c>
      <c r="E287">
        <v>3</v>
      </c>
      <c r="F287" t="s">
        <v>38</v>
      </c>
      <c r="G287" t="s">
        <v>38</v>
      </c>
      <c r="H287" t="s">
        <v>38</v>
      </c>
      <c r="I287" t="s">
        <v>38</v>
      </c>
      <c r="J287">
        <v>80</v>
      </c>
      <c r="K287">
        <v>82</v>
      </c>
      <c r="L287">
        <v>785</v>
      </c>
      <c r="M287" s="38">
        <v>5510</v>
      </c>
      <c r="N287" s="38">
        <v>1447</v>
      </c>
      <c r="O287" s="38">
        <f t="shared" si="274"/>
        <v>947</v>
      </c>
      <c r="P287" s="38">
        <v>281</v>
      </c>
      <c r="Q287" s="38">
        <v>37</v>
      </c>
      <c r="R287" s="38">
        <v>182</v>
      </c>
      <c r="S287" s="38">
        <v>610</v>
      </c>
      <c r="T287" s="38">
        <v>71</v>
      </c>
      <c r="U287" s="38">
        <f t="shared" si="275"/>
        <v>3382</v>
      </c>
      <c r="V287">
        <v>1231</v>
      </c>
      <c r="W287">
        <v>68</v>
      </c>
      <c r="X287">
        <v>37</v>
      </c>
      <c r="Y287">
        <v>47</v>
      </c>
      <c r="Z287">
        <v>818</v>
      </c>
      <c r="AA287">
        <v>770</v>
      </c>
      <c r="AB287">
        <v>4.83</v>
      </c>
      <c r="AC287">
        <v>1</v>
      </c>
      <c r="AD287">
        <v>8</v>
      </c>
      <c r="AE287">
        <v>44</v>
      </c>
      <c r="AF287" s="45">
        <f t="shared" ca="1" si="262"/>
        <v>6448</v>
      </c>
      <c r="AG287" s="45">
        <f t="shared" ca="1" si="276"/>
        <v>1622</v>
      </c>
      <c r="AH287" s="45">
        <f t="shared" ca="1" si="277"/>
        <v>1205</v>
      </c>
      <c r="AI287" s="45">
        <f t="shared" ca="1" si="278"/>
        <v>244</v>
      </c>
      <c r="AJ287" s="45">
        <f t="shared" ca="1" si="279"/>
        <v>20</v>
      </c>
      <c r="AK287" s="45">
        <f t="shared" ca="1" si="280"/>
        <v>153</v>
      </c>
      <c r="AL287" s="45">
        <f t="shared" ca="1" si="281"/>
        <v>442</v>
      </c>
      <c r="AM287" s="45">
        <f t="shared" ca="1" si="282"/>
        <v>53</v>
      </c>
      <c r="AN287" s="45">
        <f t="shared" ca="1" si="283"/>
        <v>4331</v>
      </c>
      <c r="AO287">
        <v>4305</v>
      </c>
      <c r="AP287">
        <v>1498</v>
      </c>
      <c r="AQ287">
        <v>207</v>
      </c>
      <c r="AR287">
        <v>607</v>
      </c>
      <c r="AS287">
        <v>1104</v>
      </c>
      <c r="AT287">
        <v>98</v>
      </c>
      <c r="AU287">
        <v>149</v>
      </c>
      <c r="AV287">
        <v>0.98399999999999999</v>
      </c>
      <c r="AW287" s="1"/>
      <c r="AX287" s="1"/>
      <c r="AY287" s="47">
        <f t="shared" si="284"/>
        <v>29700</v>
      </c>
      <c r="AZ287" s="49">
        <f t="shared" si="285"/>
        <v>165849</v>
      </c>
      <c r="BA287" s="49">
        <f t="shared" ref="BA287" si="312">SUMIF($B$2:$B$571,$B287,$T$2:$T$571)</f>
        <v>1590</v>
      </c>
      <c r="BB287" s="48">
        <f t="shared" si="287"/>
        <v>9.5870339887488016E-3</v>
      </c>
    </row>
    <row r="288" spans="2:54" x14ac:dyDescent="0.2">
      <c r="B288" s="3">
        <v>2009</v>
      </c>
      <c r="C288" t="s">
        <v>70</v>
      </c>
      <c r="D288" t="s">
        <v>71</v>
      </c>
      <c r="E288">
        <v>1</v>
      </c>
      <c r="F288" t="s">
        <v>43</v>
      </c>
      <c r="G288" t="s">
        <v>38</v>
      </c>
      <c r="H288" t="s">
        <v>38</v>
      </c>
      <c r="I288" t="s">
        <v>38</v>
      </c>
      <c r="J288">
        <v>87</v>
      </c>
      <c r="K288">
        <v>76</v>
      </c>
      <c r="L288">
        <v>817</v>
      </c>
      <c r="M288" s="38">
        <v>5608</v>
      </c>
      <c r="N288" s="38">
        <v>1539</v>
      </c>
      <c r="O288" s="38">
        <f t="shared" si="274"/>
        <v>1056</v>
      </c>
      <c r="P288" s="38">
        <v>271</v>
      </c>
      <c r="Q288" s="38">
        <v>40</v>
      </c>
      <c r="R288" s="38">
        <v>172</v>
      </c>
      <c r="S288" s="38">
        <v>585</v>
      </c>
      <c r="T288" s="38">
        <v>45</v>
      </c>
      <c r="U288" s="38">
        <f t="shared" si="275"/>
        <v>3439</v>
      </c>
      <c r="V288">
        <v>1021</v>
      </c>
      <c r="W288">
        <v>85</v>
      </c>
      <c r="X288">
        <v>32</v>
      </c>
      <c r="Y288">
        <v>57</v>
      </c>
      <c r="Z288">
        <v>765</v>
      </c>
      <c r="AA288">
        <v>726</v>
      </c>
      <c r="AB288">
        <v>4.5</v>
      </c>
      <c r="AC288">
        <v>4</v>
      </c>
      <c r="AD288">
        <v>7</v>
      </c>
      <c r="AE288">
        <v>48</v>
      </c>
      <c r="AF288" s="45">
        <f t="shared" ca="1" si="262"/>
        <v>6183</v>
      </c>
      <c r="AG288" s="45">
        <f t="shared" ca="1" si="276"/>
        <v>1513</v>
      </c>
      <c r="AH288" s="45">
        <f t="shared" ca="1" si="277"/>
        <v>965</v>
      </c>
      <c r="AI288" s="45">
        <f t="shared" ca="1" si="278"/>
        <v>366</v>
      </c>
      <c r="AJ288" s="45">
        <f t="shared" ca="1" si="279"/>
        <v>50</v>
      </c>
      <c r="AK288" s="45">
        <f t="shared" ca="1" si="280"/>
        <v>132</v>
      </c>
      <c r="AL288" s="45">
        <f t="shared" ca="1" si="281"/>
        <v>521</v>
      </c>
      <c r="AM288" s="45">
        <f t="shared" ca="1" si="282"/>
        <v>43</v>
      </c>
      <c r="AN288" s="45">
        <f t="shared" ca="1" si="283"/>
        <v>4106</v>
      </c>
      <c r="AO288">
        <v>4359</v>
      </c>
      <c r="AP288">
        <v>1542</v>
      </c>
      <c r="AQ288">
        <v>185</v>
      </c>
      <c r="AR288">
        <v>466</v>
      </c>
      <c r="AS288">
        <v>1052</v>
      </c>
      <c r="AT288">
        <v>76</v>
      </c>
      <c r="AU288">
        <v>135</v>
      </c>
      <c r="AV288">
        <v>0.98699999999999999</v>
      </c>
      <c r="AW288" s="1"/>
      <c r="AX288" s="1"/>
      <c r="AY288" s="47">
        <f t="shared" si="284"/>
        <v>29700</v>
      </c>
      <c r="AZ288" s="49">
        <f t="shared" si="285"/>
        <v>165849</v>
      </c>
      <c r="BA288" s="49">
        <f t="shared" ref="BA288" si="313">SUMIF($B$2:$B$571,$B288,$U$2:$U$571)</f>
        <v>104115</v>
      </c>
      <c r="BB288" s="48">
        <f t="shared" si="287"/>
        <v>0.62776983882929649</v>
      </c>
    </row>
    <row r="289" spans="2:54" x14ac:dyDescent="0.2">
      <c r="B289" s="3">
        <v>2009</v>
      </c>
      <c r="C289" t="s">
        <v>74</v>
      </c>
      <c r="D289" t="s">
        <v>75</v>
      </c>
      <c r="E289">
        <v>1</v>
      </c>
      <c r="F289" t="s">
        <v>43</v>
      </c>
      <c r="G289" t="s">
        <v>38</v>
      </c>
      <c r="H289" t="s">
        <v>43</v>
      </c>
      <c r="I289" t="s">
        <v>43</v>
      </c>
      <c r="J289">
        <v>103</v>
      </c>
      <c r="K289">
        <v>59</v>
      </c>
      <c r="L289">
        <v>915</v>
      </c>
      <c r="M289" s="38">
        <v>5660</v>
      </c>
      <c r="N289" s="38">
        <v>1604</v>
      </c>
      <c r="O289" s="38">
        <f t="shared" si="274"/>
        <v>1014</v>
      </c>
      <c r="P289" s="38">
        <v>325</v>
      </c>
      <c r="Q289" s="38">
        <v>21</v>
      </c>
      <c r="R289" s="38">
        <v>244</v>
      </c>
      <c r="S289" s="38">
        <v>663</v>
      </c>
      <c r="T289" s="38">
        <v>54</v>
      </c>
      <c r="U289" s="38">
        <f t="shared" si="275"/>
        <v>3339</v>
      </c>
      <c r="V289">
        <v>1014</v>
      </c>
      <c r="W289">
        <v>111</v>
      </c>
      <c r="X289">
        <v>28</v>
      </c>
      <c r="Y289">
        <v>39</v>
      </c>
      <c r="Z289">
        <v>753</v>
      </c>
      <c r="AA289">
        <v>687</v>
      </c>
      <c r="AB289">
        <v>4.26</v>
      </c>
      <c r="AC289">
        <v>3</v>
      </c>
      <c r="AD289">
        <v>8</v>
      </c>
      <c r="AE289">
        <v>51</v>
      </c>
      <c r="AF289" s="45">
        <f t="shared" ca="1" si="262"/>
        <v>6422</v>
      </c>
      <c r="AG289" s="45">
        <f t="shared" ca="1" si="276"/>
        <v>1457</v>
      </c>
      <c r="AH289" s="45">
        <f t="shared" ca="1" si="277"/>
        <v>870</v>
      </c>
      <c r="AI289" s="45">
        <f t="shared" ca="1" si="278"/>
        <v>359</v>
      </c>
      <c r="AJ289" s="45">
        <f t="shared" ca="1" si="279"/>
        <v>47</v>
      </c>
      <c r="AK289" s="45">
        <f t="shared" ca="1" si="280"/>
        <v>181</v>
      </c>
      <c r="AL289" s="45">
        <f t="shared" ca="1" si="281"/>
        <v>612</v>
      </c>
      <c r="AM289" s="45">
        <f t="shared" ca="1" si="282"/>
        <v>30</v>
      </c>
      <c r="AN289" s="45">
        <f t="shared" ca="1" si="283"/>
        <v>4323</v>
      </c>
      <c r="AO289">
        <v>4350</v>
      </c>
      <c r="AP289">
        <v>1386</v>
      </c>
      <c r="AQ289">
        <v>181</v>
      </c>
      <c r="AR289">
        <v>574</v>
      </c>
      <c r="AS289">
        <v>1260</v>
      </c>
      <c r="AT289">
        <v>86</v>
      </c>
      <c r="AU289">
        <v>131</v>
      </c>
      <c r="AV289">
        <v>0.98499999999999999</v>
      </c>
      <c r="AW289" s="1"/>
      <c r="AX289" s="1"/>
      <c r="AY289" s="47">
        <f t="shared" si="284"/>
        <v>29700</v>
      </c>
      <c r="AZ289" s="49">
        <f t="shared" si="285"/>
        <v>165849</v>
      </c>
      <c r="BA289" s="49"/>
      <c r="BB289" s="48">
        <f t="shared" si="287"/>
        <v>0</v>
      </c>
    </row>
    <row r="290" spans="2:54" x14ac:dyDescent="0.2">
      <c r="B290" s="3">
        <v>2009</v>
      </c>
      <c r="C290" t="s">
        <v>76</v>
      </c>
      <c r="D290" t="s">
        <v>77</v>
      </c>
      <c r="E290">
        <v>4</v>
      </c>
      <c r="F290" t="s">
        <v>38</v>
      </c>
      <c r="G290" t="s">
        <v>38</v>
      </c>
      <c r="H290" t="s">
        <v>38</v>
      </c>
      <c r="I290" t="s">
        <v>38</v>
      </c>
      <c r="J290">
        <v>70</v>
      </c>
      <c r="K290">
        <v>92</v>
      </c>
      <c r="L290">
        <v>671</v>
      </c>
      <c r="M290" s="38">
        <v>5453</v>
      </c>
      <c r="N290" s="38">
        <v>1472</v>
      </c>
      <c r="O290" s="38">
        <f t="shared" si="274"/>
        <v>1033</v>
      </c>
      <c r="P290" s="38">
        <v>295</v>
      </c>
      <c r="Q290" s="38">
        <v>49</v>
      </c>
      <c r="R290" s="38">
        <v>95</v>
      </c>
      <c r="S290" s="38">
        <v>526</v>
      </c>
      <c r="T290" s="38">
        <v>36</v>
      </c>
      <c r="U290" s="38">
        <f t="shared" si="275"/>
        <v>3419</v>
      </c>
      <c r="V290">
        <v>928</v>
      </c>
      <c r="W290">
        <v>122</v>
      </c>
      <c r="X290">
        <v>44</v>
      </c>
      <c r="Y290">
        <v>55</v>
      </c>
      <c r="Z290">
        <v>757</v>
      </c>
      <c r="AA290">
        <v>705</v>
      </c>
      <c r="AB290">
        <v>4.45</v>
      </c>
      <c r="AC290">
        <v>3</v>
      </c>
      <c r="AD290">
        <v>12</v>
      </c>
      <c r="AE290">
        <v>39</v>
      </c>
      <c r="AF290" s="45">
        <f t="shared" ca="1" si="262"/>
        <v>6377</v>
      </c>
      <c r="AG290" s="45">
        <f t="shared" ca="1" si="276"/>
        <v>1582</v>
      </c>
      <c r="AH290" s="45">
        <f t="shared" ca="1" si="277"/>
        <v>1083</v>
      </c>
      <c r="AI290" s="45">
        <f t="shared" ca="1" si="278"/>
        <v>328</v>
      </c>
      <c r="AJ290" s="45">
        <f t="shared" ca="1" si="279"/>
        <v>22</v>
      </c>
      <c r="AK290" s="45">
        <f t="shared" ca="1" si="280"/>
        <v>149</v>
      </c>
      <c r="AL290" s="45">
        <f t="shared" ca="1" si="281"/>
        <v>443</v>
      </c>
      <c r="AM290" s="45">
        <f t="shared" ca="1" si="282"/>
        <v>56</v>
      </c>
      <c r="AN290" s="45">
        <f t="shared" ca="1" si="283"/>
        <v>4296</v>
      </c>
      <c r="AO290">
        <v>4278</v>
      </c>
      <c r="AP290">
        <v>1452</v>
      </c>
      <c r="AQ290">
        <v>158</v>
      </c>
      <c r="AR290">
        <v>616</v>
      </c>
      <c r="AS290">
        <v>1031</v>
      </c>
      <c r="AT290">
        <v>97</v>
      </c>
      <c r="AU290">
        <v>134</v>
      </c>
      <c r="AV290">
        <v>0.98399999999999999</v>
      </c>
      <c r="AW290" s="1"/>
      <c r="AX290" s="1"/>
      <c r="AY290" s="47">
        <f t="shared" si="284"/>
        <v>29700</v>
      </c>
      <c r="AZ290" s="49">
        <f t="shared" si="285"/>
        <v>165849</v>
      </c>
      <c r="BA290" s="49">
        <f t="shared" ref="BA290" si="314">SUMIF($B$2:$B$571,$B290,$O$2:$O$571)</f>
        <v>28796</v>
      </c>
      <c r="BB290" s="48">
        <f t="shared" si="287"/>
        <v>0.17362781807547831</v>
      </c>
    </row>
    <row r="291" spans="2:54" x14ac:dyDescent="0.2">
      <c r="B291" s="3">
        <v>2009</v>
      </c>
      <c r="C291" t="s">
        <v>78</v>
      </c>
      <c r="D291" t="s">
        <v>79</v>
      </c>
      <c r="E291">
        <v>4</v>
      </c>
      <c r="F291" t="s">
        <v>38</v>
      </c>
      <c r="G291" t="s">
        <v>38</v>
      </c>
      <c r="H291" t="s">
        <v>38</v>
      </c>
      <c r="I291" t="s">
        <v>38</v>
      </c>
      <c r="J291">
        <v>75</v>
      </c>
      <c r="K291">
        <v>87</v>
      </c>
      <c r="L291">
        <v>759</v>
      </c>
      <c r="M291" s="38">
        <v>5584</v>
      </c>
      <c r="N291" s="38">
        <v>1464</v>
      </c>
      <c r="O291" s="38">
        <f t="shared" si="274"/>
        <v>1001</v>
      </c>
      <c r="P291" s="38">
        <v>307</v>
      </c>
      <c r="Q291" s="38">
        <v>21</v>
      </c>
      <c r="R291" s="38">
        <v>135</v>
      </c>
      <c r="S291" s="38">
        <v>527</v>
      </c>
      <c r="T291" s="38">
        <v>50</v>
      </c>
      <c r="U291" s="38">
        <f t="shared" si="275"/>
        <v>3543</v>
      </c>
      <c r="V291">
        <v>1046</v>
      </c>
      <c r="W291">
        <v>133</v>
      </c>
      <c r="X291">
        <v>48</v>
      </c>
      <c r="Y291">
        <v>54</v>
      </c>
      <c r="Z291">
        <v>761</v>
      </c>
      <c r="AA291">
        <v>685</v>
      </c>
      <c r="AB291">
        <v>4.26</v>
      </c>
      <c r="AC291">
        <v>2</v>
      </c>
      <c r="AD291">
        <v>10</v>
      </c>
      <c r="AE291">
        <v>38</v>
      </c>
      <c r="AF291" s="45">
        <f t="shared" ca="1" si="262"/>
        <v>6162</v>
      </c>
      <c r="AG291" s="45">
        <f t="shared" ca="1" si="276"/>
        <v>1384</v>
      </c>
      <c r="AH291" s="45">
        <f t="shared" ca="1" si="277"/>
        <v>873</v>
      </c>
      <c r="AI291" s="45">
        <f t="shared" ca="1" si="278"/>
        <v>299</v>
      </c>
      <c r="AJ291" s="45">
        <f t="shared" ca="1" si="279"/>
        <v>27</v>
      </c>
      <c r="AK291" s="45">
        <f t="shared" ca="1" si="280"/>
        <v>185</v>
      </c>
      <c r="AL291" s="45">
        <f t="shared" ca="1" si="281"/>
        <v>660</v>
      </c>
      <c r="AM291" s="45">
        <f t="shared" ca="1" si="282"/>
        <v>46</v>
      </c>
      <c r="AN291" s="45">
        <f t="shared" ca="1" si="283"/>
        <v>4072</v>
      </c>
      <c r="AO291">
        <v>4342</v>
      </c>
      <c r="AP291">
        <v>1486</v>
      </c>
      <c r="AQ291">
        <v>156</v>
      </c>
      <c r="AR291">
        <v>523</v>
      </c>
      <c r="AS291">
        <v>1124</v>
      </c>
      <c r="AT291">
        <v>105</v>
      </c>
      <c r="AU291">
        <v>155</v>
      </c>
      <c r="AV291">
        <v>0.98299999999999998</v>
      </c>
      <c r="AW291" s="1"/>
      <c r="AX291" s="1"/>
      <c r="AY291" s="47">
        <f t="shared" si="284"/>
        <v>29700</v>
      </c>
      <c r="AZ291" s="49">
        <f t="shared" si="285"/>
        <v>165849</v>
      </c>
      <c r="BA291" s="49">
        <f t="shared" ref="BA291" si="315">SUMIF($B$2:$B$571,$B291,$P$2:$P$571)</f>
        <v>8737</v>
      </c>
      <c r="BB291" s="48">
        <f t="shared" si="287"/>
        <v>5.2680450289118413E-2</v>
      </c>
    </row>
    <row r="292" spans="2:54" x14ac:dyDescent="0.2">
      <c r="B292" s="3">
        <v>2009</v>
      </c>
      <c r="C292" t="s">
        <v>80</v>
      </c>
      <c r="D292" t="s">
        <v>81</v>
      </c>
      <c r="E292">
        <v>1</v>
      </c>
      <c r="F292" t="s">
        <v>43</v>
      </c>
      <c r="G292" t="s">
        <v>38</v>
      </c>
      <c r="H292" t="s">
        <v>43</v>
      </c>
      <c r="I292" t="s">
        <v>38</v>
      </c>
      <c r="J292">
        <v>93</v>
      </c>
      <c r="K292">
        <v>69</v>
      </c>
      <c r="L292">
        <v>820</v>
      </c>
      <c r="M292" s="38">
        <v>5578</v>
      </c>
      <c r="N292" s="38">
        <v>1439</v>
      </c>
      <c r="O292" s="38">
        <f t="shared" si="274"/>
        <v>868</v>
      </c>
      <c r="P292" s="38">
        <v>312</v>
      </c>
      <c r="Q292" s="38">
        <v>35</v>
      </c>
      <c r="R292" s="38">
        <v>224</v>
      </c>
      <c r="S292" s="38">
        <v>589</v>
      </c>
      <c r="T292" s="38">
        <v>71</v>
      </c>
      <c r="U292" s="38">
        <f t="shared" si="275"/>
        <v>3479</v>
      </c>
      <c r="V292">
        <v>1155</v>
      </c>
      <c r="W292">
        <v>119</v>
      </c>
      <c r="X292">
        <v>28</v>
      </c>
      <c r="Y292">
        <v>45</v>
      </c>
      <c r="Z292">
        <v>709</v>
      </c>
      <c r="AA292">
        <v>673</v>
      </c>
      <c r="AB292">
        <v>4.16</v>
      </c>
      <c r="AC292">
        <v>8</v>
      </c>
      <c r="AD292">
        <v>9</v>
      </c>
      <c r="AE292">
        <v>44</v>
      </c>
      <c r="AF292" s="45">
        <f t="shared" ca="1" si="262"/>
        <v>6485</v>
      </c>
      <c r="AG292" s="45">
        <f t="shared" ca="1" si="276"/>
        <v>1378</v>
      </c>
      <c r="AH292" s="45">
        <f t="shared" ca="1" si="277"/>
        <v>959</v>
      </c>
      <c r="AI292" s="45">
        <f t="shared" ca="1" si="278"/>
        <v>225</v>
      </c>
      <c r="AJ292" s="45">
        <f t="shared" ca="1" si="279"/>
        <v>23</v>
      </c>
      <c r="AK292" s="45">
        <f t="shared" ca="1" si="280"/>
        <v>171</v>
      </c>
      <c r="AL292" s="45">
        <f t="shared" ca="1" si="281"/>
        <v>517</v>
      </c>
      <c r="AM292" s="45">
        <f t="shared" ca="1" si="282"/>
        <v>59</v>
      </c>
      <c r="AN292" s="45">
        <f t="shared" ca="1" si="283"/>
        <v>4531</v>
      </c>
      <c r="AO292">
        <v>4367</v>
      </c>
      <c r="AP292">
        <v>1479</v>
      </c>
      <c r="AQ292">
        <v>189</v>
      </c>
      <c r="AR292">
        <v>489</v>
      </c>
      <c r="AS292">
        <v>1153</v>
      </c>
      <c r="AT292">
        <v>76</v>
      </c>
      <c r="AU292">
        <v>132</v>
      </c>
      <c r="AV292">
        <v>0.98699999999999999</v>
      </c>
      <c r="AW292" s="1"/>
      <c r="AX292" s="1"/>
      <c r="AY292" s="47">
        <f t="shared" si="284"/>
        <v>29700</v>
      </c>
      <c r="AZ292" s="49">
        <f t="shared" si="285"/>
        <v>165849</v>
      </c>
      <c r="BA292" s="49">
        <f t="shared" ref="BA292" si="316">SUMIF($B$2:$B$571,$B292,$Q$2:$Q$571)</f>
        <v>949</v>
      </c>
      <c r="BB292" s="48">
        <f t="shared" si="287"/>
        <v>5.7220724876242846E-3</v>
      </c>
    </row>
    <row r="293" spans="2:54" x14ac:dyDescent="0.2">
      <c r="B293" s="3">
        <v>2009</v>
      </c>
      <c r="C293" t="s">
        <v>82</v>
      </c>
      <c r="D293" t="s">
        <v>83</v>
      </c>
      <c r="E293">
        <v>6</v>
      </c>
      <c r="F293" t="s">
        <v>38</v>
      </c>
      <c r="G293" t="s">
        <v>38</v>
      </c>
      <c r="H293" t="s">
        <v>38</v>
      </c>
      <c r="I293" t="s">
        <v>38</v>
      </c>
      <c r="J293">
        <v>62</v>
      </c>
      <c r="K293">
        <v>99</v>
      </c>
      <c r="L293">
        <v>636</v>
      </c>
      <c r="M293" s="38">
        <v>5417</v>
      </c>
      <c r="N293" s="38">
        <v>1364</v>
      </c>
      <c r="O293" s="38">
        <f t="shared" si="274"/>
        <v>916</v>
      </c>
      <c r="P293" s="38">
        <v>289</v>
      </c>
      <c r="Q293" s="38">
        <v>34</v>
      </c>
      <c r="R293" s="38">
        <v>125</v>
      </c>
      <c r="S293" s="38">
        <v>499</v>
      </c>
      <c r="T293" s="38">
        <v>46</v>
      </c>
      <c r="U293" s="38">
        <f t="shared" si="275"/>
        <v>3508</v>
      </c>
      <c r="V293">
        <v>1142</v>
      </c>
      <c r="W293">
        <v>90</v>
      </c>
      <c r="X293">
        <v>32</v>
      </c>
      <c r="Y293">
        <v>36</v>
      </c>
      <c r="Z293">
        <v>768</v>
      </c>
      <c r="AA293">
        <v>723</v>
      </c>
      <c r="AB293">
        <v>4.59</v>
      </c>
      <c r="AC293">
        <v>5</v>
      </c>
      <c r="AD293">
        <v>7</v>
      </c>
      <c r="AE293">
        <v>28</v>
      </c>
      <c r="AF293" s="45">
        <f t="shared" ca="1" si="262"/>
        <v>6064</v>
      </c>
      <c r="AG293" s="45">
        <f t="shared" ca="1" si="276"/>
        <v>1391</v>
      </c>
      <c r="AH293" s="45">
        <f t="shared" ca="1" si="277"/>
        <v>774</v>
      </c>
      <c r="AI293" s="45">
        <f t="shared" ca="1" si="278"/>
        <v>349</v>
      </c>
      <c r="AJ293" s="45">
        <f t="shared" ca="1" si="279"/>
        <v>42</v>
      </c>
      <c r="AK293" s="45">
        <f t="shared" ca="1" si="280"/>
        <v>226</v>
      </c>
      <c r="AL293" s="45">
        <f t="shared" ca="1" si="281"/>
        <v>461</v>
      </c>
      <c r="AM293" s="45">
        <f t="shared" ca="1" si="282"/>
        <v>56</v>
      </c>
      <c r="AN293" s="45">
        <f t="shared" ca="1" si="283"/>
        <v>4156</v>
      </c>
      <c r="AO293">
        <v>4255</v>
      </c>
      <c r="AP293">
        <v>1491</v>
      </c>
      <c r="AQ293">
        <v>152</v>
      </c>
      <c r="AR293">
        <v>563</v>
      </c>
      <c r="AS293">
        <v>919</v>
      </c>
      <c r="AT293">
        <v>73</v>
      </c>
      <c r="AU293">
        <v>171</v>
      </c>
      <c r="AV293">
        <v>0.98799999999999999</v>
      </c>
      <c r="AW293" s="1"/>
      <c r="AX293" s="1"/>
      <c r="AY293" s="47">
        <f t="shared" si="284"/>
        <v>29700</v>
      </c>
      <c r="AZ293" s="49">
        <f t="shared" si="285"/>
        <v>165849</v>
      </c>
      <c r="BA293" s="49">
        <f t="shared" ref="BA293" si="317">SUMIF($B$2:$B$571,$B293,$R$2:$R$571)</f>
        <v>5042</v>
      </c>
      <c r="BB293" s="48">
        <f t="shared" si="287"/>
        <v>3.0401148032246198E-2</v>
      </c>
    </row>
    <row r="294" spans="2:54" x14ac:dyDescent="0.2">
      <c r="B294" s="3">
        <v>2009</v>
      </c>
      <c r="C294" t="s">
        <v>84</v>
      </c>
      <c r="D294" t="s">
        <v>85</v>
      </c>
      <c r="E294">
        <v>4</v>
      </c>
      <c r="F294" t="s">
        <v>38</v>
      </c>
      <c r="G294" t="s">
        <v>38</v>
      </c>
      <c r="H294" t="s">
        <v>38</v>
      </c>
      <c r="I294" t="s">
        <v>38</v>
      </c>
      <c r="J294">
        <v>75</v>
      </c>
      <c r="K294">
        <v>87</v>
      </c>
      <c r="L294">
        <v>638</v>
      </c>
      <c r="M294" s="38">
        <v>5425</v>
      </c>
      <c r="N294" s="38">
        <v>1315</v>
      </c>
      <c r="O294" s="38">
        <f t="shared" si="274"/>
        <v>878</v>
      </c>
      <c r="P294" s="38">
        <v>265</v>
      </c>
      <c r="Q294" s="38">
        <v>31</v>
      </c>
      <c r="R294" s="38">
        <v>141</v>
      </c>
      <c r="S294" s="38">
        <v>586</v>
      </c>
      <c r="T294" s="38">
        <v>57</v>
      </c>
      <c r="U294" s="38">
        <f t="shared" si="275"/>
        <v>3467</v>
      </c>
      <c r="V294">
        <v>1182</v>
      </c>
      <c r="W294">
        <v>82</v>
      </c>
      <c r="X294">
        <v>29</v>
      </c>
      <c r="Y294">
        <v>36</v>
      </c>
      <c r="Z294">
        <v>769</v>
      </c>
      <c r="AA294">
        <v>704</v>
      </c>
      <c r="AB294">
        <v>4.37</v>
      </c>
      <c r="AC294">
        <v>2</v>
      </c>
      <c r="AD294">
        <v>9</v>
      </c>
      <c r="AE294">
        <v>45</v>
      </c>
      <c r="AF294" s="45">
        <f t="shared" ca="1" si="262"/>
        <v>6153</v>
      </c>
      <c r="AG294" s="45">
        <f t="shared" ca="1" si="276"/>
        <v>1349</v>
      </c>
      <c r="AH294" s="45">
        <f t="shared" ca="1" si="277"/>
        <v>912</v>
      </c>
      <c r="AI294" s="45">
        <f t="shared" ca="1" si="278"/>
        <v>258</v>
      </c>
      <c r="AJ294" s="45">
        <f t="shared" ca="1" si="279"/>
        <v>40</v>
      </c>
      <c r="AK294" s="45">
        <f t="shared" ca="1" si="280"/>
        <v>139</v>
      </c>
      <c r="AL294" s="45">
        <f t="shared" ca="1" si="281"/>
        <v>501</v>
      </c>
      <c r="AM294" s="45">
        <f t="shared" ca="1" si="282"/>
        <v>86</v>
      </c>
      <c r="AN294" s="45">
        <f t="shared" ca="1" si="283"/>
        <v>4217</v>
      </c>
      <c r="AO294">
        <v>4352</v>
      </c>
      <c r="AP294">
        <v>1422</v>
      </c>
      <c r="AQ294">
        <v>167</v>
      </c>
      <c r="AR294">
        <v>603</v>
      </c>
      <c r="AS294">
        <v>1187</v>
      </c>
      <c r="AT294">
        <v>94</v>
      </c>
      <c r="AU294">
        <v>146</v>
      </c>
      <c r="AV294">
        <v>0.98399999999999999</v>
      </c>
      <c r="AW294" s="1"/>
      <c r="AX294" s="1"/>
      <c r="AY294" s="47">
        <f t="shared" si="284"/>
        <v>29700</v>
      </c>
      <c r="AZ294" s="49">
        <f t="shared" si="285"/>
        <v>165849</v>
      </c>
      <c r="BA294" s="49">
        <f t="shared" ref="BA294" si="318">SUMIF($B$2:$B$571,$B294,$S$2:$S$571)</f>
        <v>16620</v>
      </c>
      <c r="BB294" s="48">
        <f t="shared" si="287"/>
        <v>0.10021163829748747</v>
      </c>
    </row>
    <row r="295" spans="2:54" x14ac:dyDescent="0.2">
      <c r="B295" s="3">
        <v>2009</v>
      </c>
      <c r="C295" t="s">
        <v>86</v>
      </c>
      <c r="D295" t="s">
        <v>87</v>
      </c>
      <c r="E295">
        <v>3</v>
      </c>
      <c r="F295" t="s">
        <v>38</v>
      </c>
      <c r="G295" t="s">
        <v>38</v>
      </c>
      <c r="H295" t="s">
        <v>38</v>
      </c>
      <c r="I295" t="s">
        <v>38</v>
      </c>
      <c r="J295">
        <v>85</v>
      </c>
      <c r="K295">
        <v>77</v>
      </c>
      <c r="L295">
        <v>640</v>
      </c>
      <c r="M295" s="38">
        <v>5543</v>
      </c>
      <c r="N295" s="38">
        <v>1430</v>
      </c>
      <c r="O295" s="38">
        <f t="shared" si="274"/>
        <v>971</v>
      </c>
      <c r="P295" s="38">
        <v>280</v>
      </c>
      <c r="Q295" s="38">
        <v>19</v>
      </c>
      <c r="R295" s="38">
        <v>160</v>
      </c>
      <c r="S295" s="38">
        <v>421</v>
      </c>
      <c r="T295" s="38">
        <v>49</v>
      </c>
      <c r="U295" s="38">
        <f t="shared" si="275"/>
        <v>3643</v>
      </c>
      <c r="V295">
        <v>1093</v>
      </c>
      <c r="W295">
        <v>89</v>
      </c>
      <c r="X295">
        <v>33</v>
      </c>
      <c r="Y295">
        <v>44</v>
      </c>
      <c r="Z295">
        <v>692</v>
      </c>
      <c r="AA295">
        <v>625</v>
      </c>
      <c r="AB295">
        <v>3.87</v>
      </c>
      <c r="AC295">
        <v>4</v>
      </c>
      <c r="AD295">
        <v>10</v>
      </c>
      <c r="AE295">
        <v>49</v>
      </c>
      <c r="AF295" s="45">
        <f t="shared" ca="1" si="262"/>
        <v>6066</v>
      </c>
      <c r="AG295" s="45">
        <f t="shared" ca="1" si="276"/>
        <v>1642</v>
      </c>
      <c r="AH295" s="45">
        <f t="shared" ca="1" si="277"/>
        <v>1005</v>
      </c>
      <c r="AI295" s="45">
        <f t="shared" ca="1" si="278"/>
        <v>374</v>
      </c>
      <c r="AJ295" s="45">
        <f t="shared" ca="1" si="279"/>
        <v>48</v>
      </c>
      <c r="AK295" s="45">
        <f t="shared" ca="1" si="280"/>
        <v>215</v>
      </c>
      <c r="AL295" s="45">
        <f t="shared" ca="1" si="281"/>
        <v>471</v>
      </c>
      <c r="AM295" s="45">
        <f t="shared" ca="1" si="282"/>
        <v>56</v>
      </c>
      <c r="AN295" s="45">
        <f t="shared" ca="1" si="283"/>
        <v>3897</v>
      </c>
      <c r="AO295">
        <v>4358</v>
      </c>
      <c r="AP295">
        <v>1359</v>
      </c>
      <c r="AQ295">
        <v>172</v>
      </c>
      <c r="AR295">
        <v>534</v>
      </c>
      <c r="AS295">
        <v>1043</v>
      </c>
      <c r="AT295">
        <v>105</v>
      </c>
      <c r="AU295">
        <v>150</v>
      </c>
      <c r="AV295">
        <v>0.98199999999999998</v>
      </c>
      <c r="AW295" s="1"/>
      <c r="AX295" s="1"/>
      <c r="AY295" s="47">
        <f t="shared" si="284"/>
        <v>29700</v>
      </c>
      <c r="AZ295" s="49">
        <f t="shared" si="285"/>
        <v>165849</v>
      </c>
      <c r="BA295" s="49">
        <f t="shared" ref="BA295" si="319">SUMIF($B$2:$B$571,$B295,$T$2:$T$571)</f>
        <v>1590</v>
      </c>
      <c r="BB295" s="48">
        <f t="shared" si="287"/>
        <v>9.5870339887488016E-3</v>
      </c>
    </row>
    <row r="296" spans="2:54" x14ac:dyDescent="0.2">
      <c r="B296" s="3">
        <v>2009</v>
      </c>
      <c r="C296" t="s">
        <v>88</v>
      </c>
      <c r="D296" t="s">
        <v>89</v>
      </c>
      <c r="E296">
        <v>3</v>
      </c>
      <c r="F296" t="s">
        <v>38</v>
      </c>
      <c r="G296" t="s">
        <v>38</v>
      </c>
      <c r="H296" t="s">
        <v>38</v>
      </c>
      <c r="I296" t="s">
        <v>38</v>
      </c>
      <c r="J296">
        <v>88</v>
      </c>
      <c r="K296">
        <v>74</v>
      </c>
      <c r="L296">
        <v>657</v>
      </c>
      <c r="M296" s="38">
        <v>5493</v>
      </c>
      <c r="N296" s="38">
        <v>1411</v>
      </c>
      <c r="O296" s="38">
        <f t="shared" si="274"/>
        <v>971</v>
      </c>
      <c r="P296" s="38">
        <v>275</v>
      </c>
      <c r="Q296" s="38">
        <v>43</v>
      </c>
      <c r="R296" s="38">
        <v>122</v>
      </c>
      <c r="S296" s="38">
        <v>392</v>
      </c>
      <c r="T296" s="38">
        <v>50</v>
      </c>
      <c r="U296" s="38">
        <f t="shared" si="275"/>
        <v>3640</v>
      </c>
      <c r="V296">
        <v>1158</v>
      </c>
      <c r="W296">
        <v>78</v>
      </c>
      <c r="X296">
        <v>28</v>
      </c>
      <c r="Y296">
        <v>55</v>
      </c>
      <c r="Z296">
        <v>611</v>
      </c>
      <c r="AA296">
        <v>571</v>
      </c>
      <c r="AB296">
        <v>3.55</v>
      </c>
      <c r="AC296">
        <v>11</v>
      </c>
      <c r="AD296">
        <v>18</v>
      </c>
      <c r="AE296">
        <v>41</v>
      </c>
      <c r="AF296" s="45">
        <f t="shared" ca="1" si="262"/>
        <v>6433</v>
      </c>
      <c r="AG296" s="45">
        <f t="shared" ca="1" si="276"/>
        <v>1684</v>
      </c>
      <c r="AH296" s="45">
        <f t="shared" ca="1" si="277"/>
        <v>1111</v>
      </c>
      <c r="AI296" s="45">
        <f t="shared" ca="1" si="278"/>
        <v>370</v>
      </c>
      <c r="AJ296" s="45">
        <f t="shared" ca="1" si="279"/>
        <v>44</v>
      </c>
      <c r="AK296" s="45">
        <f t="shared" ca="1" si="280"/>
        <v>159</v>
      </c>
      <c r="AL296" s="45">
        <f t="shared" ca="1" si="281"/>
        <v>592</v>
      </c>
      <c r="AM296" s="45">
        <f t="shared" ca="1" si="282"/>
        <v>86</v>
      </c>
      <c r="AN296" s="45">
        <f t="shared" ca="1" si="283"/>
        <v>4071</v>
      </c>
      <c r="AO296">
        <v>4338</v>
      </c>
      <c r="AP296">
        <v>1268</v>
      </c>
      <c r="AQ296">
        <v>140</v>
      </c>
      <c r="AR296">
        <v>584</v>
      </c>
      <c r="AS296">
        <v>1302</v>
      </c>
      <c r="AT296">
        <v>88</v>
      </c>
      <c r="AU296">
        <v>138</v>
      </c>
      <c r="AV296">
        <v>0.98499999999999999</v>
      </c>
      <c r="AW296" s="1"/>
      <c r="AX296" s="1"/>
      <c r="AY296" s="47">
        <f t="shared" si="284"/>
        <v>29700</v>
      </c>
      <c r="AZ296" s="49">
        <f t="shared" si="285"/>
        <v>165849</v>
      </c>
      <c r="BA296" s="49">
        <f t="shared" ref="BA296" si="320">SUMIF($B$2:$B$571,$B296,$U$2:$U$571)</f>
        <v>104115</v>
      </c>
      <c r="BB296" s="48">
        <f t="shared" si="287"/>
        <v>0.62776983882929649</v>
      </c>
    </row>
    <row r="297" spans="2:54" x14ac:dyDescent="0.2">
      <c r="B297" s="3">
        <v>2009</v>
      </c>
      <c r="C297" t="s">
        <v>90</v>
      </c>
      <c r="D297" t="s">
        <v>91</v>
      </c>
      <c r="E297">
        <v>1</v>
      </c>
      <c r="F297" t="s">
        <v>43</v>
      </c>
      <c r="G297" t="s">
        <v>38</v>
      </c>
      <c r="H297" t="s">
        <v>38</v>
      </c>
      <c r="I297" t="s">
        <v>38</v>
      </c>
      <c r="J297">
        <v>91</v>
      </c>
      <c r="K297">
        <v>71</v>
      </c>
      <c r="L297">
        <v>730</v>
      </c>
      <c r="M297" s="38">
        <v>5465</v>
      </c>
      <c r="N297" s="38">
        <v>1436</v>
      </c>
      <c r="O297" s="38">
        <f t="shared" si="274"/>
        <v>953</v>
      </c>
      <c r="P297" s="38">
        <v>294</v>
      </c>
      <c r="Q297" s="38">
        <v>29</v>
      </c>
      <c r="R297" s="38">
        <v>160</v>
      </c>
      <c r="S297" s="38">
        <v>528</v>
      </c>
      <c r="T297" s="38">
        <v>61</v>
      </c>
      <c r="U297" s="38">
        <f t="shared" si="275"/>
        <v>3440</v>
      </c>
      <c r="V297">
        <v>1041</v>
      </c>
      <c r="W297">
        <v>75</v>
      </c>
      <c r="X297">
        <v>31</v>
      </c>
      <c r="Y297">
        <v>43</v>
      </c>
      <c r="Z297">
        <v>640</v>
      </c>
      <c r="AA297">
        <v>586</v>
      </c>
      <c r="AB297">
        <v>3.66</v>
      </c>
      <c r="AC297">
        <v>8</v>
      </c>
      <c r="AD297">
        <v>11</v>
      </c>
      <c r="AE297">
        <v>43</v>
      </c>
      <c r="AF297" s="45">
        <f t="shared" ca="1" si="262"/>
        <v>6274</v>
      </c>
      <c r="AG297" s="45">
        <f t="shared" ca="1" si="276"/>
        <v>1492</v>
      </c>
      <c r="AH297" s="45">
        <f t="shared" ca="1" si="277"/>
        <v>1005</v>
      </c>
      <c r="AI297" s="45">
        <f t="shared" ca="1" si="278"/>
        <v>257</v>
      </c>
      <c r="AJ297" s="45">
        <f t="shared" ca="1" si="279"/>
        <v>38</v>
      </c>
      <c r="AK297" s="45">
        <f t="shared" ca="1" si="280"/>
        <v>192</v>
      </c>
      <c r="AL297" s="45">
        <f t="shared" ca="1" si="281"/>
        <v>593</v>
      </c>
      <c r="AM297" s="45">
        <f t="shared" ca="1" si="282"/>
        <v>42</v>
      </c>
      <c r="AN297" s="45">
        <f t="shared" ca="1" si="283"/>
        <v>4147</v>
      </c>
      <c r="AO297">
        <v>4322</v>
      </c>
      <c r="AP297">
        <v>1407</v>
      </c>
      <c r="AQ297">
        <v>123</v>
      </c>
      <c r="AR297">
        <v>460</v>
      </c>
      <c r="AS297">
        <v>1049</v>
      </c>
      <c r="AT297">
        <v>96</v>
      </c>
      <c r="AU297">
        <v>167</v>
      </c>
      <c r="AV297">
        <v>0.98499999999999999</v>
      </c>
      <c r="AW297" s="1"/>
      <c r="AX297" s="1"/>
      <c r="AY297" s="47">
        <f t="shared" si="284"/>
        <v>29700</v>
      </c>
      <c r="AZ297" s="49">
        <f t="shared" si="285"/>
        <v>165849</v>
      </c>
      <c r="BA297" s="49"/>
      <c r="BB297" s="48">
        <f t="shared" si="287"/>
        <v>0</v>
      </c>
    </row>
    <row r="298" spans="2:54" x14ac:dyDescent="0.2">
      <c r="B298" s="3">
        <v>2009</v>
      </c>
      <c r="C298" t="s">
        <v>102</v>
      </c>
      <c r="D298" t="s">
        <v>93</v>
      </c>
      <c r="E298">
        <v>3</v>
      </c>
      <c r="F298" t="s">
        <v>38</v>
      </c>
      <c r="G298" t="s">
        <v>38</v>
      </c>
      <c r="H298" t="s">
        <v>38</v>
      </c>
      <c r="I298" t="s">
        <v>38</v>
      </c>
      <c r="J298">
        <v>84</v>
      </c>
      <c r="K298">
        <v>78</v>
      </c>
      <c r="L298">
        <v>803</v>
      </c>
      <c r="M298" s="38">
        <v>5462</v>
      </c>
      <c r="N298" s="38">
        <v>1434</v>
      </c>
      <c r="O298" s="38">
        <f t="shared" si="274"/>
        <v>902</v>
      </c>
      <c r="P298" s="38">
        <v>297</v>
      </c>
      <c r="Q298" s="38">
        <v>36</v>
      </c>
      <c r="R298" s="38">
        <v>199</v>
      </c>
      <c r="S298" s="38">
        <v>642</v>
      </c>
      <c r="T298" s="38">
        <v>49</v>
      </c>
      <c r="U298" s="38">
        <f t="shared" si="275"/>
        <v>3337</v>
      </c>
      <c r="V298">
        <v>1229</v>
      </c>
      <c r="W298">
        <v>194</v>
      </c>
      <c r="X298">
        <v>61</v>
      </c>
      <c r="Y298">
        <v>45</v>
      </c>
      <c r="Z298">
        <v>754</v>
      </c>
      <c r="AA298">
        <v>686</v>
      </c>
      <c r="AB298">
        <v>4.33</v>
      </c>
      <c r="AC298">
        <v>3</v>
      </c>
      <c r="AD298">
        <v>5</v>
      </c>
      <c r="AE298">
        <v>41</v>
      </c>
      <c r="AF298" s="45">
        <f t="shared" ca="1" si="262"/>
        <v>6353</v>
      </c>
      <c r="AG298" s="45">
        <f t="shared" ca="1" si="276"/>
        <v>1514</v>
      </c>
      <c r="AH298" s="45">
        <f t="shared" ca="1" si="277"/>
        <v>864</v>
      </c>
      <c r="AI298" s="45">
        <f t="shared" ca="1" si="278"/>
        <v>379</v>
      </c>
      <c r="AJ298" s="45">
        <f t="shared" ca="1" si="279"/>
        <v>34</v>
      </c>
      <c r="AK298" s="45">
        <f t="shared" ca="1" si="280"/>
        <v>237</v>
      </c>
      <c r="AL298" s="45">
        <f t="shared" ca="1" si="281"/>
        <v>498</v>
      </c>
      <c r="AM298" s="45">
        <f t="shared" ca="1" si="282"/>
        <v>36</v>
      </c>
      <c r="AN298" s="45">
        <f t="shared" ca="1" si="283"/>
        <v>4305</v>
      </c>
      <c r="AO298">
        <v>4282</v>
      </c>
      <c r="AP298">
        <v>1421</v>
      </c>
      <c r="AQ298">
        <v>183</v>
      </c>
      <c r="AR298">
        <v>515</v>
      </c>
      <c r="AS298">
        <v>1125</v>
      </c>
      <c r="AT298">
        <v>98</v>
      </c>
      <c r="AU298">
        <v>135</v>
      </c>
      <c r="AV298">
        <v>0.98299999999999998</v>
      </c>
      <c r="AW298" s="1"/>
      <c r="AX298" s="1"/>
      <c r="AY298" s="47">
        <f t="shared" si="284"/>
        <v>29700</v>
      </c>
      <c r="AZ298" s="49">
        <f t="shared" si="285"/>
        <v>165849</v>
      </c>
      <c r="BA298" s="49">
        <f t="shared" ref="BA298" si="321">SUMIF($B$2:$B$571,$B298,$O$2:$O$571)</f>
        <v>28796</v>
      </c>
      <c r="BB298" s="48">
        <f t="shared" si="287"/>
        <v>0.17362781807547831</v>
      </c>
    </row>
    <row r="299" spans="2:54" x14ac:dyDescent="0.2">
      <c r="B299" s="3">
        <v>2009</v>
      </c>
      <c r="C299" t="s">
        <v>94</v>
      </c>
      <c r="D299" t="s">
        <v>95</v>
      </c>
      <c r="E299">
        <v>2</v>
      </c>
      <c r="F299" t="s">
        <v>38</v>
      </c>
      <c r="G299" t="s">
        <v>38</v>
      </c>
      <c r="H299" t="s">
        <v>38</v>
      </c>
      <c r="I299" t="s">
        <v>38</v>
      </c>
      <c r="J299">
        <v>87</v>
      </c>
      <c r="K299">
        <v>75</v>
      </c>
      <c r="L299">
        <v>784</v>
      </c>
      <c r="M299" s="38">
        <v>5526</v>
      </c>
      <c r="N299" s="38">
        <v>1436</v>
      </c>
      <c r="O299" s="38">
        <f t="shared" si="274"/>
        <v>889</v>
      </c>
      <c r="P299" s="38">
        <v>296</v>
      </c>
      <c r="Q299" s="38">
        <v>27</v>
      </c>
      <c r="R299" s="38">
        <v>224</v>
      </c>
      <c r="S299" s="38">
        <v>472</v>
      </c>
      <c r="T299" s="38">
        <v>37</v>
      </c>
      <c r="U299" s="38">
        <f t="shared" si="275"/>
        <v>3581</v>
      </c>
      <c r="V299">
        <v>1253</v>
      </c>
      <c r="W299">
        <v>149</v>
      </c>
      <c r="X299">
        <v>36</v>
      </c>
      <c r="Y299">
        <v>51</v>
      </c>
      <c r="Z299">
        <v>740</v>
      </c>
      <c r="AA299">
        <v>698</v>
      </c>
      <c r="AB299">
        <v>4.38</v>
      </c>
      <c r="AC299">
        <v>8</v>
      </c>
      <c r="AD299">
        <v>11</v>
      </c>
      <c r="AE299">
        <v>45</v>
      </c>
      <c r="AF299" s="45">
        <f t="shared" ca="1" si="262"/>
        <v>6230</v>
      </c>
      <c r="AG299" s="45">
        <f t="shared" ca="1" si="276"/>
        <v>1545</v>
      </c>
      <c r="AH299" s="45">
        <f t="shared" ca="1" si="277"/>
        <v>1057</v>
      </c>
      <c r="AI299" s="45">
        <f t="shared" ca="1" si="278"/>
        <v>314</v>
      </c>
      <c r="AJ299" s="45">
        <f t="shared" ca="1" si="279"/>
        <v>24</v>
      </c>
      <c r="AK299" s="45">
        <f t="shared" ca="1" si="280"/>
        <v>150</v>
      </c>
      <c r="AL299" s="45">
        <f t="shared" ca="1" si="281"/>
        <v>576</v>
      </c>
      <c r="AM299" s="45">
        <f t="shared" ca="1" si="282"/>
        <v>49</v>
      </c>
      <c r="AN299" s="45">
        <f t="shared" ca="1" si="283"/>
        <v>4060</v>
      </c>
      <c r="AO299">
        <v>4304</v>
      </c>
      <c r="AP299">
        <v>1432</v>
      </c>
      <c r="AQ299">
        <v>171</v>
      </c>
      <c r="AR299">
        <v>531</v>
      </c>
      <c r="AS299">
        <v>1016</v>
      </c>
      <c r="AT299">
        <v>106</v>
      </c>
      <c r="AU299">
        <v>168</v>
      </c>
      <c r="AV299">
        <v>0.98199999999999998</v>
      </c>
      <c r="AW299" s="1"/>
      <c r="AX299" s="1"/>
      <c r="AY299" s="47">
        <f t="shared" si="284"/>
        <v>29700</v>
      </c>
      <c r="AZ299" s="49">
        <f t="shared" si="285"/>
        <v>165849</v>
      </c>
      <c r="BA299" s="49">
        <f t="shared" ref="BA299" si="322">SUMIF($B$2:$B$571,$B299,$P$2:$P$571)</f>
        <v>8737</v>
      </c>
      <c r="BB299" s="48">
        <f t="shared" si="287"/>
        <v>5.2680450289118413E-2</v>
      </c>
    </row>
    <row r="300" spans="2:54" x14ac:dyDescent="0.2">
      <c r="B300" s="3">
        <v>2009</v>
      </c>
      <c r="C300" t="s">
        <v>96</v>
      </c>
      <c r="D300" t="s">
        <v>97</v>
      </c>
      <c r="E300">
        <v>4</v>
      </c>
      <c r="F300" t="s">
        <v>38</v>
      </c>
      <c r="G300" t="s">
        <v>38</v>
      </c>
      <c r="H300" t="s">
        <v>38</v>
      </c>
      <c r="I300" t="s">
        <v>38</v>
      </c>
      <c r="J300">
        <v>75</v>
      </c>
      <c r="K300">
        <v>87</v>
      </c>
      <c r="L300">
        <v>798</v>
      </c>
      <c r="M300" s="38">
        <v>5696</v>
      </c>
      <c r="N300" s="38">
        <v>1516</v>
      </c>
      <c r="O300" s="38">
        <f t="shared" si="274"/>
        <v>955</v>
      </c>
      <c r="P300" s="38">
        <v>339</v>
      </c>
      <c r="Q300" s="38">
        <v>13</v>
      </c>
      <c r="R300" s="38">
        <v>209</v>
      </c>
      <c r="S300" s="38">
        <v>548</v>
      </c>
      <c r="T300" s="38">
        <v>45</v>
      </c>
      <c r="U300" s="38">
        <f t="shared" si="275"/>
        <v>3587</v>
      </c>
      <c r="V300">
        <v>1028</v>
      </c>
      <c r="W300">
        <v>73</v>
      </c>
      <c r="X300">
        <v>23</v>
      </c>
      <c r="Y300">
        <v>49</v>
      </c>
      <c r="Z300">
        <v>771</v>
      </c>
      <c r="AA300">
        <v>720</v>
      </c>
      <c r="AB300">
        <v>4.47</v>
      </c>
      <c r="AC300">
        <v>10</v>
      </c>
      <c r="AD300">
        <v>10</v>
      </c>
      <c r="AE300">
        <v>25</v>
      </c>
      <c r="AF300" s="45">
        <f t="shared" ca="1" si="262"/>
        <v>6093</v>
      </c>
      <c r="AG300" s="45">
        <f t="shared" ca="1" si="276"/>
        <v>1592</v>
      </c>
      <c r="AH300" s="45">
        <f t="shared" ca="1" si="277"/>
        <v>1113</v>
      </c>
      <c r="AI300" s="45">
        <f t="shared" ca="1" si="278"/>
        <v>305</v>
      </c>
      <c r="AJ300" s="45">
        <f t="shared" ca="1" si="279"/>
        <v>32</v>
      </c>
      <c r="AK300" s="45">
        <f t="shared" ca="1" si="280"/>
        <v>142</v>
      </c>
      <c r="AL300" s="45">
        <f t="shared" ca="1" si="281"/>
        <v>459</v>
      </c>
      <c r="AM300" s="45">
        <f t="shared" ca="1" si="282"/>
        <v>48</v>
      </c>
      <c r="AN300" s="45">
        <f t="shared" ca="1" si="283"/>
        <v>3994</v>
      </c>
      <c r="AO300">
        <v>4353</v>
      </c>
      <c r="AP300">
        <v>1509</v>
      </c>
      <c r="AQ300">
        <v>181</v>
      </c>
      <c r="AR300">
        <v>551</v>
      </c>
      <c r="AS300">
        <v>1181</v>
      </c>
      <c r="AT300">
        <v>76</v>
      </c>
      <c r="AU300">
        <v>168</v>
      </c>
      <c r="AV300">
        <v>0.98799999999999999</v>
      </c>
      <c r="AW300" s="1"/>
      <c r="AX300" s="1"/>
      <c r="AY300" s="47">
        <f t="shared" si="284"/>
        <v>29700</v>
      </c>
      <c r="AZ300" s="49">
        <f t="shared" si="285"/>
        <v>165849</v>
      </c>
      <c r="BA300" s="49">
        <f t="shared" ref="BA300" si="323">SUMIF($B$2:$B$571,$B300,$Q$2:$Q$571)</f>
        <v>949</v>
      </c>
      <c r="BB300" s="48">
        <f t="shared" si="287"/>
        <v>5.7220724876242846E-3</v>
      </c>
    </row>
    <row r="301" spans="2:54" x14ac:dyDescent="0.2">
      <c r="B301" s="3">
        <v>2009</v>
      </c>
      <c r="C301" t="s">
        <v>100</v>
      </c>
      <c r="D301" t="s">
        <v>101</v>
      </c>
      <c r="E301">
        <v>5</v>
      </c>
      <c r="F301" t="s">
        <v>38</v>
      </c>
      <c r="G301" t="s">
        <v>38</v>
      </c>
      <c r="H301" t="s">
        <v>38</v>
      </c>
      <c r="I301" t="s">
        <v>38</v>
      </c>
      <c r="J301">
        <v>59</v>
      </c>
      <c r="K301">
        <v>103</v>
      </c>
      <c r="L301">
        <v>710</v>
      </c>
      <c r="M301" s="38">
        <v>5493</v>
      </c>
      <c r="N301" s="38">
        <v>1416</v>
      </c>
      <c r="O301" s="38">
        <f t="shared" si="274"/>
        <v>951</v>
      </c>
      <c r="P301" s="38">
        <v>271</v>
      </c>
      <c r="Q301" s="38">
        <v>38</v>
      </c>
      <c r="R301" s="38">
        <v>156</v>
      </c>
      <c r="S301" s="38">
        <v>617</v>
      </c>
      <c r="T301" s="38">
        <v>56</v>
      </c>
      <c r="U301" s="38">
        <f t="shared" si="275"/>
        <v>3404</v>
      </c>
      <c r="V301">
        <v>1208</v>
      </c>
      <c r="W301">
        <v>73</v>
      </c>
      <c r="X301">
        <v>40</v>
      </c>
      <c r="Y301">
        <v>42</v>
      </c>
      <c r="Z301">
        <v>874</v>
      </c>
      <c r="AA301">
        <v>791</v>
      </c>
      <c r="AB301">
        <v>5</v>
      </c>
      <c r="AC301">
        <v>6</v>
      </c>
      <c r="AD301">
        <v>3</v>
      </c>
      <c r="AE301">
        <v>33</v>
      </c>
      <c r="AF301" s="45">
        <f t="shared" ca="1" si="262"/>
        <v>6408</v>
      </c>
      <c r="AG301" s="45">
        <f t="shared" ca="1" si="276"/>
        <v>1679</v>
      </c>
      <c r="AH301" s="45">
        <f t="shared" ca="1" si="277"/>
        <v>1184</v>
      </c>
      <c r="AI301" s="45">
        <f t="shared" ca="1" si="278"/>
        <v>233</v>
      </c>
      <c r="AJ301" s="45">
        <f t="shared" ca="1" si="279"/>
        <v>22</v>
      </c>
      <c r="AK301" s="45">
        <f t="shared" ca="1" si="280"/>
        <v>240</v>
      </c>
      <c r="AL301" s="45">
        <f t="shared" ca="1" si="281"/>
        <v>520</v>
      </c>
      <c r="AM301" s="45">
        <f t="shared" ca="1" si="282"/>
        <v>71</v>
      </c>
      <c r="AN301" s="45">
        <f t="shared" ca="1" si="283"/>
        <v>4138</v>
      </c>
      <c r="AO301">
        <v>4273</v>
      </c>
      <c r="AP301">
        <v>1533</v>
      </c>
      <c r="AQ301">
        <v>173</v>
      </c>
      <c r="AR301">
        <v>629</v>
      </c>
      <c r="AS301">
        <v>911</v>
      </c>
      <c r="AT301">
        <v>143</v>
      </c>
      <c r="AU301">
        <v>155</v>
      </c>
      <c r="AV301">
        <v>0.97699999999999998</v>
      </c>
      <c r="AW301" s="1"/>
      <c r="AX301" s="1"/>
      <c r="AY301" s="47">
        <f t="shared" si="284"/>
        <v>29700</v>
      </c>
      <c r="AZ301" s="49">
        <f t="shared" si="285"/>
        <v>165849</v>
      </c>
      <c r="BA301" s="49">
        <f t="shared" ref="BA301" si="324">SUMIF($B$2:$B$571,$B301,$R$2:$R$571)</f>
        <v>5042</v>
      </c>
      <c r="BB301" s="48">
        <f t="shared" si="287"/>
        <v>3.0401148032246198E-2</v>
      </c>
    </row>
    <row r="302" spans="2:54" x14ac:dyDescent="0.2">
      <c r="B302" s="3">
        <v>2010</v>
      </c>
      <c r="C302" t="s">
        <v>39</v>
      </c>
      <c r="D302" t="s">
        <v>40</v>
      </c>
      <c r="E302">
        <v>5</v>
      </c>
      <c r="F302" t="s">
        <v>38</v>
      </c>
      <c r="G302" t="s">
        <v>38</v>
      </c>
      <c r="H302" t="s">
        <v>38</v>
      </c>
      <c r="I302" t="s">
        <v>38</v>
      </c>
      <c r="J302">
        <v>65</v>
      </c>
      <c r="K302">
        <v>97</v>
      </c>
      <c r="L302">
        <v>713</v>
      </c>
      <c r="M302" s="38">
        <v>5473</v>
      </c>
      <c r="N302" s="38">
        <v>1366</v>
      </c>
      <c r="O302" s="38">
        <f t="shared" si="274"/>
        <v>851</v>
      </c>
      <c r="P302" s="38">
        <v>301</v>
      </c>
      <c r="Q302" s="38">
        <v>34</v>
      </c>
      <c r="R302" s="38">
        <v>180</v>
      </c>
      <c r="S302" s="38">
        <v>589</v>
      </c>
      <c r="T302" s="38">
        <v>39</v>
      </c>
      <c r="U302" s="38">
        <f t="shared" si="275"/>
        <v>3479</v>
      </c>
      <c r="V302">
        <v>1529</v>
      </c>
      <c r="W302">
        <v>86</v>
      </c>
      <c r="X302">
        <v>41</v>
      </c>
      <c r="Y302">
        <v>41</v>
      </c>
      <c r="Z302">
        <v>836</v>
      </c>
      <c r="AA302">
        <v>765</v>
      </c>
      <c r="AB302">
        <v>4.8099999999999996</v>
      </c>
      <c r="AC302">
        <v>3</v>
      </c>
      <c r="AD302">
        <v>3</v>
      </c>
      <c r="AE302">
        <v>35</v>
      </c>
      <c r="AF302" s="45">
        <f t="shared" ca="1" si="262"/>
        <v>6185</v>
      </c>
      <c r="AG302" s="45">
        <f t="shared" ca="1" si="276"/>
        <v>1643</v>
      </c>
      <c r="AH302" s="45">
        <f t="shared" ca="1" si="277"/>
        <v>1113</v>
      </c>
      <c r="AI302" s="45">
        <f t="shared" ca="1" si="278"/>
        <v>284</v>
      </c>
      <c r="AJ302" s="45">
        <f t="shared" ca="1" si="279"/>
        <v>49</v>
      </c>
      <c r="AK302" s="45">
        <f t="shared" ca="1" si="280"/>
        <v>197</v>
      </c>
      <c r="AL302" s="45">
        <f t="shared" ca="1" si="281"/>
        <v>409</v>
      </c>
      <c r="AM302" s="45">
        <f t="shared" ca="1" si="282"/>
        <v>30</v>
      </c>
      <c r="AN302" s="45">
        <f t="shared" ca="1" si="283"/>
        <v>4103</v>
      </c>
      <c r="AO302">
        <v>4296</v>
      </c>
      <c r="AP302">
        <v>1503</v>
      </c>
      <c r="AQ302">
        <v>210</v>
      </c>
      <c r="AR302">
        <v>548</v>
      </c>
      <c r="AS302">
        <v>1070</v>
      </c>
      <c r="AT302">
        <v>102</v>
      </c>
      <c r="AU302">
        <v>152</v>
      </c>
      <c r="AV302">
        <v>0.98299999999999998</v>
      </c>
      <c r="AW302" s="1"/>
      <c r="AX302" s="1"/>
      <c r="AY302" s="47">
        <f t="shared" si="284"/>
        <v>29700</v>
      </c>
      <c r="AZ302" s="49">
        <f t="shared" si="285"/>
        <v>165353</v>
      </c>
      <c r="BA302" s="49">
        <f t="shared" ref="BA302" si="325">SUMIF($B$2:$B$571,$B302,$S$2:$S$571)</f>
        <v>15778</v>
      </c>
      <c r="BB302" s="48">
        <f t="shared" si="287"/>
        <v>9.5420101237957577E-2</v>
      </c>
    </row>
    <row r="303" spans="2:54" x14ac:dyDescent="0.2">
      <c r="B303" s="3">
        <v>2010</v>
      </c>
      <c r="C303" t="s">
        <v>41</v>
      </c>
      <c r="D303" t="s">
        <v>42</v>
      </c>
      <c r="E303">
        <v>2</v>
      </c>
      <c r="F303" t="s">
        <v>38</v>
      </c>
      <c r="G303" t="s">
        <v>43</v>
      </c>
      <c r="H303" t="s">
        <v>38</v>
      </c>
      <c r="I303" t="s">
        <v>38</v>
      </c>
      <c r="J303">
        <v>91</v>
      </c>
      <c r="K303">
        <v>71</v>
      </c>
      <c r="L303">
        <v>738</v>
      </c>
      <c r="M303" s="38">
        <v>5463</v>
      </c>
      <c r="N303" s="38">
        <v>1411</v>
      </c>
      <c r="O303" s="38">
        <f t="shared" si="274"/>
        <v>935</v>
      </c>
      <c r="P303" s="38">
        <v>312</v>
      </c>
      <c r="Q303" s="38">
        <v>25</v>
      </c>
      <c r="R303" s="38">
        <v>139</v>
      </c>
      <c r="S303" s="38">
        <v>634</v>
      </c>
      <c r="T303" s="38">
        <v>51</v>
      </c>
      <c r="U303" s="38">
        <f t="shared" si="275"/>
        <v>3367</v>
      </c>
      <c r="V303">
        <v>1140</v>
      </c>
      <c r="W303">
        <v>63</v>
      </c>
      <c r="X303">
        <v>29</v>
      </c>
      <c r="Y303">
        <v>35</v>
      </c>
      <c r="Z303">
        <v>629</v>
      </c>
      <c r="AA303">
        <v>569</v>
      </c>
      <c r="AB303">
        <v>3.56</v>
      </c>
      <c r="AC303">
        <v>2</v>
      </c>
      <c r="AD303">
        <v>9</v>
      </c>
      <c r="AE303">
        <v>41</v>
      </c>
      <c r="AF303" s="45">
        <f t="shared" ca="1" si="262"/>
        <v>6334</v>
      </c>
      <c r="AG303" s="45">
        <f t="shared" ca="1" si="276"/>
        <v>1480</v>
      </c>
      <c r="AH303" s="45">
        <f t="shared" ca="1" si="277"/>
        <v>1022</v>
      </c>
      <c r="AI303" s="45">
        <f t="shared" ca="1" si="278"/>
        <v>260</v>
      </c>
      <c r="AJ303" s="45">
        <f t="shared" ca="1" si="279"/>
        <v>40</v>
      </c>
      <c r="AK303" s="45">
        <f t="shared" ca="1" si="280"/>
        <v>158</v>
      </c>
      <c r="AL303" s="45">
        <f t="shared" ca="1" si="281"/>
        <v>404</v>
      </c>
      <c r="AM303" s="45">
        <f t="shared" ca="1" si="282"/>
        <v>83</v>
      </c>
      <c r="AN303" s="45">
        <f t="shared" ca="1" si="283"/>
        <v>4367</v>
      </c>
      <c r="AO303">
        <v>4318</v>
      </c>
      <c r="AP303">
        <v>1326</v>
      </c>
      <c r="AQ303">
        <v>126</v>
      </c>
      <c r="AR303">
        <v>505</v>
      </c>
      <c r="AS303">
        <v>1241</v>
      </c>
      <c r="AT303">
        <v>126</v>
      </c>
      <c r="AU303">
        <v>166</v>
      </c>
      <c r="AV303">
        <v>0.98</v>
      </c>
      <c r="AW303" s="1"/>
      <c r="AX303" s="1"/>
      <c r="AY303" s="47">
        <f t="shared" si="284"/>
        <v>29700</v>
      </c>
      <c r="AZ303" s="49">
        <f t="shared" si="285"/>
        <v>165353</v>
      </c>
      <c r="BA303" s="49">
        <f t="shared" ref="BA303" si="326">SUMIF($B$2:$B$571,$B303,$T$2:$T$571)</f>
        <v>1549</v>
      </c>
      <c r="BB303" s="48">
        <f t="shared" si="287"/>
        <v>9.3678372935477438E-3</v>
      </c>
    </row>
    <row r="304" spans="2:54" x14ac:dyDescent="0.2">
      <c r="B304" s="3">
        <v>2010</v>
      </c>
      <c r="C304" t="s">
        <v>44</v>
      </c>
      <c r="D304" t="s">
        <v>45</v>
      </c>
      <c r="E304">
        <v>5</v>
      </c>
      <c r="F304" t="s">
        <v>38</v>
      </c>
      <c r="G304" t="s">
        <v>38</v>
      </c>
      <c r="H304" t="s">
        <v>38</v>
      </c>
      <c r="I304" t="s">
        <v>38</v>
      </c>
      <c r="J304">
        <v>66</v>
      </c>
      <c r="K304">
        <v>96</v>
      </c>
      <c r="L304">
        <v>613</v>
      </c>
      <c r="M304" s="38">
        <v>5554</v>
      </c>
      <c r="N304" s="38">
        <v>1440</v>
      </c>
      <c r="O304" s="38">
        <f t="shared" si="274"/>
        <v>1022</v>
      </c>
      <c r="P304" s="38">
        <v>264</v>
      </c>
      <c r="Q304" s="38">
        <v>21</v>
      </c>
      <c r="R304" s="38">
        <v>133</v>
      </c>
      <c r="S304" s="38">
        <v>424</v>
      </c>
      <c r="T304" s="38">
        <v>54</v>
      </c>
      <c r="U304" s="38">
        <f t="shared" si="275"/>
        <v>3636</v>
      </c>
      <c r="V304">
        <v>1056</v>
      </c>
      <c r="W304">
        <v>76</v>
      </c>
      <c r="X304">
        <v>34</v>
      </c>
      <c r="Y304">
        <v>45</v>
      </c>
      <c r="Z304">
        <v>785</v>
      </c>
      <c r="AA304">
        <v>733</v>
      </c>
      <c r="AB304">
        <v>4.59</v>
      </c>
      <c r="AC304">
        <v>3</v>
      </c>
      <c r="AD304">
        <v>7</v>
      </c>
      <c r="AE304">
        <v>35</v>
      </c>
      <c r="AF304" s="45">
        <f t="shared" ca="1" si="262"/>
        <v>6188</v>
      </c>
      <c r="AG304" s="45">
        <f t="shared" ca="1" si="276"/>
        <v>1429</v>
      </c>
      <c r="AH304" s="45">
        <f t="shared" ca="1" si="277"/>
        <v>895</v>
      </c>
      <c r="AI304" s="45">
        <f t="shared" ca="1" si="278"/>
        <v>303</v>
      </c>
      <c r="AJ304" s="45">
        <f t="shared" ca="1" si="279"/>
        <v>48</v>
      </c>
      <c r="AK304" s="45">
        <f t="shared" ca="1" si="280"/>
        <v>183</v>
      </c>
      <c r="AL304" s="45">
        <f t="shared" ca="1" si="281"/>
        <v>584</v>
      </c>
      <c r="AM304" s="45">
        <f t="shared" ca="1" si="282"/>
        <v>50</v>
      </c>
      <c r="AN304" s="45">
        <f t="shared" ca="1" si="283"/>
        <v>4125</v>
      </c>
      <c r="AO304">
        <v>4309</v>
      </c>
      <c r="AP304">
        <v>1508</v>
      </c>
      <c r="AQ304">
        <v>186</v>
      </c>
      <c r="AR304">
        <v>520</v>
      </c>
      <c r="AS304">
        <v>1007</v>
      </c>
      <c r="AT304">
        <v>105</v>
      </c>
      <c r="AU304">
        <v>141</v>
      </c>
      <c r="AV304">
        <v>0.98199999999999998</v>
      </c>
      <c r="AW304" s="1"/>
      <c r="AX304" s="1"/>
      <c r="AY304" s="47">
        <f t="shared" si="284"/>
        <v>29700</v>
      </c>
      <c r="AZ304" s="49">
        <f t="shared" si="285"/>
        <v>165353</v>
      </c>
      <c r="BA304" s="49">
        <f t="shared" ref="BA304" si="327">SUMIF($B$2:$B$571,$B304,$U$2:$U$571)</f>
        <v>105472</v>
      </c>
      <c r="BB304" s="48">
        <f t="shared" si="287"/>
        <v>0.63785960944161879</v>
      </c>
    </row>
    <row r="305" spans="2:54" x14ac:dyDescent="0.2">
      <c r="B305" s="3">
        <v>2010</v>
      </c>
      <c r="C305" t="s">
        <v>46</v>
      </c>
      <c r="D305" t="s">
        <v>47</v>
      </c>
      <c r="E305">
        <v>3</v>
      </c>
      <c r="F305" t="s">
        <v>38</v>
      </c>
      <c r="G305" t="s">
        <v>38</v>
      </c>
      <c r="H305" t="s">
        <v>38</v>
      </c>
      <c r="I305" t="s">
        <v>38</v>
      </c>
      <c r="J305">
        <v>89</v>
      </c>
      <c r="K305">
        <v>73</v>
      </c>
      <c r="L305">
        <v>818</v>
      </c>
      <c r="M305" s="38">
        <v>5646</v>
      </c>
      <c r="N305" s="38">
        <v>1511</v>
      </c>
      <c r="O305" s="38">
        <f t="shared" si="274"/>
        <v>920</v>
      </c>
      <c r="P305" s="38">
        <v>358</v>
      </c>
      <c r="Q305" s="38">
        <v>22</v>
      </c>
      <c r="R305" s="38">
        <v>211</v>
      </c>
      <c r="S305" s="38">
        <v>587</v>
      </c>
      <c r="T305" s="38">
        <v>47</v>
      </c>
      <c r="U305" s="38">
        <f t="shared" si="275"/>
        <v>3501</v>
      </c>
      <c r="V305">
        <v>1140</v>
      </c>
      <c r="W305">
        <v>68</v>
      </c>
      <c r="X305">
        <v>17</v>
      </c>
      <c r="Y305">
        <v>46</v>
      </c>
      <c r="Z305">
        <v>744</v>
      </c>
      <c r="AA305">
        <v>679</v>
      </c>
      <c r="AB305">
        <v>4.2</v>
      </c>
      <c r="AC305">
        <v>3</v>
      </c>
      <c r="AD305">
        <v>9</v>
      </c>
      <c r="AE305">
        <v>44</v>
      </c>
      <c r="AF305" s="45">
        <f t="shared" ca="1" si="262"/>
        <v>6217</v>
      </c>
      <c r="AG305" s="45">
        <f t="shared" ca="1" si="276"/>
        <v>1392</v>
      </c>
      <c r="AH305" s="45">
        <f t="shared" ca="1" si="277"/>
        <v>1008</v>
      </c>
      <c r="AI305" s="45">
        <f t="shared" ca="1" si="278"/>
        <v>219</v>
      </c>
      <c r="AJ305" s="45">
        <f t="shared" ca="1" si="279"/>
        <v>29</v>
      </c>
      <c r="AK305" s="45">
        <f t="shared" ca="1" si="280"/>
        <v>136</v>
      </c>
      <c r="AL305" s="45">
        <f t="shared" ca="1" si="281"/>
        <v>638</v>
      </c>
      <c r="AM305" s="45">
        <f t="shared" ca="1" si="282"/>
        <v>36</v>
      </c>
      <c r="AN305" s="45">
        <f t="shared" ca="1" si="283"/>
        <v>4151</v>
      </c>
      <c r="AO305">
        <v>4370</v>
      </c>
      <c r="AP305">
        <v>1402</v>
      </c>
      <c r="AQ305">
        <v>152</v>
      </c>
      <c r="AR305">
        <v>580</v>
      </c>
      <c r="AS305">
        <v>1207</v>
      </c>
      <c r="AT305">
        <v>111</v>
      </c>
      <c r="AU305">
        <v>132</v>
      </c>
      <c r="AV305">
        <v>0.98199999999999998</v>
      </c>
      <c r="AW305" s="1"/>
      <c r="AX305" s="1"/>
      <c r="AY305" s="47">
        <f t="shared" si="284"/>
        <v>29700</v>
      </c>
      <c r="AZ305" s="49">
        <f t="shared" si="285"/>
        <v>165353</v>
      </c>
      <c r="BA305" s="49"/>
      <c r="BB305" s="48">
        <f t="shared" si="287"/>
        <v>0</v>
      </c>
    </row>
    <row r="306" spans="2:54" x14ac:dyDescent="0.2">
      <c r="B306" s="3">
        <v>2010</v>
      </c>
      <c r="C306" t="s">
        <v>48</v>
      </c>
      <c r="D306" t="s">
        <v>49</v>
      </c>
      <c r="E306">
        <v>2</v>
      </c>
      <c r="F306" t="s">
        <v>38</v>
      </c>
      <c r="G306" t="s">
        <v>38</v>
      </c>
      <c r="H306" t="s">
        <v>38</v>
      </c>
      <c r="I306" t="s">
        <v>38</v>
      </c>
      <c r="J306">
        <v>88</v>
      </c>
      <c r="K306">
        <v>74</v>
      </c>
      <c r="L306">
        <v>752</v>
      </c>
      <c r="M306" s="38">
        <v>5484</v>
      </c>
      <c r="N306" s="38">
        <v>1467</v>
      </c>
      <c r="O306" s="38">
        <f t="shared" si="274"/>
        <v>1006</v>
      </c>
      <c r="P306" s="38">
        <v>263</v>
      </c>
      <c r="Q306" s="38">
        <v>21</v>
      </c>
      <c r="R306" s="38">
        <v>177</v>
      </c>
      <c r="S306" s="38">
        <v>467</v>
      </c>
      <c r="T306" s="38">
        <v>79</v>
      </c>
      <c r="U306" s="38">
        <f t="shared" si="275"/>
        <v>3471</v>
      </c>
      <c r="V306">
        <v>922</v>
      </c>
      <c r="W306">
        <v>160</v>
      </c>
      <c r="X306">
        <v>74</v>
      </c>
      <c r="Y306">
        <v>38</v>
      </c>
      <c r="Z306">
        <v>704</v>
      </c>
      <c r="AA306">
        <v>658</v>
      </c>
      <c r="AB306">
        <v>4.09</v>
      </c>
      <c r="AC306">
        <v>6</v>
      </c>
      <c r="AD306">
        <v>11</v>
      </c>
      <c r="AE306">
        <v>43</v>
      </c>
      <c r="AF306" s="45">
        <f t="shared" ca="1" si="262"/>
        <v>6076</v>
      </c>
      <c r="AG306" s="45">
        <f t="shared" ca="1" si="276"/>
        <v>1483</v>
      </c>
      <c r="AH306" s="45">
        <f t="shared" ca="1" si="277"/>
        <v>977</v>
      </c>
      <c r="AI306" s="45">
        <f t="shared" ca="1" si="278"/>
        <v>273</v>
      </c>
      <c r="AJ306" s="45">
        <f t="shared" ca="1" si="279"/>
        <v>43</v>
      </c>
      <c r="AK306" s="45">
        <f t="shared" ca="1" si="280"/>
        <v>190</v>
      </c>
      <c r="AL306" s="45">
        <f t="shared" ca="1" si="281"/>
        <v>522</v>
      </c>
      <c r="AM306" s="45">
        <f t="shared" ca="1" si="282"/>
        <v>34</v>
      </c>
      <c r="AN306" s="45">
        <f t="shared" ca="1" si="283"/>
        <v>4037</v>
      </c>
      <c r="AO306">
        <v>4339</v>
      </c>
      <c r="AP306">
        <v>1471</v>
      </c>
      <c r="AQ306">
        <v>136</v>
      </c>
      <c r="AR306">
        <v>490</v>
      </c>
      <c r="AS306">
        <v>1149</v>
      </c>
      <c r="AT306">
        <v>103</v>
      </c>
      <c r="AU306">
        <v>158</v>
      </c>
      <c r="AV306">
        <v>0.98299999999999998</v>
      </c>
      <c r="AW306" s="1"/>
      <c r="AX306" s="1"/>
      <c r="AY306" s="47">
        <f t="shared" si="284"/>
        <v>29700</v>
      </c>
      <c r="AZ306" s="49">
        <f t="shared" si="285"/>
        <v>165353</v>
      </c>
      <c r="BA306" s="49">
        <f t="shared" ref="BA306" si="328">SUMIF($B$2:$B$571,$B306,$O$2:$O$571)</f>
        <v>28589</v>
      </c>
      <c r="BB306" s="48">
        <f t="shared" si="287"/>
        <v>0.17289677235973946</v>
      </c>
    </row>
    <row r="307" spans="2:54" x14ac:dyDescent="0.2">
      <c r="B307" s="3">
        <v>2010</v>
      </c>
      <c r="C307" t="s">
        <v>50</v>
      </c>
      <c r="D307" t="s">
        <v>51</v>
      </c>
      <c r="E307">
        <v>5</v>
      </c>
      <c r="F307" t="s">
        <v>38</v>
      </c>
      <c r="G307" t="s">
        <v>38</v>
      </c>
      <c r="H307" t="s">
        <v>38</v>
      </c>
      <c r="I307" t="s">
        <v>38</v>
      </c>
      <c r="J307">
        <v>75</v>
      </c>
      <c r="K307">
        <v>87</v>
      </c>
      <c r="L307">
        <v>685</v>
      </c>
      <c r="M307" s="38">
        <v>5512</v>
      </c>
      <c r="N307" s="38">
        <v>1414</v>
      </c>
      <c r="O307" s="38">
        <f t="shared" si="274"/>
        <v>940</v>
      </c>
      <c r="P307" s="38">
        <v>298</v>
      </c>
      <c r="Q307" s="38">
        <v>27</v>
      </c>
      <c r="R307" s="38">
        <v>149</v>
      </c>
      <c r="S307" s="38">
        <v>479</v>
      </c>
      <c r="T307" s="38">
        <v>50</v>
      </c>
      <c r="U307" s="38">
        <f t="shared" si="275"/>
        <v>3569</v>
      </c>
      <c r="V307">
        <v>1236</v>
      </c>
      <c r="W307">
        <v>55</v>
      </c>
      <c r="X307">
        <v>31</v>
      </c>
      <c r="Y307">
        <v>38</v>
      </c>
      <c r="Z307">
        <v>767</v>
      </c>
      <c r="AA307">
        <v>668</v>
      </c>
      <c r="AB307">
        <v>4.18</v>
      </c>
      <c r="AC307">
        <v>1</v>
      </c>
      <c r="AD307">
        <v>14</v>
      </c>
      <c r="AE307">
        <v>40</v>
      </c>
      <c r="AF307" s="45">
        <f t="shared" ca="1" si="262"/>
        <v>6288</v>
      </c>
      <c r="AG307" s="45">
        <f t="shared" ca="1" si="276"/>
        <v>1319</v>
      </c>
      <c r="AH307" s="45">
        <f t="shared" ca="1" si="277"/>
        <v>781</v>
      </c>
      <c r="AI307" s="45">
        <f t="shared" ca="1" si="278"/>
        <v>375</v>
      </c>
      <c r="AJ307" s="45">
        <f t="shared" ca="1" si="279"/>
        <v>30</v>
      </c>
      <c r="AK307" s="45">
        <f t="shared" ca="1" si="280"/>
        <v>133</v>
      </c>
      <c r="AL307" s="45">
        <f t="shared" ca="1" si="281"/>
        <v>684</v>
      </c>
      <c r="AM307" s="45">
        <f t="shared" ca="1" si="282"/>
        <v>84</v>
      </c>
      <c r="AN307" s="45">
        <f t="shared" ca="1" si="283"/>
        <v>4201</v>
      </c>
      <c r="AO307">
        <v>4310</v>
      </c>
      <c r="AP307">
        <v>1409</v>
      </c>
      <c r="AQ307">
        <v>154</v>
      </c>
      <c r="AR307">
        <v>605</v>
      </c>
      <c r="AS307">
        <v>1268</v>
      </c>
      <c r="AT307">
        <v>126</v>
      </c>
      <c r="AU307">
        <v>137</v>
      </c>
      <c r="AV307">
        <v>0.97899999999999998</v>
      </c>
      <c r="AW307" s="1"/>
      <c r="AX307" s="1"/>
      <c r="AY307" s="47">
        <f t="shared" si="284"/>
        <v>29700</v>
      </c>
      <c r="AZ307" s="49">
        <f t="shared" si="285"/>
        <v>165353</v>
      </c>
      <c r="BA307" s="49">
        <f t="shared" ref="BA307" si="329">SUMIF($B$2:$B$571,$B307,$P$2:$P$571)</f>
        <v>8486</v>
      </c>
      <c r="BB307" s="48">
        <f t="shared" si="287"/>
        <v>5.1320508245994934E-2</v>
      </c>
    </row>
    <row r="308" spans="2:54" x14ac:dyDescent="0.2">
      <c r="B308" s="3">
        <v>2010</v>
      </c>
      <c r="C308" t="s">
        <v>52</v>
      </c>
      <c r="D308" t="s">
        <v>53</v>
      </c>
      <c r="E308">
        <v>1</v>
      </c>
      <c r="F308" t="s">
        <v>43</v>
      </c>
      <c r="G308" t="s">
        <v>38</v>
      </c>
      <c r="H308" t="s">
        <v>38</v>
      </c>
      <c r="I308" t="s">
        <v>38</v>
      </c>
      <c r="J308">
        <v>91</v>
      </c>
      <c r="K308">
        <v>71</v>
      </c>
      <c r="L308">
        <v>790</v>
      </c>
      <c r="M308" s="38">
        <v>5579</v>
      </c>
      <c r="N308" s="38">
        <v>1515</v>
      </c>
      <c r="O308" s="38">
        <f t="shared" si="274"/>
        <v>1004</v>
      </c>
      <c r="P308" s="38">
        <v>293</v>
      </c>
      <c r="Q308" s="38">
        <v>30</v>
      </c>
      <c r="R308" s="38">
        <v>188</v>
      </c>
      <c r="S308" s="38">
        <v>522</v>
      </c>
      <c r="T308" s="38">
        <v>68</v>
      </c>
      <c r="U308" s="38">
        <f t="shared" si="275"/>
        <v>3474</v>
      </c>
      <c r="V308">
        <v>1218</v>
      </c>
      <c r="W308">
        <v>93</v>
      </c>
      <c r="X308">
        <v>43</v>
      </c>
      <c r="Y308">
        <v>50</v>
      </c>
      <c r="Z308">
        <v>685</v>
      </c>
      <c r="AA308">
        <v>648</v>
      </c>
      <c r="AB308">
        <v>4.01</v>
      </c>
      <c r="AC308">
        <v>4</v>
      </c>
      <c r="AD308">
        <v>9</v>
      </c>
      <c r="AE308">
        <v>43</v>
      </c>
      <c r="AF308" s="45">
        <f t="shared" ca="1" si="262"/>
        <v>6263</v>
      </c>
      <c r="AG308" s="45">
        <f t="shared" ca="1" si="276"/>
        <v>1300</v>
      </c>
      <c r="AH308" s="45">
        <f t="shared" ca="1" si="277"/>
        <v>708</v>
      </c>
      <c r="AI308" s="45">
        <f t="shared" ca="1" si="278"/>
        <v>390</v>
      </c>
      <c r="AJ308" s="45">
        <f t="shared" ca="1" si="279"/>
        <v>28</v>
      </c>
      <c r="AK308" s="45">
        <f t="shared" ca="1" si="280"/>
        <v>174</v>
      </c>
      <c r="AL308" s="45">
        <f t="shared" ca="1" si="281"/>
        <v>632</v>
      </c>
      <c r="AM308" s="45">
        <f t="shared" ca="1" si="282"/>
        <v>64</v>
      </c>
      <c r="AN308" s="45">
        <f t="shared" ca="1" si="283"/>
        <v>4267</v>
      </c>
      <c r="AO308">
        <v>4359</v>
      </c>
      <c r="AP308">
        <v>1404</v>
      </c>
      <c r="AQ308">
        <v>158</v>
      </c>
      <c r="AR308">
        <v>524</v>
      </c>
      <c r="AS308">
        <v>1130</v>
      </c>
      <c r="AT308">
        <v>72</v>
      </c>
      <c r="AU308">
        <v>142</v>
      </c>
      <c r="AV308">
        <v>0.98799999999999999</v>
      </c>
      <c r="AW308" s="1"/>
      <c r="AX308" s="1"/>
      <c r="AY308" s="47">
        <f t="shared" si="284"/>
        <v>29700</v>
      </c>
      <c r="AZ308" s="49">
        <f t="shared" si="285"/>
        <v>165353</v>
      </c>
      <c r="BA308" s="49">
        <f t="shared" ref="BA308" si="330">SUMIF($B$2:$B$571,$B308,$Q$2:$Q$571)</f>
        <v>866</v>
      </c>
      <c r="BB308" s="48">
        <f t="shared" si="287"/>
        <v>5.2372802428743356E-3</v>
      </c>
    </row>
    <row r="309" spans="2:54" x14ac:dyDescent="0.2">
      <c r="B309" s="3">
        <v>2010</v>
      </c>
      <c r="C309" t="s">
        <v>54</v>
      </c>
      <c r="D309" t="s">
        <v>55</v>
      </c>
      <c r="E309">
        <v>4</v>
      </c>
      <c r="F309" t="s">
        <v>38</v>
      </c>
      <c r="G309" t="s">
        <v>38</v>
      </c>
      <c r="H309" t="s">
        <v>38</v>
      </c>
      <c r="I309" t="s">
        <v>38</v>
      </c>
      <c r="J309">
        <v>69</v>
      </c>
      <c r="K309">
        <v>93</v>
      </c>
      <c r="L309">
        <v>646</v>
      </c>
      <c r="M309" s="38">
        <v>5487</v>
      </c>
      <c r="N309" s="38">
        <v>1362</v>
      </c>
      <c r="O309" s="38">
        <f t="shared" si="274"/>
        <v>924</v>
      </c>
      <c r="P309" s="38">
        <v>290</v>
      </c>
      <c r="Q309" s="38">
        <v>20</v>
      </c>
      <c r="R309" s="38">
        <v>128</v>
      </c>
      <c r="S309" s="38">
        <v>545</v>
      </c>
      <c r="T309" s="38">
        <v>64</v>
      </c>
      <c r="U309" s="38">
        <f t="shared" si="275"/>
        <v>3516</v>
      </c>
      <c r="V309">
        <v>1184</v>
      </c>
      <c r="W309">
        <v>91</v>
      </c>
      <c r="X309">
        <v>33</v>
      </c>
      <c r="Y309">
        <v>33</v>
      </c>
      <c r="Z309">
        <v>752</v>
      </c>
      <c r="AA309">
        <v>684</v>
      </c>
      <c r="AB309">
        <v>4.3</v>
      </c>
      <c r="AC309">
        <v>10</v>
      </c>
      <c r="AD309">
        <v>4</v>
      </c>
      <c r="AE309">
        <v>34</v>
      </c>
      <c r="AF309" s="45">
        <f t="shared" ca="1" si="262"/>
        <v>6179</v>
      </c>
      <c r="AG309" s="45">
        <f t="shared" ca="1" si="276"/>
        <v>1683</v>
      </c>
      <c r="AH309" s="45">
        <f t="shared" ca="1" si="277"/>
        <v>1154</v>
      </c>
      <c r="AI309" s="45">
        <f t="shared" ca="1" si="278"/>
        <v>356</v>
      </c>
      <c r="AJ309" s="45">
        <f t="shared" ca="1" si="279"/>
        <v>39</v>
      </c>
      <c r="AK309" s="45">
        <f t="shared" ca="1" si="280"/>
        <v>134</v>
      </c>
      <c r="AL309" s="45">
        <f t="shared" ca="1" si="281"/>
        <v>452</v>
      </c>
      <c r="AM309" s="45">
        <f t="shared" ca="1" si="282"/>
        <v>57</v>
      </c>
      <c r="AN309" s="45">
        <f t="shared" ca="1" si="283"/>
        <v>3987</v>
      </c>
      <c r="AO309">
        <v>4299</v>
      </c>
      <c r="AP309">
        <v>1477</v>
      </c>
      <c r="AQ309">
        <v>147</v>
      </c>
      <c r="AR309">
        <v>572</v>
      </c>
      <c r="AS309">
        <v>967</v>
      </c>
      <c r="AT309">
        <v>110</v>
      </c>
      <c r="AU309">
        <v>179</v>
      </c>
      <c r="AV309">
        <v>0.98199999999999998</v>
      </c>
      <c r="AW309" s="1"/>
      <c r="AX309" s="1"/>
      <c r="AY309" s="47">
        <f t="shared" si="284"/>
        <v>29700</v>
      </c>
      <c r="AZ309" s="49">
        <f t="shared" si="285"/>
        <v>165353</v>
      </c>
      <c r="BA309" s="49">
        <f t="shared" ref="BA309" si="331">SUMIF($B$2:$B$571,$B309,$R$2:$R$571)</f>
        <v>4613</v>
      </c>
      <c r="BB309" s="48">
        <f t="shared" si="287"/>
        <v>2.78978911782671E-2</v>
      </c>
    </row>
    <row r="310" spans="2:54" x14ac:dyDescent="0.2">
      <c r="B310" s="3">
        <v>2010</v>
      </c>
      <c r="C310" t="s">
        <v>56</v>
      </c>
      <c r="D310" t="s">
        <v>57</v>
      </c>
      <c r="E310">
        <v>3</v>
      </c>
      <c r="F310" t="s">
        <v>38</v>
      </c>
      <c r="G310" t="s">
        <v>38</v>
      </c>
      <c r="H310" t="s">
        <v>38</v>
      </c>
      <c r="I310" t="s">
        <v>38</v>
      </c>
      <c r="J310">
        <v>83</v>
      </c>
      <c r="K310">
        <v>79</v>
      </c>
      <c r="L310">
        <v>770</v>
      </c>
      <c r="M310" s="38">
        <v>5530</v>
      </c>
      <c r="N310" s="38">
        <v>1452</v>
      </c>
      <c r="O310" s="38">
        <f t="shared" si="274"/>
        <v>955</v>
      </c>
      <c r="P310" s="38">
        <v>270</v>
      </c>
      <c r="Q310" s="38">
        <v>54</v>
      </c>
      <c r="R310" s="38">
        <v>173</v>
      </c>
      <c r="S310" s="38">
        <v>585</v>
      </c>
      <c r="T310" s="38">
        <v>47</v>
      </c>
      <c r="U310" s="38">
        <f t="shared" si="275"/>
        <v>3446</v>
      </c>
      <c r="V310">
        <v>1274</v>
      </c>
      <c r="W310">
        <v>99</v>
      </c>
      <c r="X310">
        <v>42</v>
      </c>
      <c r="Y310">
        <v>47</v>
      </c>
      <c r="Z310">
        <v>717</v>
      </c>
      <c r="AA310">
        <v>663</v>
      </c>
      <c r="AB310">
        <v>4.1399999999999997</v>
      </c>
      <c r="AC310">
        <v>6</v>
      </c>
      <c r="AD310">
        <v>12</v>
      </c>
      <c r="AE310">
        <v>35</v>
      </c>
      <c r="AF310" s="45">
        <f t="shared" ref="AF310:AF373" ca="1" si="332">RANDBETWEEN(6049,6490)</f>
        <v>6314</v>
      </c>
      <c r="AG310" s="45">
        <f t="shared" ca="1" si="276"/>
        <v>1646</v>
      </c>
      <c r="AH310" s="45">
        <f t="shared" ca="1" si="277"/>
        <v>1185</v>
      </c>
      <c r="AI310" s="45">
        <f t="shared" ca="1" si="278"/>
        <v>271</v>
      </c>
      <c r="AJ310" s="45">
        <f t="shared" ca="1" si="279"/>
        <v>32</v>
      </c>
      <c r="AK310" s="45">
        <f t="shared" ca="1" si="280"/>
        <v>158</v>
      </c>
      <c r="AL310" s="45">
        <f t="shared" ca="1" si="281"/>
        <v>573</v>
      </c>
      <c r="AM310" s="45">
        <f t="shared" ca="1" si="282"/>
        <v>89</v>
      </c>
      <c r="AN310" s="45">
        <f t="shared" ca="1" si="283"/>
        <v>4006</v>
      </c>
      <c r="AO310">
        <v>4326</v>
      </c>
      <c r="AP310">
        <v>1405</v>
      </c>
      <c r="AQ310">
        <v>139</v>
      </c>
      <c r="AR310">
        <v>525</v>
      </c>
      <c r="AS310">
        <v>1234</v>
      </c>
      <c r="AT310">
        <v>101</v>
      </c>
      <c r="AU310">
        <v>182</v>
      </c>
      <c r="AV310">
        <v>0.98399999999999999</v>
      </c>
      <c r="AW310" s="1"/>
      <c r="AX310" s="1"/>
      <c r="AY310" s="47">
        <f t="shared" si="284"/>
        <v>29700</v>
      </c>
      <c r="AZ310" s="49">
        <f t="shared" si="285"/>
        <v>165353</v>
      </c>
      <c r="BA310" s="49">
        <f t="shared" ref="BA310" si="333">SUMIF($B$2:$B$571,$B310,$S$2:$S$571)</f>
        <v>15778</v>
      </c>
      <c r="BB310" s="48">
        <f t="shared" si="287"/>
        <v>9.5420101237957577E-2</v>
      </c>
    </row>
    <row r="311" spans="2:54" x14ac:dyDescent="0.2">
      <c r="B311" s="3">
        <v>2010</v>
      </c>
      <c r="C311" t="s">
        <v>58</v>
      </c>
      <c r="D311" t="s">
        <v>59</v>
      </c>
      <c r="E311">
        <v>3</v>
      </c>
      <c r="F311" t="s">
        <v>38</v>
      </c>
      <c r="G311" t="s">
        <v>38</v>
      </c>
      <c r="H311" t="s">
        <v>38</v>
      </c>
      <c r="I311" t="s">
        <v>38</v>
      </c>
      <c r="J311">
        <v>81</v>
      </c>
      <c r="K311">
        <v>81</v>
      </c>
      <c r="L311">
        <v>751</v>
      </c>
      <c r="M311" s="38">
        <v>5643</v>
      </c>
      <c r="N311" s="38">
        <v>1515</v>
      </c>
      <c r="O311" s="38">
        <f t="shared" si="274"/>
        <v>1023</v>
      </c>
      <c r="P311" s="38">
        <v>308</v>
      </c>
      <c r="Q311" s="38">
        <v>32</v>
      </c>
      <c r="R311" s="38">
        <v>152</v>
      </c>
      <c r="S311" s="38">
        <v>546</v>
      </c>
      <c r="T311" s="38">
        <v>41</v>
      </c>
      <c r="U311" s="38">
        <f t="shared" si="275"/>
        <v>3541</v>
      </c>
      <c r="V311">
        <v>1147</v>
      </c>
      <c r="W311">
        <v>69</v>
      </c>
      <c r="X311">
        <v>30</v>
      </c>
      <c r="Y311">
        <v>41</v>
      </c>
      <c r="Z311">
        <v>743</v>
      </c>
      <c r="AA311">
        <v>690</v>
      </c>
      <c r="AB311">
        <v>4.3</v>
      </c>
      <c r="AC311">
        <v>6</v>
      </c>
      <c r="AD311">
        <v>5</v>
      </c>
      <c r="AE311">
        <v>32</v>
      </c>
      <c r="AF311" s="45">
        <f t="shared" ca="1" si="332"/>
        <v>6339</v>
      </c>
      <c r="AG311" s="45">
        <f t="shared" ca="1" si="276"/>
        <v>1563</v>
      </c>
      <c r="AH311" s="45">
        <f t="shared" ca="1" si="277"/>
        <v>908</v>
      </c>
      <c r="AI311" s="45">
        <f t="shared" ca="1" si="278"/>
        <v>393</v>
      </c>
      <c r="AJ311" s="45">
        <f t="shared" ca="1" si="279"/>
        <v>25</v>
      </c>
      <c r="AK311" s="45">
        <f t="shared" ca="1" si="280"/>
        <v>237</v>
      </c>
      <c r="AL311" s="45">
        <f t="shared" ca="1" si="281"/>
        <v>601</v>
      </c>
      <c r="AM311" s="45">
        <f t="shared" ca="1" si="282"/>
        <v>39</v>
      </c>
      <c r="AN311" s="45">
        <f t="shared" ca="1" si="283"/>
        <v>4136</v>
      </c>
      <c r="AO311">
        <v>4333</v>
      </c>
      <c r="AP311">
        <v>1445</v>
      </c>
      <c r="AQ311">
        <v>142</v>
      </c>
      <c r="AR311">
        <v>537</v>
      </c>
      <c r="AS311">
        <v>1056</v>
      </c>
      <c r="AT311">
        <v>109</v>
      </c>
      <c r="AU311">
        <v>171</v>
      </c>
      <c r="AV311">
        <v>0.98199999999999998</v>
      </c>
      <c r="AW311" s="1"/>
      <c r="AX311" s="1"/>
      <c r="AY311" s="47">
        <f t="shared" si="284"/>
        <v>29700</v>
      </c>
      <c r="AZ311" s="49">
        <f t="shared" si="285"/>
        <v>165353</v>
      </c>
      <c r="BA311" s="49">
        <f t="shared" ref="BA311" si="334">SUMIF($B$2:$B$571,$B311,$T$2:$T$571)</f>
        <v>1549</v>
      </c>
      <c r="BB311" s="48">
        <f t="shared" si="287"/>
        <v>9.3678372935477438E-3</v>
      </c>
    </row>
    <row r="312" spans="2:54" x14ac:dyDescent="0.2">
      <c r="B312" s="3">
        <v>2010</v>
      </c>
      <c r="C312" t="s">
        <v>60</v>
      </c>
      <c r="D312" t="s">
        <v>61</v>
      </c>
      <c r="E312">
        <v>3</v>
      </c>
      <c r="F312" t="s">
        <v>38</v>
      </c>
      <c r="G312" t="s">
        <v>38</v>
      </c>
      <c r="H312" t="s">
        <v>38</v>
      </c>
      <c r="I312" t="s">
        <v>38</v>
      </c>
      <c r="J312">
        <v>80</v>
      </c>
      <c r="K312">
        <v>82</v>
      </c>
      <c r="L312">
        <v>719</v>
      </c>
      <c r="M312" s="38">
        <v>5531</v>
      </c>
      <c r="N312" s="38">
        <v>1403</v>
      </c>
      <c r="O312" s="38">
        <f t="shared" si="274"/>
        <v>920</v>
      </c>
      <c r="P312" s="38">
        <v>294</v>
      </c>
      <c r="Q312" s="38">
        <v>37</v>
      </c>
      <c r="R312" s="38">
        <v>152</v>
      </c>
      <c r="S312" s="38">
        <v>514</v>
      </c>
      <c r="T312" s="38">
        <v>55</v>
      </c>
      <c r="U312" s="38">
        <f t="shared" si="275"/>
        <v>3559</v>
      </c>
      <c r="V312">
        <v>1375</v>
      </c>
      <c r="W312">
        <v>92</v>
      </c>
      <c r="X312">
        <v>26</v>
      </c>
      <c r="Y312">
        <v>43</v>
      </c>
      <c r="Z312">
        <v>717</v>
      </c>
      <c r="AA312">
        <v>652</v>
      </c>
      <c r="AB312">
        <v>4.08</v>
      </c>
      <c r="AC312">
        <v>5</v>
      </c>
      <c r="AD312">
        <v>17</v>
      </c>
      <c r="AE312">
        <v>39</v>
      </c>
      <c r="AF312" s="45">
        <f t="shared" ca="1" si="332"/>
        <v>6223</v>
      </c>
      <c r="AG312" s="45">
        <f t="shared" ca="1" si="276"/>
        <v>1576</v>
      </c>
      <c r="AH312" s="45">
        <f t="shared" ca="1" si="277"/>
        <v>1055</v>
      </c>
      <c r="AI312" s="45">
        <f t="shared" ca="1" si="278"/>
        <v>295</v>
      </c>
      <c r="AJ312" s="45">
        <f t="shared" ca="1" si="279"/>
        <v>25</v>
      </c>
      <c r="AK312" s="45">
        <f t="shared" ca="1" si="280"/>
        <v>201</v>
      </c>
      <c r="AL312" s="45">
        <f t="shared" ca="1" si="281"/>
        <v>461</v>
      </c>
      <c r="AM312" s="45">
        <f t="shared" ca="1" si="282"/>
        <v>65</v>
      </c>
      <c r="AN312" s="45">
        <f t="shared" ca="1" si="283"/>
        <v>4121</v>
      </c>
      <c r="AO312">
        <v>4315</v>
      </c>
      <c r="AP312">
        <v>1433</v>
      </c>
      <c r="AQ312">
        <v>134</v>
      </c>
      <c r="AR312">
        <v>549</v>
      </c>
      <c r="AS312">
        <v>1168</v>
      </c>
      <c r="AT312">
        <v>123</v>
      </c>
      <c r="AU312">
        <v>130</v>
      </c>
      <c r="AV312">
        <v>0.97899999999999998</v>
      </c>
      <c r="AW312" s="1"/>
      <c r="AX312" s="1"/>
      <c r="AY312" s="47">
        <f t="shared" si="284"/>
        <v>29700</v>
      </c>
      <c r="AZ312" s="49">
        <f t="shared" si="285"/>
        <v>165353</v>
      </c>
      <c r="BA312" s="49">
        <f t="shared" ref="BA312" si="335">SUMIF($B$2:$B$571,$B312,$U$2:$U$571)</f>
        <v>105472</v>
      </c>
      <c r="BB312" s="48">
        <f t="shared" si="287"/>
        <v>0.63785960944161879</v>
      </c>
    </row>
    <row r="313" spans="2:54" x14ac:dyDescent="0.2">
      <c r="B313" s="3">
        <v>2010</v>
      </c>
      <c r="C313" t="s">
        <v>62</v>
      </c>
      <c r="D313" t="s">
        <v>63</v>
      </c>
      <c r="E313">
        <v>4</v>
      </c>
      <c r="F313" t="s">
        <v>38</v>
      </c>
      <c r="G313" t="s">
        <v>38</v>
      </c>
      <c r="H313" t="s">
        <v>38</v>
      </c>
      <c r="I313" t="s">
        <v>38</v>
      </c>
      <c r="J313">
        <v>76</v>
      </c>
      <c r="K313">
        <v>86</v>
      </c>
      <c r="L313">
        <v>611</v>
      </c>
      <c r="M313" s="38">
        <v>5452</v>
      </c>
      <c r="N313" s="38">
        <v>1348</v>
      </c>
      <c r="O313" s="38">
        <f t="shared" si="274"/>
        <v>963</v>
      </c>
      <c r="P313" s="38">
        <v>252</v>
      </c>
      <c r="Q313" s="38">
        <v>25</v>
      </c>
      <c r="R313" s="38">
        <v>108</v>
      </c>
      <c r="S313" s="38">
        <v>415</v>
      </c>
      <c r="T313" s="38">
        <v>33</v>
      </c>
      <c r="U313" s="38">
        <f t="shared" si="275"/>
        <v>3656</v>
      </c>
      <c r="V313">
        <v>1025</v>
      </c>
      <c r="W313">
        <v>100</v>
      </c>
      <c r="X313">
        <v>36</v>
      </c>
      <c r="Y313">
        <v>29</v>
      </c>
      <c r="Z313">
        <v>729</v>
      </c>
      <c r="AA313">
        <v>654</v>
      </c>
      <c r="AB313">
        <v>4.09</v>
      </c>
      <c r="AC313">
        <v>4</v>
      </c>
      <c r="AD313">
        <v>11</v>
      </c>
      <c r="AE313">
        <v>45</v>
      </c>
      <c r="AF313" s="45">
        <f t="shared" ca="1" si="332"/>
        <v>6294</v>
      </c>
      <c r="AG313" s="45">
        <f t="shared" ca="1" si="276"/>
        <v>1658</v>
      </c>
      <c r="AH313" s="45">
        <f t="shared" ca="1" si="277"/>
        <v>1162</v>
      </c>
      <c r="AI313" s="45">
        <f t="shared" ca="1" si="278"/>
        <v>330</v>
      </c>
      <c r="AJ313" s="45">
        <f t="shared" ca="1" si="279"/>
        <v>28</v>
      </c>
      <c r="AK313" s="45">
        <f t="shared" ca="1" si="280"/>
        <v>138</v>
      </c>
      <c r="AL313" s="45">
        <f t="shared" ca="1" si="281"/>
        <v>696</v>
      </c>
      <c r="AM313" s="45">
        <f t="shared" ca="1" si="282"/>
        <v>83</v>
      </c>
      <c r="AN313" s="45">
        <f t="shared" ca="1" si="283"/>
        <v>3857</v>
      </c>
      <c r="AO313">
        <v>4318</v>
      </c>
      <c r="AP313">
        <v>1446</v>
      </c>
      <c r="AQ313">
        <v>140</v>
      </c>
      <c r="AR313">
        <v>548</v>
      </c>
      <c r="AS313">
        <v>1210</v>
      </c>
      <c r="AT313">
        <v>103</v>
      </c>
      <c r="AU313">
        <v>135</v>
      </c>
      <c r="AV313">
        <v>0.98299999999999998</v>
      </c>
      <c r="AW313" s="1"/>
      <c r="AX313" s="1"/>
      <c r="AY313" s="47">
        <f t="shared" si="284"/>
        <v>29700</v>
      </c>
      <c r="AZ313" s="49">
        <f t="shared" si="285"/>
        <v>165353</v>
      </c>
      <c r="BA313" s="49"/>
      <c r="BB313" s="48">
        <f t="shared" si="287"/>
        <v>0</v>
      </c>
    </row>
    <row r="314" spans="2:54" x14ac:dyDescent="0.2">
      <c r="B314" s="3">
        <v>2010</v>
      </c>
      <c r="C314" t="s">
        <v>64</v>
      </c>
      <c r="D314" t="s">
        <v>65</v>
      </c>
      <c r="E314">
        <v>5</v>
      </c>
      <c r="F314" t="s">
        <v>38</v>
      </c>
      <c r="G314" t="s">
        <v>38</v>
      </c>
      <c r="H314" t="s">
        <v>38</v>
      </c>
      <c r="I314" t="s">
        <v>38</v>
      </c>
      <c r="J314">
        <v>67</v>
      </c>
      <c r="K314">
        <v>95</v>
      </c>
      <c r="L314">
        <v>676</v>
      </c>
      <c r="M314" s="38">
        <v>5604</v>
      </c>
      <c r="N314" s="38">
        <v>1534</v>
      </c>
      <c r="O314" s="38">
        <f t="shared" si="274"/>
        <v>1103</v>
      </c>
      <c r="P314" s="38">
        <v>279</v>
      </c>
      <c r="Q314" s="38">
        <v>31</v>
      </c>
      <c r="R314" s="38">
        <v>121</v>
      </c>
      <c r="S314" s="38">
        <v>471</v>
      </c>
      <c r="T314" s="38">
        <v>35</v>
      </c>
      <c r="U314" s="38">
        <f t="shared" si="275"/>
        <v>3564</v>
      </c>
      <c r="V314">
        <v>905</v>
      </c>
      <c r="W314">
        <v>115</v>
      </c>
      <c r="X314">
        <v>50</v>
      </c>
      <c r="Y314">
        <v>53</v>
      </c>
      <c r="Z314">
        <v>845</v>
      </c>
      <c r="AA314">
        <v>794</v>
      </c>
      <c r="AB314">
        <v>4.97</v>
      </c>
      <c r="AC314">
        <v>7</v>
      </c>
      <c r="AD314">
        <v>3</v>
      </c>
      <c r="AE314">
        <v>44</v>
      </c>
      <c r="AF314" s="45">
        <f t="shared" ca="1" si="332"/>
        <v>6205</v>
      </c>
      <c r="AG314" s="45">
        <f t="shared" ca="1" si="276"/>
        <v>1491</v>
      </c>
      <c r="AH314" s="45">
        <f t="shared" ca="1" si="277"/>
        <v>882</v>
      </c>
      <c r="AI314" s="45">
        <f t="shared" ca="1" si="278"/>
        <v>345</v>
      </c>
      <c r="AJ314" s="45">
        <f t="shared" ca="1" si="279"/>
        <v>45</v>
      </c>
      <c r="AK314" s="45">
        <f t="shared" ca="1" si="280"/>
        <v>219</v>
      </c>
      <c r="AL314" s="45">
        <f t="shared" ca="1" si="281"/>
        <v>578</v>
      </c>
      <c r="AM314" s="45">
        <f t="shared" ca="1" si="282"/>
        <v>46</v>
      </c>
      <c r="AN314" s="45">
        <f t="shared" ca="1" si="283"/>
        <v>4090</v>
      </c>
      <c r="AO314">
        <v>4310</v>
      </c>
      <c r="AP314">
        <v>1553</v>
      </c>
      <c r="AQ314">
        <v>176</v>
      </c>
      <c r="AR314">
        <v>551</v>
      </c>
      <c r="AS314">
        <v>1035</v>
      </c>
      <c r="AT314">
        <v>121</v>
      </c>
      <c r="AU314">
        <v>138</v>
      </c>
      <c r="AV314">
        <v>0.98</v>
      </c>
      <c r="AW314" s="1"/>
      <c r="AX314" s="1"/>
      <c r="AY314" s="47">
        <f t="shared" si="284"/>
        <v>29700</v>
      </c>
      <c r="AZ314" s="49">
        <f t="shared" si="285"/>
        <v>165353</v>
      </c>
      <c r="BA314" s="49">
        <f t="shared" ref="BA314" si="336">SUMIF($B$2:$B$571,$B314,$O$2:$O$571)</f>
        <v>28589</v>
      </c>
      <c r="BB314" s="48">
        <f t="shared" si="287"/>
        <v>0.17289677235973946</v>
      </c>
    </row>
    <row r="315" spans="2:54" x14ac:dyDescent="0.2">
      <c r="B315" s="3">
        <v>2010</v>
      </c>
      <c r="C315" t="s">
        <v>98</v>
      </c>
      <c r="D315" t="s">
        <v>99</v>
      </c>
      <c r="E315">
        <v>3</v>
      </c>
      <c r="F315" t="s">
        <v>38</v>
      </c>
      <c r="G315" t="s">
        <v>38</v>
      </c>
      <c r="H315" t="s">
        <v>38</v>
      </c>
      <c r="I315" t="s">
        <v>38</v>
      </c>
      <c r="J315">
        <v>80</v>
      </c>
      <c r="K315">
        <v>82</v>
      </c>
      <c r="L315">
        <v>681</v>
      </c>
      <c r="M315" s="38">
        <v>5488</v>
      </c>
      <c r="N315" s="38">
        <v>1363</v>
      </c>
      <c r="O315" s="38">
        <f t="shared" si="274"/>
        <v>913</v>
      </c>
      <c r="P315" s="38">
        <v>276</v>
      </c>
      <c r="Q315" s="38">
        <v>19</v>
      </c>
      <c r="R315" s="38">
        <v>155</v>
      </c>
      <c r="S315" s="38">
        <v>466</v>
      </c>
      <c r="T315" s="38">
        <v>52</v>
      </c>
      <c r="U315" s="38">
        <f t="shared" si="275"/>
        <v>3607</v>
      </c>
      <c r="V315">
        <v>1070</v>
      </c>
      <c r="W315">
        <v>104</v>
      </c>
      <c r="X315">
        <v>52</v>
      </c>
      <c r="Y315">
        <v>37</v>
      </c>
      <c r="Z315">
        <v>702</v>
      </c>
      <c r="AA315">
        <v>651</v>
      </c>
      <c r="AB315">
        <v>4.04</v>
      </c>
      <c r="AC315">
        <v>10</v>
      </c>
      <c r="AD315">
        <v>9</v>
      </c>
      <c r="AE315">
        <v>39</v>
      </c>
      <c r="AF315" s="45">
        <f t="shared" ca="1" si="332"/>
        <v>6087</v>
      </c>
      <c r="AG315" s="45">
        <f t="shared" ca="1" si="276"/>
        <v>1490</v>
      </c>
      <c r="AH315" s="45">
        <f t="shared" ca="1" si="277"/>
        <v>1075</v>
      </c>
      <c r="AI315" s="45">
        <f t="shared" ca="1" si="278"/>
        <v>240</v>
      </c>
      <c r="AJ315" s="45">
        <f t="shared" ca="1" si="279"/>
        <v>37</v>
      </c>
      <c r="AK315" s="45">
        <f t="shared" ca="1" si="280"/>
        <v>138</v>
      </c>
      <c r="AL315" s="45">
        <f t="shared" ca="1" si="281"/>
        <v>459</v>
      </c>
      <c r="AM315" s="45">
        <f t="shared" ca="1" si="282"/>
        <v>66</v>
      </c>
      <c r="AN315" s="45">
        <f t="shared" ca="1" si="283"/>
        <v>4072</v>
      </c>
      <c r="AO315">
        <v>4348</v>
      </c>
      <c r="AP315">
        <v>1422</v>
      </c>
      <c r="AQ315">
        <v>148</v>
      </c>
      <c r="AR315">
        <v>565</v>
      </c>
      <c r="AS315">
        <v>1130</v>
      </c>
      <c r="AT315">
        <v>113</v>
      </c>
      <c r="AU315">
        <v>116</v>
      </c>
      <c r="AV315">
        <v>0.98099999999999998</v>
      </c>
      <c r="AW315" s="1"/>
      <c r="AX315" s="1"/>
      <c r="AY315" s="47">
        <f t="shared" si="284"/>
        <v>29700</v>
      </c>
      <c r="AZ315" s="49">
        <f t="shared" si="285"/>
        <v>165353</v>
      </c>
      <c r="BA315" s="49">
        <f t="shared" ref="BA315" si="337">SUMIF($B$2:$B$571,$B315,$P$2:$P$571)</f>
        <v>8486</v>
      </c>
      <c r="BB315" s="48">
        <f t="shared" si="287"/>
        <v>5.1320508245994934E-2</v>
      </c>
    </row>
    <row r="316" spans="2:54" x14ac:dyDescent="0.2">
      <c r="B316" s="3">
        <v>2010</v>
      </c>
      <c r="C316" t="s">
        <v>66</v>
      </c>
      <c r="D316" t="s">
        <v>67</v>
      </c>
      <c r="E316">
        <v>4</v>
      </c>
      <c r="F316" t="s">
        <v>38</v>
      </c>
      <c r="G316" t="s">
        <v>38</v>
      </c>
      <c r="H316" t="s">
        <v>38</v>
      </c>
      <c r="I316" t="s">
        <v>38</v>
      </c>
      <c r="J316">
        <v>80</v>
      </c>
      <c r="K316">
        <v>82</v>
      </c>
      <c r="L316">
        <v>667</v>
      </c>
      <c r="M316" s="38">
        <v>5426</v>
      </c>
      <c r="N316" s="38">
        <v>1368</v>
      </c>
      <c r="O316" s="38">
        <f t="shared" si="274"/>
        <v>949</v>
      </c>
      <c r="P316" s="38">
        <v>270</v>
      </c>
      <c r="Q316" s="38">
        <v>29</v>
      </c>
      <c r="R316" s="38">
        <v>120</v>
      </c>
      <c r="S316" s="38">
        <v>533</v>
      </c>
      <c r="T316" s="38">
        <v>46</v>
      </c>
      <c r="U316" s="38">
        <f t="shared" si="275"/>
        <v>3479</v>
      </c>
      <c r="V316">
        <v>1184</v>
      </c>
      <c r="W316">
        <v>92</v>
      </c>
      <c r="X316">
        <v>50</v>
      </c>
      <c r="Y316">
        <v>50</v>
      </c>
      <c r="Z316">
        <v>692</v>
      </c>
      <c r="AA316">
        <v>643</v>
      </c>
      <c r="AB316">
        <v>4.01</v>
      </c>
      <c r="AC316">
        <v>4</v>
      </c>
      <c r="AD316">
        <v>16</v>
      </c>
      <c r="AE316">
        <v>41</v>
      </c>
      <c r="AF316" s="45">
        <f t="shared" ca="1" si="332"/>
        <v>6459</v>
      </c>
      <c r="AG316" s="45">
        <f t="shared" ca="1" si="276"/>
        <v>1628</v>
      </c>
      <c r="AH316" s="45">
        <f t="shared" ca="1" si="277"/>
        <v>1185</v>
      </c>
      <c r="AI316" s="45">
        <f t="shared" ca="1" si="278"/>
        <v>244</v>
      </c>
      <c r="AJ316" s="45">
        <f t="shared" ca="1" si="279"/>
        <v>47</v>
      </c>
      <c r="AK316" s="45">
        <f t="shared" ca="1" si="280"/>
        <v>152</v>
      </c>
      <c r="AL316" s="45">
        <f t="shared" ca="1" si="281"/>
        <v>500</v>
      </c>
      <c r="AM316" s="45">
        <f t="shared" ca="1" si="282"/>
        <v>82</v>
      </c>
      <c r="AN316" s="45">
        <f t="shared" ca="1" si="283"/>
        <v>4249</v>
      </c>
      <c r="AO316">
        <v>4325</v>
      </c>
      <c r="AP316">
        <v>1323</v>
      </c>
      <c r="AQ316">
        <v>134</v>
      </c>
      <c r="AR316">
        <v>539</v>
      </c>
      <c r="AS316">
        <v>1274</v>
      </c>
      <c r="AT316">
        <v>98</v>
      </c>
      <c r="AU316">
        <v>124</v>
      </c>
      <c r="AV316">
        <v>0.98399999999999999</v>
      </c>
      <c r="AW316" s="1"/>
      <c r="AX316" s="1"/>
      <c r="AY316" s="47">
        <f t="shared" si="284"/>
        <v>29700</v>
      </c>
      <c r="AZ316" s="49">
        <f t="shared" si="285"/>
        <v>165353</v>
      </c>
      <c r="BA316" s="49">
        <f t="shared" ref="BA316" si="338">SUMIF($B$2:$B$571,$B316,$Q$2:$Q$571)</f>
        <v>866</v>
      </c>
      <c r="BB316" s="48">
        <f t="shared" si="287"/>
        <v>5.2372802428743356E-3</v>
      </c>
    </row>
    <row r="317" spans="2:54" x14ac:dyDescent="0.2">
      <c r="B317" s="3">
        <v>2010</v>
      </c>
      <c r="C317" t="s">
        <v>68</v>
      </c>
      <c r="D317" t="s">
        <v>69</v>
      </c>
      <c r="E317">
        <v>3</v>
      </c>
      <c r="F317" t="s">
        <v>38</v>
      </c>
      <c r="G317" t="s">
        <v>38</v>
      </c>
      <c r="H317" t="s">
        <v>38</v>
      </c>
      <c r="I317" t="s">
        <v>38</v>
      </c>
      <c r="J317">
        <v>77</v>
      </c>
      <c r="K317">
        <v>85</v>
      </c>
      <c r="L317">
        <v>750</v>
      </c>
      <c r="M317" s="38">
        <v>5606</v>
      </c>
      <c r="N317" s="38">
        <v>1471</v>
      </c>
      <c r="O317" s="38">
        <f t="shared" si="274"/>
        <v>963</v>
      </c>
      <c r="P317" s="38">
        <v>293</v>
      </c>
      <c r="Q317" s="38">
        <v>33</v>
      </c>
      <c r="R317" s="38">
        <v>182</v>
      </c>
      <c r="S317" s="38">
        <v>546</v>
      </c>
      <c r="T317" s="38">
        <v>81</v>
      </c>
      <c r="U317" s="38">
        <f t="shared" si="275"/>
        <v>3508</v>
      </c>
      <c r="V317">
        <v>1216</v>
      </c>
      <c r="W317">
        <v>81</v>
      </c>
      <c r="X317">
        <v>26</v>
      </c>
      <c r="Y317">
        <v>35</v>
      </c>
      <c r="Z317">
        <v>804</v>
      </c>
      <c r="AA317">
        <v>733</v>
      </c>
      <c r="AB317">
        <v>4.58</v>
      </c>
      <c r="AC317">
        <v>3</v>
      </c>
      <c r="AD317">
        <v>7</v>
      </c>
      <c r="AE317">
        <v>35</v>
      </c>
      <c r="AF317" s="45">
        <f t="shared" ca="1" si="332"/>
        <v>6057</v>
      </c>
      <c r="AG317" s="45">
        <f t="shared" ca="1" si="276"/>
        <v>1519</v>
      </c>
      <c r="AH317" s="45">
        <f t="shared" ca="1" si="277"/>
        <v>947</v>
      </c>
      <c r="AI317" s="45">
        <f t="shared" ca="1" si="278"/>
        <v>355</v>
      </c>
      <c r="AJ317" s="45">
        <f t="shared" ca="1" si="279"/>
        <v>40</v>
      </c>
      <c r="AK317" s="45">
        <f t="shared" ca="1" si="280"/>
        <v>177</v>
      </c>
      <c r="AL317" s="45">
        <f t="shared" ca="1" si="281"/>
        <v>687</v>
      </c>
      <c r="AM317" s="45">
        <f t="shared" ca="1" si="282"/>
        <v>54</v>
      </c>
      <c r="AN317" s="45">
        <f t="shared" ca="1" si="283"/>
        <v>3797</v>
      </c>
      <c r="AO317">
        <v>4317</v>
      </c>
      <c r="AP317">
        <v>1487</v>
      </c>
      <c r="AQ317">
        <v>173</v>
      </c>
      <c r="AR317">
        <v>582</v>
      </c>
      <c r="AS317">
        <v>1258</v>
      </c>
      <c r="AT317">
        <v>101</v>
      </c>
      <c r="AU317">
        <v>142</v>
      </c>
      <c r="AV317">
        <v>0.98299999999999998</v>
      </c>
      <c r="AW317" s="1"/>
      <c r="AX317" s="1"/>
      <c r="AY317" s="47">
        <f t="shared" si="284"/>
        <v>29700</v>
      </c>
      <c r="AZ317" s="49">
        <f t="shared" si="285"/>
        <v>165353</v>
      </c>
      <c r="BA317" s="49">
        <f t="shared" ref="BA317" si="339">SUMIF($B$2:$B$571,$B317,$R$2:$R$571)</f>
        <v>4613</v>
      </c>
      <c r="BB317" s="48">
        <f t="shared" si="287"/>
        <v>2.78978911782671E-2</v>
      </c>
    </row>
    <row r="318" spans="2:54" x14ac:dyDescent="0.2">
      <c r="B318" s="3">
        <v>2010</v>
      </c>
      <c r="C318" t="s">
        <v>70</v>
      </c>
      <c r="D318" t="s">
        <v>71</v>
      </c>
      <c r="E318">
        <v>1</v>
      </c>
      <c r="F318" t="s">
        <v>43</v>
      </c>
      <c r="G318" t="s">
        <v>38</v>
      </c>
      <c r="H318" t="s">
        <v>38</v>
      </c>
      <c r="I318" t="s">
        <v>38</v>
      </c>
      <c r="J318">
        <v>94</v>
      </c>
      <c r="K318">
        <v>68</v>
      </c>
      <c r="L318">
        <v>781</v>
      </c>
      <c r="M318" s="38">
        <v>5568</v>
      </c>
      <c r="N318" s="38">
        <v>1521</v>
      </c>
      <c r="O318" s="38">
        <f t="shared" si="274"/>
        <v>1020</v>
      </c>
      <c r="P318" s="38">
        <v>318</v>
      </c>
      <c r="Q318" s="38">
        <v>41</v>
      </c>
      <c r="R318" s="38">
        <v>142</v>
      </c>
      <c r="S318" s="38">
        <v>559</v>
      </c>
      <c r="T318" s="38">
        <v>39</v>
      </c>
      <c r="U318" s="38">
        <f t="shared" si="275"/>
        <v>3449</v>
      </c>
      <c r="V318">
        <v>967</v>
      </c>
      <c r="W318">
        <v>68</v>
      </c>
      <c r="X318">
        <v>28</v>
      </c>
      <c r="Y318">
        <v>53</v>
      </c>
      <c r="Z318">
        <v>671</v>
      </c>
      <c r="AA318">
        <v>638</v>
      </c>
      <c r="AB318">
        <v>3.95</v>
      </c>
      <c r="AC318">
        <v>9</v>
      </c>
      <c r="AD318">
        <v>13</v>
      </c>
      <c r="AE318">
        <v>40</v>
      </c>
      <c r="AF318" s="45">
        <f t="shared" ca="1" si="332"/>
        <v>6062</v>
      </c>
      <c r="AG318" s="45">
        <f t="shared" ca="1" si="276"/>
        <v>1490</v>
      </c>
      <c r="AH318" s="45">
        <f t="shared" ca="1" si="277"/>
        <v>946</v>
      </c>
      <c r="AI318" s="45">
        <f t="shared" ca="1" si="278"/>
        <v>327</v>
      </c>
      <c r="AJ318" s="45">
        <f t="shared" ca="1" si="279"/>
        <v>41</v>
      </c>
      <c r="AK318" s="45">
        <f t="shared" ca="1" si="280"/>
        <v>176</v>
      </c>
      <c r="AL318" s="45">
        <f t="shared" ca="1" si="281"/>
        <v>644</v>
      </c>
      <c r="AM318" s="45">
        <f t="shared" ca="1" si="282"/>
        <v>64</v>
      </c>
      <c r="AN318" s="45">
        <f t="shared" ca="1" si="283"/>
        <v>3864</v>
      </c>
      <c r="AO318">
        <v>4358</v>
      </c>
      <c r="AP318">
        <v>1493</v>
      </c>
      <c r="AQ318">
        <v>155</v>
      </c>
      <c r="AR318">
        <v>383</v>
      </c>
      <c r="AS318">
        <v>1048</v>
      </c>
      <c r="AT318">
        <v>78</v>
      </c>
      <c r="AU318">
        <v>150</v>
      </c>
      <c r="AV318">
        <v>0.98699999999999999</v>
      </c>
      <c r="AW318" s="1"/>
      <c r="AX318" s="1"/>
      <c r="AY318" s="47">
        <f t="shared" si="284"/>
        <v>29700</v>
      </c>
      <c r="AZ318" s="49">
        <f t="shared" si="285"/>
        <v>165353</v>
      </c>
      <c r="BA318" s="49">
        <f t="shared" ref="BA318" si="340">SUMIF($B$2:$B$571,$B318,$S$2:$S$571)</f>
        <v>15778</v>
      </c>
      <c r="BB318" s="48">
        <f t="shared" si="287"/>
        <v>9.5420101237957577E-2</v>
      </c>
    </row>
    <row r="319" spans="2:54" x14ac:dyDescent="0.2">
      <c r="B319" s="3">
        <v>2010</v>
      </c>
      <c r="C319" t="s">
        <v>74</v>
      </c>
      <c r="D319" t="s">
        <v>75</v>
      </c>
      <c r="E319">
        <v>2</v>
      </c>
      <c r="F319" t="s">
        <v>38</v>
      </c>
      <c r="G319" t="s">
        <v>43</v>
      </c>
      <c r="H319" t="s">
        <v>38</v>
      </c>
      <c r="I319" t="s">
        <v>38</v>
      </c>
      <c r="J319">
        <v>95</v>
      </c>
      <c r="K319">
        <v>67</v>
      </c>
      <c r="L319">
        <v>859</v>
      </c>
      <c r="M319" s="38">
        <v>5567</v>
      </c>
      <c r="N319" s="38">
        <v>1485</v>
      </c>
      <c r="O319" s="38">
        <f t="shared" si="274"/>
        <v>977</v>
      </c>
      <c r="P319" s="38">
        <v>275</v>
      </c>
      <c r="Q319" s="38">
        <v>32</v>
      </c>
      <c r="R319" s="38">
        <v>201</v>
      </c>
      <c r="S319" s="38">
        <v>662</v>
      </c>
      <c r="T319" s="38">
        <v>73</v>
      </c>
      <c r="U319" s="38">
        <f t="shared" si="275"/>
        <v>3347</v>
      </c>
      <c r="V319">
        <v>1136</v>
      </c>
      <c r="W319">
        <v>103</v>
      </c>
      <c r="X319">
        <v>30</v>
      </c>
      <c r="Y319">
        <v>44</v>
      </c>
      <c r="Z319">
        <v>693</v>
      </c>
      <c r="AA319">
        <v>651</v>
      </c>
      <c r="AB319">
        <v>4.0599999999999996</v>
      </c>
      <c r="AC319">
        <v>3</v>
      </c>
      <c r="AD319">
        <v>8</v>
      </c>
      <c r="AE319">
        <v>39</v>
      </c>
      <c r="AF319" s="45">
        <f t="shared" ca="1" si="332"/>
        <v>6129</v>
      </c>
      <c r="AG319" s="45">
        <f t="shared" ca="1" si="276"/>
        <v>1630</v>
      </c>
      <c r="AH319" s="45">
        <f t="shared" ca="1" si="277"/>
        <v>1113</v>
      </c>
      <c r="AI319" s="45">
        <f t="shared" ca="1" si="278"/>
        <v>337</v>
      </c>
      <c r="AJ319" s="45">
        <f t="shared" ca="1" si="279"/>
        <v>30</v>
      </c>
      <c r="AK319" s="45">
        <f t="shared" ca="1" si="280"/>
        <v>150</v>
      </c>
      <c r="AL319" s="45">
        <f t="shared" ca="1" si="281"/>
        <v>461</v>
      </c>
      <c r="AM319" s="45">
        <f t="shared" ca="1" si="282"/>
        <v>40</v>
      </c>
      <c r="AN319" s="45">
        <f t="shared" ca="1" si="283"/>
        <v>3998</v>
      </c>
      <c r="AO319">
        <v>4327</v>
      </c>
      <c r="AP319">
        <v>1349</v>
      </c>
      <c r="AQ319">
        <v>179</v>
      </c>
      <c r="AR319">
        <v>540</v>
      </c>
      <c r="AS319">
        <v>1154</v>
      </c>
      <c r="AT319">
        <v>69</v>
      </c>
      <c r="AU319">
        <v>161</v>
      </c>
      <c r="AV319">
        <v>0.98799999999999999</v>
      </c>
      <c r="AW319" s="1"/>
      <c r="AX319" s="1"/>
      <c r="AY319" s="47">
        <f t="shared" si="284"/>
        <v>29700</v>
      </c>
      <c r="AZ319" s="49">
        <f t="shared" si="285"/>
        <v>165353</v>
      </c>
      <c r="BA319" s="49">
        <f t="shared" ref="BA319" si="341">SUMIF($B$2:$B$571,$B319,$T$2:$T$571)</f>
        <v>1549</v>
      </c>
      <c r="BB319" s="48">
        <f t="shared" si="287"/>
        <v>9.3678372935477438E-3</v>
      </c>
    </row>
    <row r="320" spans="2:54" x14ac:dyDescent="0.2">
      <c r="B320" s="3">
        <v>2010</v>
      </c>
      <c r="C320" t="s">
        <v>76</v>
      </c>
      <c r="D320" t="s">
        <v>77</v>
      </c>
      <c r="E320">
        <v>4</v>
      </c>
      <c r="F320" t="s">
        <v>38</v>
      </c>
      <c r="G320" t="s">
        <v>38</v>
      </c>
      <c r="H320" t="s">
        <v>38</v>
      </c>
      <c r="I320" t="s">
        <v>38</v>
      </c>
      <c r="J320">
        <v>79</v>
      </c>
      <c r="K320">
        <v>83</v>
      </c>
      <c r="L320">
        <v>656</v>
      </c>
      <c r="M320" s="38">
        <v>5465</v>
      </c>
      <c r="N320" s="38">
        <v>1361</v>
      </c>
      <c r="O320" s="38">
        <f t="shared" si="274"/>
        <v>927</v>
      </c>
      <c r="P320" s="38">
        <v>266</v>
      </c>
      <c r="Q320" s="38">
        <v>40</v>
      </c>
      <c r="R320" s="38">
        <v>128</v>
      </c>
      <c r="S320" s="38">
        <v>502</v>
      </c>
      <c r="T320" s="38">
        <v>46</v>
      </c>
      <c r="U320" s="38">
        <f t="shared" si="275"/>
        <v>3556</v>
      </c>
      <c r="V320">
        <v>1095</v>
      </c>
      <c r="W320">
        <v>130</v>
      </c>
      <c r="X320">
        <v>44</v>
      </c>
      <c r="Y320">
        <v>57</v>
      </c>
      <c r="Z320">
        <v>652</v>
      </c>
      <c r="AA320">
        <v>597</v>
      </c>
      <c r="AB320">
        <v>3.7</v>
      </c>
      <c r="AC320">
        <v>8</v>
      </c>
      <c r="AD320">
        <v>19</v>
      </c>
      <c r="AE320">
        <v>36</v>
      </c>
      <c r="AF320" s="45">
        <f t="shared" ca="1" si="332"/>
        <v>6294</v>
      </c>
      <c r="AG320" s="45">
        <f t="shared" ca="1" si="276"/>
        <v>1653</v>
      </c>
      <c r="AH320" s="45">
        <f t="shared" ca="1" si="277"/>
        <v>1131</v>
      </c>
      <c r="AI320" s="45">
        <f t="shared" ca="1" si="278"/>
        <v>348</v>
      </c>
      <c r="AJ320" s="45">
        <f t="shared" ca="1" si="279"/>
        <v>30</v>
      </c>
      <c r="AK320" s="45">
        <f t="shared" ca="1" si="280"/>
        <v>144</v>
      </c>
      <c r="AL320" s="45">
        <f t="shared" ca="1" si="281"/>
        <v>670</v>
      </c>
      <c r="AM320" s="45">
        <f t="shared" ca="1" si="282"/>
        <v>78</v>
      </c>
      <c r="AN320" s="45">
        <f t="shared" ca="1" si="283"/>
        <v>3893</v>
      </c>
      <c r="AO320">
        <v>4359</v>
      </c>
      <c r="AP320">
        <v>1438</v>
      </c>
      <c r="AQ320">
        <v>135</v>
      </c>
      <c r="AR320">
        <v>545</v>
      </c>
      <c r="AS320">
        <v>1106</v>
      </c>
      <c r="AT320">
        <v>87</v>
      </c>
      <c r="AU320">
        <v>159</v>
      </c>
      <c r="AV320">
        <v>0.98599999999999999</v>
      </c>
      <c r="AW320" s="1"/>
      <c r="AX320" s="1"/>
      <c r="AY320" s="47">
        <f t="shared" si="284"/>
        <v>29700</v>
      </c>
      <c r="AZ320" s="49">
        <f t="shared" si="285"/>
        <v>165353</v>
      </c>
      <c r="BA320" s="49">
        <f t="shared" ref="BA320" si="342">SUMIF($B$2:$B$571,$B320,$U$2:$U$571)</f>
        <v>105472</v>
      </c>
      <c r="BB320" s="48">
        <f t="shared" si="287"/>
        <v>0.63785960944161879</v>
      </c>
    </row>
    <row r="321" spans="2:54" x14ac:dyDescent="0.2">
      <c r="B321" s="3">
        <v>2010</v>
      </c>
      <c r="C321" t="s">
        <v>78</v>
      </c>
      <c r="D321" t="s">
        <v>79</v>
      </c>
      <c r="E321">
        <v>2</v>
      </c>
      <c r="F321" t="s">
        <v>38</v>
      </c>
      <c r="G321" t="s">
        <v>38</v>
      </c>
      <c r="H321" t="s">
        <v>38</v>
      </c>
      <c r="I321" t="s">
        <v>38</v>
      </c>
      <c r="J321">
        <v>81</v>
      </c>
      <c r="K321">
        <v>81</v>
      </c>
      <c r="L321">
        <v>663</v>
      </c>
      <c r="M321" s="38">
        <v>5448</v>
      </c>
      <c r="N321" s="38">
        <v>1396</v>
      </c>
      <c r="O321" s="38">
        <f t="shared" si="274"/>
        <v>981</v>
      </c>
      <c r="P321" s="38">
        <v>276</v>
      </c>
      <c r="Q321" s="38">
        <v>30</v>
      </c>
      <c r="R321" s="38">
        <v>109</v>
      </c>
      <c r="S321" s="38">
        <v>527</v>
      </c>
      <c r="T321" s="38">
        <v>47</v>
      </c>
      <c r="U321" s="38">
        <f t="shared" si="275"/>
        <v>3478</v>
      </c>
      <c r="V321">
        <v>1061</v>
      </c>
      <c r="W321">
        <v>156</v>
      </c>
      <c r="X321">
        <v>38</v>
      </c>
      <c r="Y321">
        <v>51</v>
      </c>
      <c r="Z321">
        <v>626</v>
      </c>
      <c r="AA321">
        <v>566</v>
      </c>
      <c r="AB321">
        <v>3.56</v>
      </c>
      <c r="AC321">
        <v>7</v>
      </c>
      <c r="AD321">
        <v>17</v>
      </c>
      <c r="AE321">
        <v>38</v>
      </c>
      <c r="AF321" s="45">
        <f t="shared" ca="1" si="332"/>
        <v>6218</v>
      </c>
      <c r="AG321" s="45">
        <f t="shared" ca="1" si="276"/>
        <v>1557</v>
      </c>
      <c r="AH321" s="45">
        <f t="shared" ca="1" si="277"/>
        <v>1070</v>
      </c>
      <c r="AI321" s="45">
        <f t="shared" ca="1" si="278"/>
        <v>254</v>
      </c>
      <c r="AJ321" s="45">
        <f t="shared" ca="1" si="279"/>
        <v>32</v>
      </c>
      <c r="AK321" s="45">
        <f t="shared" ca="1" si="280"/>
        <v>201</v>
      </c>
      <c r="AL321" s="45">
        <f t="shared" ca="1" si="281"/>
        <v>683</v>
      </c>
      <c r="AM321" s="45">
        <f t="shared" ca="1" si="282"/>
        <v>87</v>
      </c>
      <c r="AN321" s="45">
        <f t="shared" ca="1" si="283"/>
        <v>3891</v>
      </c>
      <c r="AO321">
        <v>4295</v>
      </c>
      <c r="AP321">
        <v>1315</v>
      </c>
      <c r="AQ321">
        <v>153</v>
      </c>
      <c r="AR321">
        <v>512</v>
      </c>
      <c r="AS321">
        <v>1070</v>
      </c>
      <c r="AT321">
        <v>99</v>
      </c>
      <c r="AU321">
        <v>147</v>
      </c>
      <c r="AV321">
        <v>0.98399999999999999</v>
      </c>
      <c r="AW321" s="1"/>
      <c r="AX321" s="1"/>
      <c r="AY321" s="47">
        <f t="shared" si="284"/>
        <v>29700</v>
      </c>
      <c r="AZ321" s="49">
        <f t="shared" si="285"/>
        <v>165353</v>
      </c>
      <c r="BA321" s="49"/>
      <c r="BB321" s="48">
        <f t="shared" si="287"/>
        <v>0</v>
      </c>
    </row>
    <row r="322" spans="2:54" x14ac:dyDescent="0.2">
      <c r="B322" s="3">
        <v>2010</v>
      </c>
      <c r="C322" t="s">
        <v>80</v>
      </c>
      <c r="D322" t="s">
        <v>81</v>
      </c>
      <c r="E322">
        <v>1</v>
      </c>
      <c r="F322" t="s">
        <v>43</v>
      </c>
      <c r="G322" t="s">
        <v>38</v>
      </c>
      <c r="H322" t="s">
        <v>38</v>
      </c>
      <c r="I322" t="s">
        <v>38</v>
      </c>
      <c r="J322">
        <v>97</v>
      </c>
      <c r="K322">
        <v>65</v>
      </c>
      <c r="L322">
        <v>772</v>
      </c>
      <c r="M322" s="38">
        <v>5581</v>
      </c>
      <c r="N322" s="38">
        <v>1451</v>
      </c>
      <c r="O322" s="38">
        <f t="shared" si="274"/>
        <v>961</v>
      </c>
      <c r="P322" s="38">
        <v>290</v>
      </c>
      <c r="Q322" s="38">
        <v>34</v>
      </c>
      <c r="R322" s="38">
        <v>166</v>
      </c>
      <c r="S322" s="38">
        <v>560</v>
      </c>
      <c r="T322" s="38">
        <v>63</v>
      </c>
      <c r="U322" s="38">
        <f t="shared" si="275"/>
        <v>3507</v>
      </c>
      <c r="V322">
        <v>1064</v>
      </c>
      <c r="W322">
        <v>108</v>
      </c>
      <c r="X322">
        <v>21</v>
      </c>
      <c r="Y322">
        <v>43</v>
      </c>
      <c r="Z322">
        <v>640</v>
      </c>
      <c r="AA322">
        <v>594</v>
      </c>
      <c r="AB322">
        <v>3.67</v>
      </c>
      <c r="AC322">
        <v>14</v>
      </c>
      <c r="AD322">
        <v>21</v>
      </c>
      <c r="AE322">
        <v>40</v>
      </c>
      <c r="AF322" s="45">
        <f t="shared" ca="1" si="332"/>
        <v>6452</v>
      </c>
      <c r="AG322" s="45">
        <f t="shared" ca="1" si="276"/>
        <v>1452</v>
      </c>
      <c r="AH322" s="45">
        <f t="shared" ca="1" si="277"/>
        <v>949</v>
      </c>
      <c r="AI322" s="45">
        <f t="shared" ca="1" si="278"/>
        <v>332</v>
      </c>
      <c r="AJ322" s="45">
        <f t="shared" ca="1" si="279"/>
        <v>21</v>
      </c>
      <c r="AK322" s="45">
        <f t="shared" ca="1" si="280"/>
        <v>150</v>
      </c>
      <c r="AL322" s="45">
        <f t="shared" ca="1" si="281"/>
        <v>682</v>
      </c>
      <c r="AM322" s="45">
        <f t="shared" ca="1" si="282"/>
        <v>56</v>
      </c>
      <c r="AN322" s="45">
        <f t="shared" ca="1" si="283"/>
        <v>4262</v>
      </c>
      <c r="AO322">
        <v>4369</v>
      </c>
      <c r="AP322">
        <v>1402</v>
      </c>
      <c r="AQ322">
        <v>168</v>
      </c>
      <c r="AR322">
        <v>416</v>
      </c>
      <c r="AS322">
        <v>1183</v>
      </c>
      <c r="AT322">
        <v>83</v>
      </c>
      <c r="AU322">
        <v>158</v>
      </c>
      <c r="AV322">
        <v>0.98599999999999999</v>
      </c>
      <c r="AW322" s="1"/>
      <c r="AX322" s="1"/>
      <c r="AY322" s="47">
        <f t="shared" si="284"/>
        <v>29700</v>
      </c>
      <c r="AZ322" s="49">
        <f t="shared" si="285"/>
        <v>165353</v>
      </c>
      <c r="BA322" s="49">
        <f t="shared" ref="BA322" si="343">SUMIF($B$2:$B$571,$B322,$O$2:$O$571)</f>
        <v>28589</v>
      </c>
      <c r="BB322" s="48">
        <f t="shared" si="287"/>
        <v>0.17289677235973946</v>
      </c>
    </row>
    <row r="323" spans="2:54" x14ac:dyDescent="0.2">
      <c r="B323" s="3">
        <v>2010</v>
      </c>
      <c r="C323" t="s">
        <v>82</v>
      </c>
      <c r="D323" t="s">
        <v>83</v>
      </c>
      <c r="E323">
        <v>6</v>
      </c>
      <c r="F323" t="s">
        <v>38</v>
      </c>
      <c r="G323" t="s">
        <v>38</v>
      </c>
      <c r="H323" t="s">
        <v>38</v>
      </c>
      <c r="I323" t="s">
        <v>38</v>
      </c>
      <c r="J323">
        <v>57</v>
      </c>
      <c r="K323">
        <v>105</v>
      </c>
      <c r="L323">
        <v>587</v>
      </c>
      <c r="M323" s="38">
        <v>5386</v>
      </c>
      <c r="N323" s="38">
        <v>1303</v>
      </c>
      <c r="O323" s="38">
        <f t="shared" ref="O323:O386" si="344">N323-(P323+Q323+R323)</f>
        <v>874</v>
      </c>
      <c r="P323" s="38">
        <v>276</v>
      </c>
      <c r="Q323" s="38">
        <v>27</v>
      </c>
      <c r="R323" s="38">
        <v>126</v>
      </c>
      <c r="S323" s="38">
        <v>463</v>
      </c>
      <c r="T323" s="38">
        <v>33</v>
      </c>
      <c r="U323" s="38">
        <f t="shared" ref="U323:U386" si="345">M323-(N323+S323+T323)</f>
        <v>3587</v>
      </c>
      <c r="V323">
        <v>1207</v>
      </c>
      <c r="W323">
        <v>87</v>
      </c>
      <c r="X323">
        <v>36</v>
      </c>
      <c r="Y323">
        <v>33</v>
      </c>
      <c r="Z323">
        <v>866</v>
      </c>
      <c r="AA323">
        <v>784</v>
      </c>
      <c r="AB323">
        <v>5</v>
      </c>
      <c r="AC323">
        <v>1</v>
      </c>
      <c r="AD323">
        <v>6</v>
      </c>
      <c r="AE323">
        <v>31</v>
      </c>
      <c r="AF323" s="45">
        <f t="shared" ca="1" si="332"/>
        <v>6372</v>
      </c>
      <c r="AG323" s="45">
        <f t="shared" ref="AG323:AG386" ca="1" si="346">RANDBETWEEN(1300,1700)</f>
        <v>1541</v>
      </c>
      <c r="AH323" s="45">
        <f t="shared" ref="AH323:AH386" ca="1" si="347">AG323-(AI323+AJ323+AK323)</f>
        <v>1064</v>
      </c>
      <c r="AI323" s="45">
        <f t="shared" ref="AI323:AI386" ca="1" si="348">RANDBETWEEN(219,400)</f>
        <v>230</v>
      </c>
      <c r="AJ323" s="45">
        <f t="shared" ref="AJ323:AJ386" ca="1" si="349">RANDBETWEEN(20,50)</f>
        <v>31</v>
      </c>
      <c r="AK323" s="45">
        <f t="shared" ref="AK323:AK386" ca="1" si="350">RANDBETWEEN(130,240)</f>
        <v>216</v>
      </c>
      <c r="AL323" s="45">
        <f t="shared" ref="AL323:AL386" ca="1" si="351">RANDBETWEEN(400,700)</f>
        <v>651</v>
      </c>
      <c r="AM323" s="45">
        <f t="shared" ref="AM323:AM386" ca="1" si="352">RANDBETWEEN(30,90)</f>
        <v>90</v>
      </c>
      <c r="AN323" s="45">
        <f t="shared" ref="AN323:AN386" ca="1" si="353">AF323-(AG323+AL323+AM323)</f>
        <v>4090</v>
      </c>
      <c r="AO323">
        <v>4235</v>
      </c>
      <c r="AP323">
        <v>1567</v>
      </c>
      <c r="AQ323">
        <v>167</v>
      </c>
      <c r="AR323">
        <v>538</v>
      </c>
      <c r="AS323">
        <v>1026</v>
      </c>
      <c r="AT323">
        <v>127</v>
      </c>
      <c r="AU323">
        <v>120</v>
      </c>
      <c r="AV323">
        <v>0.97899999999999998</v>
      </c>
      <c r="AW323" s="1"/>
      <c r="AX323" s="1"/>
      <c r="AY323" s="47">
        <f t="shared" ref="AY323:AY386" si="354">SUM(O$2:O$31)</f>
        <v>29700</v>
      </c>
      <c r="AZ323" s="49">
        <f t="shared" ref="AZ323:AZ386" si="355">SUMIF($B$2:$B$571,$B323,$M$2:$M$571)</f>
        <v>165353</v>
      </c>
      <c r="BA323" s="49">
        <f t="shared" ref="BA323" si="356">SUMIF($B$2:$B$571,$B323,$P$2:$P$571)</f>
        <v>8486</v>
      </c>
      <c r="BB323" s="48">
        <f t="shared" ref="BB323:BB386" si="357">BA323/AZ323</f>
        <v>5.1320508245994934E-2</v>
      </c>
    </row>
    <row r="324" spans="2:54" x14ac:dyDescent="0.2">
      <c r="B324" s="3">
        <v>2010</v>
      </c>
      <c r="C324" t="s">
        <v>84</v>
      </c>
      <c r="D324" t="s">
        <v>85</v>
      </c>
      <c r="E324">
        <v>2</v>
      </c>
      <c r="F324" t="s">
        <v>38</v>
      </c>
      <c r="G324" t="s">
        <v>38</v>
      </c>
      <c r="H324" t="s">
        <v>38</v>
      </c>
      <c r="I324" t="s">
        <v>38</v>
      </c>
      <c r="J324">
        <v>90</v>
      </c>
      <c r="K324">
        <v>72</v>
      </c>
      <c r="L324">
        <v>665</v>
      </c>
      <c r="M324" s="38">
        <v>5434</v>
      </c>
      <c r="N324" s="38">
        <v>1338</v>
      </c>
      <c r="O324" s="38">
        <f t="shared" si="344"/>
        <v>946</v>
      </c>
      <c r="P324" s="38">
        <v>236</v>
      </c>
      <c r="Q324" s="38">
        <v>24</v>
      </c>
      <c r="R324" s="38">
        <v>132</v>
      </c>
      <c r="S324" s="38">
        <v>538</v>
      </c>
      <c r="T324" s="38">
        <v>50</v>
      </c>
      <c r="U324" s="38">
        <f t="shared" si="345"/>
        <v>3508</v>
      </c>
      <c r="V324">
        <v>1183</v>
      </c>
      <c r="W324">
        <v>124</v>
      </c>
      <c r="X324">
        <v>50</v>
      </c>
      <c r="Y324">
        <v>46</v>
      </c>
      <c r="Z324">
        <v>581</v>
      </c>
      <c r="AA324">
        <v>549</v>
      </c>
      <c r="AB324">
        <v>3.39</v>
      </c>
      <c r="AC324">
        <v>2</v>
      </c>
      <c r="AD324">
        <v>20</v>
      </c>
      <c r="AE324">
        <v>49</v>
      </c>
      <c r="AF324" s="45">
        <f t="shared" ca="1" si="332"/>
        <v>6174</v>
      </c>
      <c r="AG324" s="45">
        <f t="shared" ca="1" si="346"/>
        <v>1490</v>
      </c>
      <c r="AH324" s="45">
        <f t="shared" ca="1" si="347"/>
        <v>994</v>
      </c>
      <c r="AI324" s="45">
        <f t="shared" ca="1" si="348"/>
        <v>281</v>
      </c>
      <c r="AJ324" s="45">
        <f t="shared" ca="1" si="349"/>
        <v>31</v>
      </c>
      <c r="AK324" s="45">
        <f t="shared" ca="1" si="350"/>
        <v>184</v>
      </c>
      <c r="AL324" s="45">
        <f t="shared" ca="1" si="351"/>
        <v>661</v>
      </c>
      <c r="AM324" s="45">
        <f t="shared" ca="1" si="352"/>
        <v>31</v>
      </c>
      <c r="AN324" s="45">
        <f t="shared" ca="1" si="353"/>
        <v>3992</v>
      </c>
      <c r="AO324">
        <v>4369</v>
      </c>
      <c r="AP324">
        <v>1305</v>
      </c>
      <c r="AQ324">
        <v>139</v>
      </c>
      <c r="AR324">
        <v>517</v>
      </c>
      <c r="AS324">
        <v>1295</v>
      </c>
      <c r="AT324">
        <v>72</v>
      </c>
      <c r="AU324">
        <v>141</v>
      </c>
      <c r="AV324">
        <v>0.98799999999999999</v>
      </c>
      <c r="AW324" s="1"/>
      <c r="AX324" s="1"/>
      <c r="AY324" s="47">
        <f t="shared" si="354"/>
        <v>29700</v>
      </c>
      <c r="AZ324" s="49">
        <f t="shared" si="355"/>
        <v>165353</v>
      </c>
      <c r="BA324" s="49">
        <f t="shared" ref="BA324" si="358">SUMIF($B$2:$B$571,$B324,$Q$2:$Q$571)</f>
        <v>866</v>
      </c>
      <c r="BB324" s="48">
        <f t="shared" si="357"/>
        <v>5.2372802428743356E-3</v>
      </c>
    </row>
    <row r="325" spans="2:54" x14ac:dyDescent="0.2">
      <c r="B325" s="3">
        <v>2010</v>
      </c>
      <c r="C325" t="s">
        <v>86</v>
      </c>
      <c r="D325" t="s">
        <v>87</v>
      </c>
      <c r="E325">
        <v>4</v>
      </c>
      <c r="F325" t="s">
        <v>38</v>
      </c>
      <c r="G325" t="s">
        <v>38</v>
      </c>
      <c r="H325" t="s">
        <v>38</v>
      </c>
      <c r="I325" t="s">
        <v>38</v>
      </c>
      <c r="J325">
        <v>61</v>
      </c>
      <c r="K325">
        <v>101</v>
      </c>
      <c r="L325">
        <v>513</v>
      </c>
      <c r="M325" s="38">
        <v>5409</v>
      </c>
      <c r="N325" s="38">
        <v>1274</v>
      </c>
      <c r="O325" s="38">
        <f t="shared" si="344"/>
        <v>930</v>
      </c>
      <c r="P325" s="38">
        <v>227</v>
      </c>
      <c r="Q325" s="38">
        <v>16</v>
      </c>
      <c r="R325" s="38">
        <v>101</v>
      </c>
      <c r="S325" s="38">
        <v>459</v>
      </c>
      <c r="T325" s="38">
        <v>39</v>
      </c>
      <c r="U325" s="38">
        <f t="shared" si="345"/>
        <v>3637</v>
      </c>
      <c r="V325">
        <v>1184</v>
      </c>
      <c r="W325">
        <v>142</v>
      </c>
      <c r="X325">
        <v>39</v>
      </c>
      <c r="Y325">
        <v>40</v>
      </c>
      <c r="Z325">
        <v>698</v>
      </c>
      <c r="AA325">
        <v>628</v>
      </c>
      <c r="AB325">
        <v>3.93</v>
      </c>
      <c r="AC325">
        <v>11</v>
      </c>
      <c r="AD325">
        <v>10</v>
      </c>
      <c r="AE325">
        <v>38</v>
      </c>
      <c r="AF325" s="45">
        <f t="shared" ca="1" si="332"/>
        <v>6390</v>
      </c>
      <c r="AG325" s="45">
        <f t="shared" ca="1" si="346"/>
        <v>1698</v>
      </c>
      <c r="AH325" s="45">
        <f t="shared" ca="1" si="347"/>
        <v>1237</v>
      </c>
      <c r="AI325" s="45">
        <f t="shared" ca="1" si="348"/>
        <v>256</v>
      </c>
      <c r="AJ325" s="45">
        <f t="shared" ca="1" si="349"/>
        <v>42</v>
      </c>
      <c r="AK325" s="45">
        <f t="shared" ca="1" si="350"/>
        <v>163</v>
      </c>
      <c r="AL325" s="45">
        <f t="shared" ca="1" si="351"/>
        <v>425</v>
      </c>
      <c r="AM325" s="45">
        <f t="shared" ca="1" si="352"/>
        <v>60</v>
      </c>
      <c r="AN325" s="45">
        <f t="shared" ca="1" si="353"/>
        <v>4207</v>
      </c>
      <c r="AO325">
        <v>4314</v>
      </c>
      <c r="AP325">
        <v>1402</v>
      </c>
      <c r="AQ325">
        <v>157</v>
      </c>
      <c r="AR325">
        <v>452</v>
      </c>
      <c r="AS325">
        <v>973</v>
      </c>
      <c r="AT325">
        <v>110</v>
      </c>
      <c r="AU325">
        <v>145</v>
      </c>
      <c r="AV325">
        <v>0.98199999999999998</v>
      </c>
      <c r="AW325" s="1"/>
      <c r="AX325" s="1"/>
      <c r="AY325" s="47">
        <f t="shared" si="354"/>
        <v>29700</v>
      </c>
      <c r="AZ325" s="49">
        <f t="shared" si="355"/>
        <v>165353</v>
      </c>
      <c r="BA325" s="49">
        <f t="shared" ref="BA325" si="359">SUMIF($B$2:$B$571,$B325,$R$2:$R$571)</f>
        <v>4613</v>
      </c>
      <c r="BB325" s="48">
        <f t="shared" si="357"/>
        <v>2.78978911782671E-2</v>
      </c>
    </row>
    <row r="326" spans="2:54" x14ac:dyDescent="0.2">
      <c r="B326" s="3">
        <v>2010</v>
      </c>
      <c r="C326" t="s">
        <v>88</v>
      </c>
      <c r="D326" t="s">
        <v>89</v>
      </c>
      <c r="E326">
        <v>1</v>
      </c>
      <c r="F326" t="s">
        <v>43</v>
      </c>
      <c r="G326" t="s">
        <v>38</v>
      </c>
      <c r="H326" t="s">
        <v>43</v>
      </c>
      <c r="I326" t="s">
        <v>43</v>
      </c>
      <c r="J326">
        <v>92</v>
      </c>
      <c r="K326">
        <v>70</v>
      </c>
      <c r="L326">
        <v>697</v>
      </c>
      <c r="M326" s="38">
        <v>5488</v>
      </c>
      <c r="N326" s="38">
        <v>1411</v>
      </c>
      <c r="O326" s="38">
        <f t="shared" si="344"/>
        <v>935</v>
      </c>
      <c r="P326" s="38">
        <v>284</v>
      </c>
      <c r="Q326" s="38">
        <v>30</v>
      </c>
      <c r="R326" s="38">
        <v>162</v>
      </c>
      <c r="S326" s="38">
        <v>487</v>
      </c>
      <c r="T326" s="38">
        <v>50</v>
      </c>
      <c r="U326" s="38">
        <f t="shared" si="345"/>
        <v>3540</v>
      </c>
      <c r="V326">
        <v>1099</v>
      </c>
      <c r="W326">
        <v>55</v>
      </c>
      <c r="X326">
        <v>32</v>
      </c>
      <c r="Y326">
        <v>41</v>
      </c>
      <c r="Z326">
        <v>583</v>
      </c>
      <c r="AA326">
        <v>546</v>
      </c>
      <c r="AB326">
        <v>3.36</v>
      </c>
      <c r="AC326">
        <v>6</v>
      </c>
      <c r="AD326">
        <v>17</v>
      </c>
      <c r="AE326">
        <v>57</v>
      </c>
      <c r="AF326" s="45">
        <f t="shared" ca="1" si="332"/>
        <v>6279</v>
      </c>
      <c r="AG326" s="45">
        <f t="shared" ca="1" si="346"/>
        <v>1603</v>
      </c>
      <c r="AH326" s="45">
        <f t="shared" ca="1" si="347"/>
        <v>1051</v>
      </c>
      <c r="AI326" s="45">
        <f t="shared" ca="1" si="348"/>
        <v>352</v>
      </c>
      <c r="AJ326" s="45">
        <f t="shared" ca="1" si="349"/>
        <v>34</v>
      </c>
      <c r="AK326" s="45">
        <f t="shared" ca="1" si="350"/>
        <v>166</v>
      </c>
      <c r="AL326" s="45">
        <f t="shared" ca="1" si="351"/>
        <v>649</v>
      </c>
      <c r="AM326" s="45">
        <f t="shared" ca="1" si="352"/>
        <v>68</v>
      </c>
      <c r="AN326" s="45">
        <f t="shared" ca="1" si="353"/>
        <v>3959</v>
      </c>
      <c r="AO326">
        <v>4383</v>
      </c>
      <c r="AP326">
        <v>1279</v>
      </c>
      <c r="AQ326">
        <v>134</v>
      </c>
      <c r="AR326">
        <v>578</v>
      </c>
      <c r="AS326">
        <v>1331</v>
      </c>
      <c r="AT326">
        <v>73</v>
      </c>
      <c r="AU326">
        <v>110</v>
      </c>
      <c r="AV326">
        <v>0.98799999999999999</v>
      </c>
      <c r="AW326" s="1"/>
      <c r="AX326" s="1"/>
      <c r="AY326" s="47">
        <f t="shared" si="354"/>
        <v>29700</v>
      </c>
      <c r="AZ326" s="49">
        <f t="shared" si="355"/>
        <v>165353</v>
      </c>
      <c r="BA326" s="49">
        <f t="shared" ref="BA326" si="360">SUMIF($B$2:$B$571,$B326,$S$2:$S$571)</f>
        <v>15778</v>
      </c>
      <c r="BB326" s="48">
        <f t="shared" si="357"/>
        <v>9.5420101237957577E-2</v>
      </c>
    </row>
    <row r="327" spans="2:54" x14ac:dyDescent="0.2">
      <c r="B327" s="3">
        <v>2010</v>
      </c>
      <c r="C327" t="s">
        <v>90</v>
      </c>
      <c r="D327" t="s">
        <v>91</v>
      </c>
      <c r="E327">
        <v>2</v>
      </c>
      <c r="F327" t="s">
        <v>38</v>
      </c>
      <c r="G327" t="s">
        <v>38</v>
      </c>
      <c r="H327" t="s">
        <v>38</v>
      </c>
      <c r="I327" t="s">
        <v>38</v>
      </c>
      <c r="J327">
        <v>86</v>
      </c>
      <c r="K327">
        <v>76</v>
      </c>
      <c r="L327">
        <v>736</v>
      </c>
      <c r="M327" s="38">
        <v>5542</v>
      </c>
      <c r="N327" s="38">
        <v>1456</v>
      </c>
      <c r="O327" s="38">
        <f t="shared" si="344"/>
        <v>1003</v>
      </c>
      <c r="P327" s="38">
        <v>285</v>
      </c>
      <c r="Q327" s="38">
        <v>18</v>
      </c>
      <c r="R327" s="38">
        <v>150</v>
      </c>
      <c r="S327" s="38">
        <v>541</v>
      </c>
      <c r="T327" s="38">
        <v>50</v>
      </c>
      <c r="U327" s="38">
        <f t="shared" si="345"/>
        <v>3495</v>
      </c>
      <c r="V327">
        <v>1027</v>
      </c>
      <c r="W327">
        <v>79</v>
      </c>
      <c r="X327">
        <v>41</v>
      </c>
      <c r="Y327">
        <v>40</v>
      </c>
      <c r="Z327">
        <v>641</v>
      </c>
      <c r="AA327">
        <v>577</v>
      </c>
      <c r="AB327">
        <v>3.57</v>
      </c>
      <c r="AC327">
        <v>7</v>
      </c>
      <c r="AD327">
        <v>16</v>
      </c>
      <c r="AE327">
        <v>32</v>
      </c>
      <c r="AF327" s="45">
        <f t="shared" ca="1" si="332"/>
        <v>6343</v>
      </c>
      <c r="AG327" s="45">
        <f t="shared" ca="1" si="346"/>
        <v>1309</v>
      </c>
      <c r="AH327" s="45">
        <f t="shared" ca="1" si="347"/>
        <v>682</v>
      </c>
      <c r="AI327" s="45">
        <f t="shared" ca="1" si="348"/>
        <v>385</v>
      </c>
      <c r="AJ327" s="45">
        <f t="shared" ca="1" si="349"/>
        <v>20</v>
      </c>
      <c r="AK327" s="45">
        <f t="shared" ca="1" si="350"/>
        <v>222</v>
      </c>
      <c r="AL327" s="45">
        <f t="shared" ca="1" si="351"/>
        <v>537</v>
      </c>
      <c r="AM327" s="45">
        <f t="shared" ca="1" si="352"/>
        <v>71</v>
      </c>
      <c r="AN327" s="45">
        <f t="shared" ca="1" si="353"/>
        <v>4426</v>
      </c>
      <c r="AO327">
        <v>4361</v>
      </c>
      <c r="AP327">
        <v>1412</v>
      </c>
      <c r="AQ327">
        <v>133</v>
      </c>
      <c r="AR327">
        <v>477</v>
      </c>
      <c r="AS327">
        <v>1094</v>
      </c>
      <c r="AT327">
        <v>99</v>
      </c>
      <c r="AU327">
        <v>172</v>
      </c>
      <c r="AV327">
        <v>0.98399999999999999</v>
      </c>
      <c r="AW327" s="1"/>
      <c r="AX327" s="1"/>
      <c r="AY327" s="47">
        <f t="shared" si="354"/>
        <v>29700</v>
      </c>
      <c r="AZ327" s="49">
        <f t="shared" si="355"/>
        <v>165353</v>
      </c>
      <c r="BA327" s="49">
        <f t="shared" ref="BA327" si="361">SUMIF($B$2:$B$571,$B327,$T$2:$T$571)</f>
        <v>1549</v>
      </c>
      <c r="BB327" s="48">
        <f t="shared" si="357"/>
        <v>9.3678372935477438E-3</v>
      </c>
    </row>
    <row r="328" spans="2:54" x14ac:dyDescent="0.2">
      <c r="B328" s="3">
        <v>2010</v>
      </c>
      <c r="C328" t="s">
        <v>102</v>
      </c>
      <c r="D328" t="s">
        <v>93</v>
      </c>
      <c r="E328">
        <v>1</v>
      </c>
      <c r="F328" t="s">
        <v>43</v>
      </c>
      <c r="G328" t="s">
        <v>38</v>
      </c>
      <c r="H328" t="s">
        <v>38</v>
      </c>
      <c r="I328" t="s">
        <v>38</v>
      </c>
      <c r="J328">
        <v>96</v>
      </c>
      <c r="K328">
        <v>66</v>
      </c>
      <c r="L328">
        <v>802</v>
      </c>
      <c r="M328" s="38">
        <v>5439</v>
      </c>
      <c r="N328" s="38">
        <v>1343</v>
      </c>
      <c r="O328" s="38">
        <f t="shared" si="344"/>
        <v>851</v>
      </c>
      <c r="P328" s="38">
        <v>295</v>
      </c>
      <c r="Q328" s="38">
        <v>37</v>
      </c>
      <c r="R328" s="38">
        <v>160</v>
      </c>
      <c r="S328" s="38">
        <v>672</v>
      </c>
      <c r="T328" s="38">
        <v>57</v>
      </c>
      <c r="U328" s="38">
        <f t="shared" si="345"/>
        <v>3367</v>
      </c>
      <c r="V328">
        <v>1292</v>
      </c>
      <c r="W328">
        <v>172</v>
      </c>
      <c r="X328">
        <v>47</v>
      </c>
      <c r="Y328">
        <v>57</v>
      </c>
      <c r="Z328">
        <v>649</v>
      </c>
      <c r="AA328">
        <v>611</v>
      </c>
      <c r="AB328">
        <v>3.78</v>
      </c>
      <c r="AC328">
        <v>6</v>
      </c>
      <c r="AD328">
        <v>12</v>
      </c>
      <c r="AE328">
        <v>51</v>
      </c>
      <c r="AF328" s="45">
        <f t="shared" ca="1" si="332"/>
        <v>6269</v>
      </c>
      <c r="AG328" s="45">
        <f t="shared" ca="1" si="346"/>
        <v>1311</v>
      </c>
      <c r="AH328" s="45">
        <f t="shared" ca="1" si="347"/>
        <v>754</v>
      </c>
      <c r="AI328" s="45">
        <f t="shared" ca="1" si="348"/>
        <v>333</v>
      </c>
      <c r="AJ328" s="45">
        <f t="shared" ca="1" si="349"/>
        <v>21</v>
      </c>
      <c r="AK328" s="45">
        <f t="shared" ca="1" si="350"/>
        <v>203</v>
      </c>
      <c r="AL328" s="45">
        <f t="shared" ca="1" si="351"/>
        <v>453</v>
      </c>
      <c r="AM328" s="45">
        <f t="shared" ca="1" si="352"/>
        <v>67</v>
      </c>
      <c r="AN328" s="45">
        <f t="shared" ca="1" si="353"/>
        <v>4438</v>
      </c>
      <c r="AO328">
        <v>4361</v>
      </c>
      <c r="AP328">
        <v>1347</v>
      </c>
      <c r="AQ328">
        <v>175</v>
      </c>
      <c r="AR328">
        <v>478</v>
      </c>
      <c r="AS328">
        <v>1189</v>
      </c>
      <c r="AT328">
        <v>85</v>
      </c>
      <c r="AU328">
        <v>134</v>
      </c>
      <c r="AV328">
        <v>0.98599999999999999</v>
      </c>
      <c r="AW328" s="1"/>
      <c r="AX328" s="1"/>
      <c r="AY328" s="47">
        <f t="shared" si="354"/>
        <v>29700</v>
      </c>
      <c r="AZ328" s="49">
        <f t="shared" si="355"/>
        <v>165353</v>
      </c>
      <c r="BA328" s="49">
        <f t="shared" ref="BA328" si="362">SUMIF($B$2:$B$571,$B328,$U$2:$U$571)</f>
        <v>105472</v>
      </c>
      <c r="BB328" s="48">
        <f t="shared" si="357"/>
        <v>0.63785960944161879</v>
      </c>
    </row>
    <row r="329" spans="2:54" x14ac:dyDescent="0.2">
      <c r="B329" s="3">
        <v>2010</v>
      </c>
      <c r="C329" t="s">
        <v>94</v>
      </c>
      <c r="D329" t="s">
        <v>95</v>
      </c>
      <c r="E329">
        <v>1</v>
      </c>
      <c r="F329" t="s">
        <v>43</v>
      </c>
      <c r="G329" t="s">
        <v>38</v>
      </c>
      <c r="H329" t="s">
        <v>43</v>
      </c>
      <c r="I329" t="s">
        <v>38</v>
      </c>
      <c r="J329">
        <v>90</v>
      </c>
      <c r="K329">
        <v>72</v>
      </c>
      <c r="L329">
        <v>787</v>
      </c>
      <c r="M329" s="38">
        <v>5635</v>
      </c>
      <c r="N329" s="38">
        <v>1556</v>
      </c>
      <c r="O329" s="38">
        <f t="shared" si="344"/>
        <v>1101</v>
      </c>
      <c r="P329" s="38">
        <v>268</v>
      </c>
      <c r="Q329" s="38">
        <v>25</v>
      </c>
      <c r="R329" s="38">
        <v>162</v>
      </c>
      <c r="S329" s="38">
        <v>511</v>
      </c>
      <c r="T329" s="38">
        <v>45</v>
      </c>
      <c r="U329" s="38">
        <f t="shared" si="345"/>
        <v>3523</v>
      </c>
      <c r="V329">
        <v>986</v>
      </c>
      <c r="W329">
        <v>123</v>
      </c>
      <c r="X329">
        <v>48</v>
      </c>
      <c r="Y329">
        <v>54</v>
      </c>
      <c r="Z329">
        <v>687</v>
      </c>
      <c r="AA329">
        <v>636</v>
      </c>
      <c r="AB329">
        <v>3.93</v>
      </c>
      <c r="AC329">
        <v>7</v>
      </c>
      <c r="AD329">
        <v>8</v>
      </c>
      <c r="AE329">
        <v>46</v>
      </c>
      <c r="AF329" s="45">
        <f t="shared" ca="1" si="332"/>
        <v>6384</v>
      </c>
      <c r="AG329" s="45">
        <f t="shared" ca="1" si="346"/>
        <v>1570</v>
      </c>
      <c r="AH329" s="45">
        <f t="shared" ca="1" si="347"/>
        <v>1131</v>
      </c>
      <c r="AI329" s="45">
        <f t="shared" ca="1" si="348"/>
        <v>267</v>
      </c>
      <c r="AJ329" s="45">
        <f t="shared" ca="1" si="349"/>
        <v>37</v>
      </c>
      <c r="AK329" s="45">
        <f t="shared" ca="1" si="350"/>
        <v>135</v>
      </c>
      <c r="AL329" s="45">
        <f t="shared" ca="1" si="351"/>
        <v>416</v>
      </c>
      <c r="AM329" s="45">
        <f t="shared" ca="1" si="352"/>
        <v>34</v>
      </c>
      <c r="AN329" s="45">
        <f t="shared" ca="1" si="353"/>
        <v>4364</v>
      </c>
      <c r="AO329">
        <v>4366</v>
      </c>
      <c r="AP329">
        <v>1355</v>
      </c>
      <c r="AQ329">
        <v>162</v>
      </c>
      <c r="AR329">
        <v>551</v>
      </c>
      <c r="AS329">
        <v>1181</v>
      </c>
      <c r="AT329">
        <v>105</v>
      </c>
      <c r="AU329">
        <v>133</v>
      </c>
      <c r="AV329">
        <v>0.98199999999999998</v>
      </c>
      <c r="AW329" s="1"/>
      <c r="AX329" s="1"/>
      <c r="AY329" s="47">
        <f t="shared" si="354"/>
        <v>29700</v>
      </c>
      <c r="AZ329" s="49">
        <f t="shared" si="355"/>
        <v>165353</v>
      </c>
      <c r="BA329" s="49"/>
      <c r="BB329" s="48">
        <f t="shared" si="357"/>
        <v>0</v>
      </c>
    </row>
    <row r="330" spans="2:54" x14ac:dyDescent="0.2">
      <c r="B330" s="3">
        <v>2010</v>
      </c>
      <c r="C330" t="s">
        <v>96</v>
      </c>
      <c r="D330" t="s">
        <v>97</v>
      </c>
      <c r="E330">
        <v>4</v>
      </c>
      <c r="F330" t="s">
        <v>38</v>
      </c>
      <c r="G330" t="s">
        <v>38</v>
      </c>
      <c r="H330" t="s">
        <v>38</v>
      </c>
      <c r="I330" t="s">
        <v>38</v>
      </c>
      <c r="J330">
        <v>85</v>
      </c>
      <c r="K330">
        <v>77</v>
      </c>
      <c r="L330">
        <v>755</v>
      </c>
      <c r="M330" s="38">
        <v>5495</v>
      </c>
      <c r="N330" s="38">
        <v>1364</v>
      </c>
      <c r="O330" s="38">
        <f t="shared" si="344"/>
        <v>767</v>
      </c>
      <c r="P330" s="38">
        <v>319</v>
      </c>
      <c r="Q330" s="38">
        <v>21</v>
      </c>
      <c r="R330" s="38">
        <v>257</v>
      </c>
      <c r="S330" s="38">
        <v>471</v>
      </c>
      <c r="T330" s="38">
        <v>55</v>
      </c>
      <c r="U330" s="38">
        <f t="shared" si="345"/>
        <v>3605</v>
      </c>
      <c r="V330">
        <v>1164</v>
      </c>
      <c r="W330">
        <v>58</v>
      </c>
      <c r="X330">
        <v>20</v>
      </c>
      <c r="Y330">
        <v>34</v>
      </c>
      <c r="Z330">
        <v>728</v>
      </c>
      <c r="AA330">
        <v>676</v>
      </c>
      <c r="AB330">
        <v>4.22</v>
      </c>
      <c r="AC330">
        <v>5</v>
      </c>
      <c r="AD330">
        <v>11</v>
      </c>
      <c r="AE330">
        <v>45</v>
      </c>
      <c r="AF330" s="45">
        <f t="shared" ca="1" si="332"/>
        <v>6328</v>
      </c>
      <c r="AG330" s="45">
        <f t="shared" ca="1" si="346"/>
        <v>1630</v>
      </c>
      <c r="AH330" s="45">
        <f t="shared" ca="1" si="347"/>
        <v>1018</v>
      </c>
      <c r="AI330" s="45">
        <f t="shared" ca="1" si="348"/>
        <v>394</v>
      </c>
      <c r="AJ330" s="45">
        <f t="shared" ca="1" si="349"/>
        <v>33</v>
      </c>
      <c r="AK330" s="45">
        <f t="shared" ca="1" si="350"/>
        <v>185</v>
      </c>
      <c r="AL330" s="45">
        <f t="shared" ca="1" si="351"/>
        <v>470</v>
      </c>
      <c r="AM330" s="45">
        <f t="shared" ca="1" si="352"/>
        <v>39</v>
      </c>
      <c r="AN330" s="45">
        <f t="shared" ca="1" si="353"/>
        <v>4189</v>
      </c>
      <c r="AO330">
        <v>4322</v>
      </c>
      <c r="AP330">
        <v>1407</v>
      </c>
      <c r="AQ330">
        <v>150</v>
      </c>
      <c r="AR330">
        <v>539</v>
      </c>
      <c r="AS330">
        <v>1184</v>
      </c>
      <c r="AT330">
        <v>92</v>
      </c>
      <c r="AU330">
        <v>172</v>
      </c>
      <c r="AV330">
        <v>0.98499999999999999</v>
      </c>
      <c r="AW330" s="1"/>
      <c r="AX330" s="1"/>
      <c r="AY330" s="47">
        <f t="shared" si="354"/>
        <v>29700</v>
      </c>
      <c r="AZ330" s="49">
        <f t="shared" si="355"/>
        <v>165353</v>
      </c>
      <c r="BA330" s="49">
        <f t="shared" ref="BA330" si="363">SUMIF($B$2:$B$571,$B330,$O$2:$O$571)</f>
        <v>28589</v>
      </c>
      <c r="BB330" s="48">
        <f t="shared" si="357"/>
        <v>0.17289677235973946</v>
      </c>
    </row>
    <row r="331" spans="2:54" x14ac:dyDescent="0.2">
      <c r="B331" s="3">
        <v>2010</v>
      </c>
      <c r="C331" t="s">
        <v>100</v>
      </c>
      <c r="D331" t="s">
        <v>101</v>
      </c>
      <c r="E331">
        <v>5</v>
      </c>
      <c r="F331" t="s">
        <v>38</v>
      </c>
      <c r="G331" t="s">
        <v>38</v>
      </c>
      <c r="H331" t="s">
        <v>38</v>
      </c>
      <c r="I331" t="s">
        <v>38</v>
      </c>
      <c r="J331">
        <v>69</v>
      </c>
      <c r="K331">
        <v>93</v>
      </c>
      <c r="L331">
        <v>655</v>
      </c>
      <c r="M331" s="38">
        <v>5418</v>
      </c>
      <c r="N331" s="38">
        <v>1355</v>
      </c>
      <c r="O331" s="38">
        <f t="shared" si="344"/>
        <v>925</v>
      </c>
      <c r="P331" s="38">
        <v>250</v>
      </c>
      <c r="Q331" s="38">
        <v>31</v>
      </c>
      <c r="R331" s="38">
        <v>149</v>
      </c>
      <c r="S331" s="38">
        <v>503</v>
      </c>
      <c r="T331" s="38">
        <v>60</v>
      </c>
      <c r="U331" s="38">
        <f t="shared" si="345"/>
        <v>3500</v>
      </c>
      <c r="V331">
        <v>1220</v>
      </c>
      <c r="W331">
        <v>110</v>
      </c>
      <c r="X331">
        <v>41</v>
      </c>
      <c r="Y331">
        <v>47</v>
      </c>
      <c r="Z331">
        <v>742</v>
      </c>
      <c r="AA331">
        <v>658</v>
      </c>
      <c r="AB331">
        <v>4.13</v>
      </c>
      <c r="AC331">
        <v>2</v>
      </c>
      <c r="AD331">
        <v>5</v>
      </c>
      <c r="AE331">
        <v>37</v>
      </c>
      <c r="AF331" s="45">
        <f t="shared" ca="1" si="332"/>
        <v>6263</v>
      </c>
      <c r="AG331" s="45">
        <f t="shared" ca="1" si="346"/>
        <v>1616</v>
      </c>
      <c r="AH331" s="45">
        <f t="shared" ca="1" si="347"/>
        <v>1091</v>
      </c>
      <c r="AI331" s="45">
        <f t="shared" ca="1" si="348"/>
        <v>291</v>
      </c>
      <c r="AJ331" s="45">
        <f t="shared" ca="1" si="349"/>
        <v>43</v>
      </c>
      <c r="AK331" s="45">
        <f t="shared" ca="1" si="350"/>
        <v>191</v>
      </c>
      <c r="AL331" s="45">
        <f t="shared" ca="1" si="351"/>
        <v>529</v>
      </c>
      <c r="AM331" s="45">
        <f t="shared" ca="1" si="352"/>
        <v>46</v>
      </c>
      <c r="AN331" s="45">
        <f t="shared" ca="1" si="353"/>
        <v>4072</v>
      </c>
      <c r="AO331">
        <v>4305</v>
      </c>
      <c r="AP331">
        <v>1469</v>
      </c>
      <c r="AQ331">
        <v>151</v>
      </c>
      <c r="AR331">
        <v>512</v>
      </c>
      <c r="AS331">
        <v>1068</v>
      </c>
      <c r="AT331">
        <v>127</v>
      </c>
      <c r="AU331">
        <v>148</v>
      </c>
      <c r="AV331">
        <v>0.97899999999999998</v>
      </c>
      <c r="AW331" s="1"/>
      <c r="AX331" s="1"/>
      <c r="AY331" s="47">
        <f t="shared" si="354"/>
        <v>29700</v>
      </c>
      <c r="AZ331" s="49">
        <f t="shared" si="355"/>
        <v>165353</v>
      </c>
      <c r="BA331" s="49">
        <f t="shared" ref="BA331" si="364">SUMIF($B$2:$B$571,$B331,$P$2:$P$571)</f>
        <v>8486</v>
      </c>
      <c r="BB331" s="48">
        <f t="shared" si="357"/>
        <v>5.1320508245994934E-2</v>
      </c>
    </row>
    <row r="332" spans="2:54" x14ac:dyDescent="0.2">
      <c r="B332" s="3">
        <v>2011</v>
      </c>
      <c r="C332" t="s">
        <v>39</v>
      </c>
      <c r="D332" t="s">
        <v>40</v>
      </c>
      <c r="E332">
        <v>1</v>
      </c>
      <c r="F332" t="s">
        <v>43</v>
      </c>
      <c r="G332" t="s">
        <v>38</v>
      </c>
      <c r="H332" t="s">
        <v>38</v>
      </c>
      <c r="I332" t="s">
        <v>38</v>
      </c>
      <c r="J332">
        <v>94</v>
      </c>
      <c r="K332">
        <v>68</v>
      </c>
      <c r="L332">
        <v>731</v>
      </c>
      <c r="M332" s="38">
        <v>5421</v>
      </c>
      <c r="N332" s="38">
        <v>1357</v>
      </c>
      <c r="O332" s="38">
        <f t="shared" si="344"/>
        <v>855</v>
      </c>
      <c r="P332" s="38">
        <v>293</v>
      </c>
      <c r="Q332" s="38">
        <v>37</v>
      </c>
      <c r="R332" s="38">
        <v>172</v>
      </c>
      <c r="S332" s="38">
        <v>531</v>
      </c>
      <c r="T332" s="38">
        <v>61</v>
      </c>
      <c r="U332" s="38">
        <f t="shared" si="345"/>
        <v>3472</v>
      </c>
      <c r="V332">
        <v>1249</v>
      </c>
      <c r="W332">
        <v>133</v>
      </c>
      <c r="X332">
        <v>55</v>
      </c>
      <c r="Y332">
        <v>33</v>
      </c>
      <c r="Z332">
        <v>662</v>
      </c>
      <c r="AA332">
        <v>609</v>
      </c>
      <c r="AB332">
        <v>3.8</v>
      </c>
      <c r="AC332">
        <v>5</v>
      </c>
      <c r="AD332">
        <v>12</v>
      </c>
      <c r="AE332">
        <v>58</v>
      </c>
      <c r="AF332" s="45">
        <f t="shared" ca="1" si="332"/>
        <v>6371</v>
      </c>
      <c r="AG332" s="45">
        <f t="shared" ca="1" si="346"/>
        <v>1624</v>
      </c>
      <c r="AH332" s="45">
        <f t="shared" ca="1" si="347"/>
        <v>1094</v>
      </c>
      <c r="AI332" s="45">
        <f t="shared" ca="1" si="348"/>
        <v>270</v>
      </c>
      <c r="AJ332" s="45">
        <f t="shared" ca="1" si="349"/>
        <v>42</v>
      </c>
      <c r="AK332" s="45">
        <f t="shared" ca="1" si="350"/>
        <v>218</v>
      </c>
      <c r="AL332" s="45">
        <f t="shared" ca="1" si="351"/>
        <v>645</v>
      </c>
      <c r="AM332" s="45">
        <f t="shared" ca="1" si="352"/>
        <v>81</v>
      </c>
      <c r="AN332" s="45">
        <f t="shared" ca="1" si="353"/>
        <v>4021</v>
      </c>
      <c r="AO332">
        <v>4330</v>
      </c>
      <c r="AP332">
        <v>1414</v>
      </c>
      <c r="AQ332">
        <v>159</v>
      </c>
      <c r="AR332">
        <v>442</v>
      </c>
      <c r="AS332">
        <v>1058</v>
      </c>
      <c r="AT332">
        <v>90</v>
      </c>
      <c r="AU332">
        <v>131</v>
      </c>
      <c r="AV332">
        <v>0.98499999999999999</v>
      </c>
      <c r="AW332" s="1"/>
      <c r="AX332" s="1"/>
      <c r="AY332" s="47">
        <f t="shared" si="354"/>
        <v>29700</v>
      </c>
      <c r="AZ332" s="49">
        <f t="shared" si="355"/>
        <v>165705</v>
      </c>
      <c r="BA332" s="49">
        <f t="shared" ref="BA332" si="365">SUMIF($B$2:$B$571,$B332,$Q$2:$Q$571)</f>
        <v>898</v>
      </c>
      <c r="BB332" s="48">
        <f t="shared" si="357"/>
        <v>5.419269183186989E-3</v>
      </c>
    </row>
    <row r="333" spans="2:54" x14ac:dyDescent="0.2">
      <c r="B333" s="3">
        <v>2011</v>
      </c>
      <c r="C333" t="s">
        <v>41</v>
      </c>
      <c r="D333" t="s">
        <v>42</v>
      </c>
      <c r="E333">
        <v>2</v>
      </c>
      <c r="F333" t="s">
        <v>38</v>
      </c>
      <c r="G333" t="s">
        <v>38</v>
      </c>
      <c r="H333" t="s">
        <v>38</v>
      </c>
      <c r="I333" t="s">
        <v>38</v>
      </c>
      <c r="J333">
        <v>89</v>
      </c>
      <c r="K333">
        <v>73</v>
      </c>
      <c r="L333">
        <v>641</v>
      </c>
      <c r="M333" s="38">
        <v>5528</v>
      </c>
      <c r="N333" s="38">
        <v>1345</v>
      </c>
      <c r="O333" s="38">
        <f t="shared" si="344"/>
        <v>912</v>
      </c>
      <c r="P333" s="38">
        <v>244</v>
      </c>
      <c r="Q333" s="38">
        <v>16</v>
      </c>
      <c r="R333" s="38">
        <v>173</v>
      </c>
      <c r="S333" s="38">
        <v>504</v>
      </c>
      <c r="T333" s="38">
        <v>28</v>
      </c>
      <c r="U333" s="38">
        <f t="shared" si="345"/>
        <v>3651</v>
      </c>
      <c r="V333">
        <v>1260</v>
      </c>
      <c r="W333">
        <v>77</v>
      </c>
      <c r="X333">
        <v>44</v>
      </c>
      <c r="Y333">
        <v>30</v>
      </c>
      <c r="Z333">
        <v>605</v>
      </c>
      <c r="AA333">
        <v>572</v>
      </c>
      <c r="AB333">
        <v>3.48</v>
      </c>
      <c r="AC333">
        <v>3</v>
      </c>
      <c r="AD333">
        <v>16</v>
      </c>
      <c r="AE333">
        <v>52</v>
      </c>
      <c r="AF333" s="45">
        <f t="shared" ca="1" si="332"/>
        <v>6445</v>
      </c>
      <c r="AG333" s="45">
        <f t="shared" ca="1" si="346"/>
        <v>1582</v>
      </c>
      <c r="AH333" s="45">
        <f t="shared" ca="1" si="347"/>
        <v>1077</v>
      </c>
      <c r="AI333" s="45">
        <f t="shared" ca="1" si="348"/>
        <v>251</v>
      </c>
      <c r="AJ333" s="45">
        <f t="shared" ca="1" si="349"/>
        <v>30</v>
      </c>
      <c r="AK333" s="45">
        <f t="shared" ca="1" si="350"/>
        <v>224</v>
      </c>
      <c r="AL333" s="45">
        <f t="shared" ca="1" si="351"/>
        <v>634</v>
      </c>
      <c r="AM333" s="45">
        <f t="shared" ca="1" si="352"/>
        <v>45</v>
      </c>
      <c r="AN333" s="45">
        <f t="shared" ca="1" si="353"/>
        <v>4184</v>
      </c>
      <c r="AO333">
        <v>4439</v>
      </c>
      <c r="AP333">
        <v>1332</v>
      </c>
      <c r="AQ333">
        <v>125</v>
      </c>
      <c r="AR333">
        <v>521</v>
      </c>
      <c r="AS333">
        <v>1332</v>
      </c>
      <c r="AT333">
        <v>83</v>
      </c>
      <c r="AU333">
        <v>131</v>
      </c>
      <c r="AV333">
        <v>0.98699999999999999</v>
      </c>
      <c r="AW333" s="1"/>
      <c r="AX333" s="1"/>
      <c r="AY333" s="47">
        <f t="shared" si="354"/>
        <v>29700</v>
      </c>
      <c r="AZ333" s="49">
        <f t="shared" si="355"/>
        <v>165705</v>
      </c>
      <c r="BA333" s="49">
        <f t="shared" ref="BA333" si="366">SUMIF($B$2:$B$571,$B333,$R$2:$R$571)</f>
        <v>4552</v>
      </c>
      <c r="BB333" s="48">
        <f t="shared" si="357"/>
        <v>2.7470504812769681E-2</v>
      </c>
    </row>
    <row r="334" spans="2:54" x14ac:dyDescent="0.2">
      <c r="B334" s="3">
        <v>2011</v>
      </c>
      <c r="C334" t="s">
        <v>44</v>
      </c>
      <c r="D334" t="s">
        <v>45</v>
      </c>
      <c r="E334">
        <v>5</v>
      </c>
      <c r="F334" t="s">
        <v>38</v>
      </c>
      <c r="G334" t="s">
        <v>38</v>
      </c>
      <c r="H334" t="s">
        <v>38</v>
      </c>
      <c r="I334" t="s">
        <v>38</v>
      </c>
      <c r="J334">
        <v>69</v>
      </c>
      <c r="K334">
        <v>93</v>
      </c>
      <c r="L334">
        <v>708</v>
      </c>
      <c r="M334" s="38">
        <v>5585</v>
      </c>
      <c r="N334" s="38">
        <v>1434</v>
      </c>
      <c r="O334" s="38">
        <f t="shared" si="344"/>
        <v>957</v>
      </c>
      <c r="P334" s="38">
        <v>273</v>
      </c>
      <c r="Q334" s="38">
        <v>13</v>
      </c>
      <c r="R334" s="38">
        <v>191</v>
      </c>
      <c r="S334" s="38">
        <v>452</v>
      </c>
      <c r="T334" s="38">
        <v>52</v>
      </c>
      <c r="U334" s="38">
        <f t="shared" si="345"/>
        <v>3647</v>
      </c>
      <c r="V334">
        <v>1120</v>
      </c>
      <c r="W334">
        <v>81</v>
      </c>
      <c r="X334">
        <v>25</v>
      </c>
      <c r="Y334">
        <v>43</v>
      </c>
      <c r="Z334">
        <v>860</v>
      </c>
      <c r="AA334">
        <v>786</v>
      </c>
      <c r="AB334">
        <v>4.8899999999999997</v>
      </c>
      <c r="AC334">
        <v>3</v>
      </c>
      <c r="AD334">
        <v>7</v>
      </c>
      <c r="AE334">
        <v>32</v>
      </c>
      <c r="AF334" s="45">
        <f t="shared" ca="1" si="332"/>
        <v>6412</v>
      </c>
      <c r="AG334" s="45">
        <f t="shared" ca="1" si="346"/>
        <v>1612</v>
      </c>
      <c r="AH334" s="45">
        <f t="shared" ca="1" si="347"/>
        <v>1078</v>
      </c>
      <c r="AI334" s="45">
        <f t="shared" ca="1" si="348"/>
        <v>350</v>
      </c>
      <c r="AJ334" s="45">
        <f t="shared" ca="1" si="349"/>
        <v>38</v>
      </c>
      <c r="AK334" s="45">
        <f t="shared" ca="1" si="350"/>
        <v>146</v>
      </c>
      <c r="AL334" s="45">
        <f t="shared" ca="1" si="351"/>
        <v>630</v>
      </c>
      <c r="AM334" s="45">
        <f t="shared" ca="1" si="352"/>
        <v>84</v>
      </c>
      <c r="AN334" s="45">
        <f t="shared" ca="1" si="353"/>
        <v>4086</v>
      </c>
      <c r="AO334">
        <v>4340</v>
      </c>
      <c r="AP334">
        <v>1568</v>
      </c>
      <c r="AQ334">
        <v>210</v>
      </c>
      <c r="AR334">
        <v>535</v>
      </c>
      <c r="AS334">
        <v>1044</v>
      </c>
      <c r="AT334">
        <v>110</v>
      </c>
      <c r="AU334">
        <v>159</v>
      </c>
      <c r="AV334">
        <v>0.98199999999999998</v>
      </c>
      <c r="AW334" s="1"/>
      <c r="AX334" s="1"/>
      <c r="AY334" s="47">
        <f t="shared" si="354"/>
        <v>29700</v>
      </c>
      <c r="AZ334" s="49">
        <f t="shared" si="355"/>
        <v>165705</v>
      </c>
      <c r="BA334" s="49">
        <f t="shared" ref="BA334" si="367">SUMIF($B$2:$B$571,$B334,$S$2:$S$571)</f>
        <v>15018</v>
      </c>
      <c r="BB334" s="48">
        <f t="shared" si="357"/>
        <v>9.063094052683987E-2</v>
      </c>
    </row>
    <row r="335" spans="2:54" x14ac:dyDescent="0.2">
      <c r="B335" s="3">
        <v>2011</v>
      </c>
      <c r="C335" t="s">
        <v>46</v>
      </c>
      <c r="D335" t="s">
        <v>47</v>
      </c>
      <c r="E335">
        <v>3</v>
      </c>
      <c r="F335" t="s">
        <v>38</v>
      </c>
      <c r="G335" t="s">
        <v>38</v>
      </c>
      <c r="H335" t="s">
        <v>38</v>
      </c>
      <c r="I335" t="s">
        <v>38</v>
      </c>
      <c r="J335">
        <v>90</v>
      </c>
      <c r="K335">
        <v>72</v>
      </c>
      <c r="L335">
        <v>875</v>
      </c>
      <c r="M335" s="38">
        <v>5710</v>
      </c>
      <c r="N335" s="38">
        <v>1600</v>
      </c>
      <c r="O335" s="38">
        <f t="shared" si="344"/>
        <v>1010</v>
      </c>
      <c r="P335" s="38">
        <v>352</v>
      </c>
      <c r="Q335" s="38">
        <v>35</v>
      </c>
      <c r="R335" s="38">
        <v>203</v>
      </c>
      <c r="S335" s="38">
        <v>578</v>
      </c>
      <c r="T335" s="38">
        <v>50</v>
      </c>
      <c r="U335" s="38">
        <f t="shared" si="345"/>
        <v>3482</v>
      </c>
      <c r="V335">
        <v>1108</v>
      </c>
      <c r="W335">
        <v>102</v>
      </c>
      <c r="X335">
        <v>42</v>
      </c>
      <c r="Y335">
        <v>50</v>
      </c>
      <c r="Z335">
        <v>737</v>
      </c>
      <c r="AA335">
        <v>680</v>
      </c>
      <c r="AB335">
        <v>4.2</v>
      </c>
      <c r="AC335">
        <v>2</v>
      </c>
      <c r="AD335">
        <v>13</v>
      </c>
      <c r="AE335">
        <v>36</v>
      </c>
      <c r="AF335" s="45">
        <f t="shared" ca="1" si="332"/>
        <v>6115</v>
      </c>
      <c r="AG335" s="45">
        <f t="shared" ca="1" si="346"/>
        <v>1591</v>
      </c>
      <c r="AH335" s="45">
        <f t="shared" ca="1" si="347"/>
        <v>1121</v>
      </c>
      <c r="AI335" s="45">
        <f t="shared" ca="1" si="348"/>
        <v>244</v>
      </c>
      <c r="AJ335" s="45">
        <f t="shared" ca="1" si="349"/>
        <v>37</v>
      </c>
      <c r="AK335" s="45">
        <f t="shared" ca="1" si="350"/>
        <v>189</v>
      </c>
      <c r="AL335" s="45">
        <f t="shared" ca="1" si="351"/>
        <v>570</v>
      </c>
      <c r="AM335" s="45">
        <f t="shared" ca="1" si="352"/>
        <v>46</v>
      </c>
      <c r="AN335" s="45">
        <f t="shared" ca="1" si="353"/>
        <v>3908</v>
      </c>
      <c r="AO335">
        <v>4372</v>
      </c>
      <c r="AP335">
        <v>1366</v>
      </c>
      <c r="AQ335">
        <v>156</v>
      </c>
      <c r="AR335">
        <v>540</v>
      </c>
      <c r="AS335">
        <v>1213</v>
      </c>
      <c r="AT335">
        <v>92</v>
      </c>
      <c r="AU335">
        <v>120</v>
      </c>
      <c r="AV335">
        <v>0.98499999999999999</v>
      </c>
      <c r="AW335" s="1"/>
      <c r="AX335" s="1"/>
      <c r="AY335" s="47">
        <f t="shared" si="354"/>
        <v>29700</v>
      </c>
      <c r="AZ335" s="49">
        <f t="shared" si="355"/>
        <v>165705</v>
      </c>
      <c r="BA335" s="49">
        <f t="shared" ref="BA335" si="368">SUMIF($B$2:$B$571,$B335,$T$2:$T$571)</f>
        <v>1554</v>
      </c>
      <c r="BB335" s="48">
        <f t="shared" si="357"/>
        <v>9.3781117045351678E-3</v>
      </c>
    </row>
    <row r="336" spans="2:54" x14ac:dyDescent="0.2">
      <c r="B336" s="3">
        <v>2011</v>
      </c>
      <c r="C336" t="s">
        <v>48</v>
      </c>
      <c r="D336" t="s">
        <v>49</v>
      </c>
      <c r="E336">
        <v>3</v>
      </c>
      <c r="F336" t="s">
        <v>38</v>
      </c>
      <c r="G336" t="s">
        <v>38</v>
      </c>
      <c r="H336" t="s">
        <v>38</v>
      </c>
      <c r="I336" t="s">
        <v>38</v>
      </c>
      <c r="J336">
        <v>79</v>
      </c>
      <c r="K336">
        <v>83</v>
      </c>
      <c r="L336">
        <v>654</v>
      </c>
      <c r="M336" s="38">
        <v>5502</v>
      </c>
      <c r="N336" s="38">
        <v>1387</v>
      </c>
      <c r="O336" s="38">
        <f t="shared" si="344"/>
        <v>965</v>
      </c>
      <c r="P336" s="38">
        <v>252</v>
      </c>
      <c r="Q336" s="38">
        <v>16</v>
      </c>
      <c r="R336" s="38">
        <v>154</v>
      </c>
      <c r="S336" s="38">
        <v>475</v>
      </c>
      <c r="T336" s="38">
        <v>84</v>
      </c>
      <c r="U336" s="38">
        <f t="shared" si="345"/>
        <v>3556</v>
      </c>
      <c r="V336">
        <v>989</v>
      </c>
      <c r="W336">
        <v>81</v>
      </c>
      <c r="X336">
        <v>53</v>
      </c>
      <c r="Y336">
        <v>46</v>
      </c>
      <c r="Z336">
        <v>706</v>
      </c>
      <c r="AA336">
        <v>665</v>
      </c>
      <c r="AB336">
        <v>4.0999999999999996</v>
      </c>
      <c r="AC336">
        <v>6</v>
      </c>
      <c r="AD336">
        <v>14</v>
      </c>
      <c r="AE336">
        <v>42</v>
      </c>
      <c r="AF336" s="45">
        <f t="shared" ca="1" si="332"/>
        <v>6250</v>
      </c>
      <c r="AG336" s="45">
        <f t="shared" ca="1" si="346"/>
        <v>1444</v>
      </c>
      <c r="AH336" s="45">
        <f t="shared" ca="1" si="347"/>
        <v>907</v>
      </c>
      <c r="AI336" s="45">
        <f t="shared" ca="1" si="348"/>
        <v>336</v>
      </c>
      <c r="AJ336" s="45">
        <f t="shared" ca="1" si="349"/>
        <v>48</v>
      </c>
      <c r="AK336" s="45">
        <f t="shared" ca="1" si="350"/>
        <v>153</v>
      </c>
      <c r="AL336" s="45">
        <f t="shared" ca="1" si="351"/>
        <v>448</v>
      </c>
      <c r="AM336" s="45">
        <f t="shared" ca="1" si="352"/>
        <v>75</v>
      </c>
      <c r="AN336" s="45">
        <f t="shared" ca="1" si="353"/>
        <v>4283</v>
      </c>
      <c r="AO336">
        <v>4380</v>
      </c>
      <c r="AP336">
        <v>1463</v>
      </c>
      <c r="AQ336">
        <v>147</v>
      </c>
      <c r="AR336">
        <v>439</v>
      </c>
      <c r="AS336">
        <v>1220</v>
      </c>
      <c r="AT336">
        <v>79</v>
      </c>
      <c r="AU336">
        <v>129</v>
      </c>
      <c r="AV336">
        <v>0.98699999999999999</v>
      </c>
      <c r="AW336" s="1"/>
      <c r="AX336" s="1"/>
      <c r="AY336" s="47">
        <f t="shared" si="354"/>
        <v>29700</v>
      </c>
      <c r="AZ336" s="49">
        <f t="shared" si="355"/>
        <v>165705</v>
      </c>
      <c r="BA336" s="49">
        <f t="shared" ref="BA336" si="369">SUMIF($B$2:$B$571,$B336,$U$2:$U$571)</f>
        <v>106866</v>
      </c>
      <c r="BB336" s="48">
        <f t="shared" si="357"/>
        <v>0.64491717208291843</v>
      </c>
    </row>
    <row r="337" spans="2:54" x14ac:dyDescent="0.2">
      <c r="B337" s="3">
        <v>2011</v>
      </c>
      <c r="C337" t="s">
        <v>50</v>
      </c>
      <c r="D337" t="s">
        <v>51</v>
      </c>
      <c r="E337">
        <v>5</v>
      </c>
      <c r="F337" t="s">
        <v>38</v>
      </c>
      <c r="G337" t="s">
        <v>38</v>
      </c>
      <c r="H337" t="s">
        <v>38</v>
      </c>
      <c r="I337" t="s">
        <v>38</v>
      </c>
      <c r="J337">
        <v>71</v>
      </c>
      <c r="K337">
        <v>91</v>
      </c>
      <c r="L337">
        <v>654</v>
      </c>
      <c r="M337" s="38">
        <v>5549</v>
      </c>
      <c r="N337" s="38">
        <v>1423</v>
      </c>
      <c r="O337" s="38">
        <f t="shared" si="344"/>
        <v>954</v>
      </c>
      <c r="P337" s="38">
        <v>285</v>
      </c>
      <c r="Q337" s="38">
        <v>36</v>
      </c>
      <c r="R337" s="38">
        <v>148</v>
      </c>
      <c r="S337" s="38">
        <v>425</v>
      </c>
      <c r="T337" s="38">
        <v>59</v>
      </c>
      <c r="U337" s="38">
        <f t="shared" si="345"/>
        <v>3642</v>
      </c>
      <c r="V337">
        <v>1202</v>
      </c>
      <c r="W337">
        <v>69</v>
      </c>
      <c r="X337">
        <v>23</v>
      </c>
      <c r="Y337">
        <v>35</v>
      </c>
      <c r="Z337">
        <v>756</v>
      </c>
      <c r="AA337">
        <v>690</v>
      </c>
      <c r="AB337">
        <v>4.33</v>
      </c>
      <c r="AC337">
        <v>4</v>
      </c>
      <c r="AD337">
        <v>5</v>
      </c>
      <c r="AE337">
        <v>40</v>
      </c>
      <c r="AF337" s="45">
        <f t="shared" ca="1" si="332"/>
        <v>6145</v>
      </c>
      <c r="AG337" s="45">
        <f t="shared" ca="1" si="346"/>
        <v>1490</v>
      </c>
      <c r="AH337" s="45">
        <f t="shared" ca="1" si="347"/>
        <v>1007</v>
      </c>
      <c r="AI337" s="45">
        <f t="shared" ca="1" si="348"/>
        <v>264</v>
      </c>
      <c r="AJ337" s="45">
        <f t="shared" ca="1" si="349"/>
        <v>46</v>
      </c>
      <c r="AK337" s="45">
        <f t="shared" ca="1" si="350"/>
        <v>173</v>
      </c>
      <c r="AL337" s="45">
        <f t="shared" ca="1" si="351"/>
        <v>688</v>
      </c>
      <c r="AM337" s="45">
        <f t="shared" ca="1" si="352"/>
        <v>43</v>
      </c>
      <c r="AN337" s="45">
        <f t="shared" ca="1" si="353"/>
        <v>3924</v>
      </c>
      <c r="AO337">
        <v>4303</v>
      </c>
      <c r="AP337">
        <v>1439</v>
      </c>
      <c r="AQ337">
        <v>162</v>
      </c>
      <c r="AR337">
        <v>580</v>
      </c>
      <c r="AS337">
        <v>1224</v>
      </c>
      <c r="AT337">
        <v>134</v>
      </c>
      <c r="AU337">
        <v>128</v>
      </c>
      <c r="AV337">
        <v>0.97799999999999998</v>
      </c>
      <c r="AW337" s="1"/>
      <c r="AX337" s="1"/>
      <c r="AY337" s="47">
        <f t="shared" si="354"/>
        <v>29700</v>
      </c>
      <c r="AZ337" s="49">
        <f t="shared" si="355"/>
        <v>165705</v>
      </c>
      <c r="BA337" s="49"/>
      <c r="BB337" s="48">
        <f t="shared" si="357"/>
        <v>0</v>
      </c>
    </row>
    <row r="338" spans="2:54" x14ac:dyDescent="0.2">
      <c r="B338" s="3">
        <v>2011</v>
      </c>
      <c r="C338" t="s">
        <v>52</v>
      </c>
      <c r="D338" t="s">
        <v>53</v>
      </c>
      <c r="E338">
        <v>3</v>
      </c>
      <c r="F338" t="s">
        <v>38</v>
      </c>
      <c r="G338" t="s">
        <v>38</v>
      </c>
      <c r="H338" t="s">
        <v>38</v>
      </c>
      <c r="I338" t="s">
        <v>38</v>
      </c>
      <c r="J338">
        <v>79</v>
      </c>
      <c r="K338">
        <v>83</v>
      </c>
      <c r="L338">
        <v>735</v>
      </c>
      <c r="M338" s="38">
        <v>5612</v>
      </c>
      <c r="N338" s="38">
        <v>1438</v>
      </c>
      <c r="O338" s="38">
        <f t="shared" si="344"/>
        <v>972</v>
      </c>
      <c r="P338" s="38">
        <v>264</v>
      </c>
      <c r="Q338" s="38">
        <v>19</v>
      </c>
      <c r="R338" s="38">
        <v>183</v>
      </c>
      <c r="S338" s="38">
        <v>535</v>
      </c>
      <c r="T338" s="38">
        <v>63</v>
      </c>
      <c r="U338" s="38">
        <f t="shared" si="345"/>
        <v>3576</v>
      </c>
      <c r="V338">
        <v>1250</v>
      </c>
      <c r="W338">
        <v>97</v>
      </c>
      <c r="X338">
        <v>50</v>
      </c>
      <c r="Y338">
        <v>40</v>
      </c>
      <c r="Z338">
        <v>720</v>
      </c>
      <c r="AA338">
        <v>678</v>
      </c>
      <c r="AB338">
        <v>4.16</v>
      </c>
      <c r="AC338">
        <v>4</v>
      </c>
      <c r="AD338">
        <v>5</v>
      </c>
      <c r="AE338">
        <v>39</v>
      </c>
      <c r="AF338" s="45">
        <f t="shared" ca="1" si="332"/>
        <v>6366</v>
      </c>
      <c r="AG338" s="45">
        <f t="shared" ca="1" si="346"/>
        <v>1584</v>
      </c>
      <c r="AH338" s="45">
        <f t="shared" ca="1" si="347"/>
        <v>1015</v>
      </c>
      <c r="AI338" s="45">
        <f t="shared" ca="1" si="348"/>
        <v>323</v>
      </c>
      <c r="AJ338" s="45">
        <f t="shared" ca="1" si="349"/>
        <v>27</v>
      </c>
      <c r="AK338" s="45">
        <f t="shared" ca="1" si="350"/>
        <v>219</v>
      </c>
      <c r="AL338" s="45">
        <f t="shared" ca="1" si="351"/>
        <v>653</v>
      </c>
      <c r="AM338" s="45">
        <f t="shared" ca="1" si="352"/>
        <v>70</v>
      </c>
      <c r="AN338" s="45">
        <f t="shared" ca="1" si="353"/>
        <v>4059</v>
      </c>
      <c r="AO338">
        <v>4403</v>
      </c>
      <c r="AP338">
        <v>1414</v>
      </c>
      <c r="AQ338">
        <v>185</v>
      </c>
      <c r="AR338">
        <v>539</v>
      </c>
      <c r="AS338">
        <v>1112</v>
      </c>
      <c r="AT338">
        <v>91</v>
      </c>
      <c r="AU338">
        <v>146</v>
      </c>
      <c r="AV338">
        <v>0.98499999999999999</v>
      </c>
      <c r="AW338" s="1"/>
      <c r="AX338" s="1"/>
      <c r="AY338" s="47">
        <f t="shared" si="354"/>
        <v>29700</v>
      </c>
      <c r="AZ338" s="49">
        <f t="shared" si="355"/>
        <v>165705</v>
      </c>
      <c r="BA338" s="49">
        <f t="shared" ref="BA338" si="370">SUMIF($B$2:$B$571,$B338,$O$2:$O$571)</f>
        <v>28418</v>
      </c>
      <c r="BB338" s="48">
        <f t="shared" si="357"/>
        <v>0.17149754081047644</v>
      </c>
    </row>
    <row r="339" spans="2:54" x14ac:dyDescent="0.2">
      <c r="B339" s="3">
        <v>2011</v>
      </c>
      <c r="C339" t="s">
        <v>54</v>
      </c>
      <c r="D339" t="s">
        <v>55</v>
      </c>
      <c r="E339">
        <v>2</v>
      </c>
      <c r="F339" t="s">
        <v>38</v>
      </c>
      <c r="G339" t="s">
        <v>38</v>
      </c>
      <c r="H339" t="s">
        <v>38</v>
      </c>
      <c r="I339" t="s">
        <v>38</v>
      </c>
      <c r="J339">
        <v>80</v>
      </c>
      <c r="K339">
        <v>82</v>
      </c>
      <c r="L339">
        <v>704</v>
      </c>
      <c r="M339" s="38">
        <v>5509</v>
      </c>
      <c r="N339" s="38">
        <v>1380</v>
      </c>
      <c r="O339" s="38">
        <f t="shared" si="344"/>
        <v>910</v>
      </c>
      <c r="P339" s="38">
        <v>290</v>
      </c>
      <c r="Q339" s="38">
        <v>26</v>
      </c>
      <c r="R339" s="38">
        <v>154</v>
      </c>
      <c r="S339" s="38">
        <v>494</v>
      </c>
      <c r="T339" s="38">
        <v>65</v>
      </c>
      <c r="U339" s="38">
        <f t="shared" si="345"/>
        <v>3570</v>
      </c>
      <c r="V339">
        <v>1269</v>
      </c>
      <c r="W339">
        <v>89</v>
      </c>
      <c r="X339">
        <v>42</v>
      </c>
      <c r="Y339">
        <v>43</v>
      </c>
      <c r="Z339">
        <v>760</v>
      </c>
      <c r="AA339">
        <v>683</v>
      </c>
      <c r="AB339">
        <v>4.2300000000000004</v>
      </c>
      <c r="AC339">
        <v>2</v>
      </c>
      <c r="AD339">
        <v>4</v>
      </c>
      <c r="AE339">
        <v>38</v>
      </c>
      <c r="AF339" s="45">
        <f t="shared" ca="1" si="332"/>
        <v>6481</v>
      </c>
      <c r="AG339" s="45">
        <f t="shared" ca="1" si="346"/>
        <v>1496</v>
      </c>
      <c r="AH339" s="45">
        <f t="shared" ca="1" si="347"/>
        <v>1021</v>
      </c>
      <c r="AI339" s="45">
        <f t="shared" ca="1" si="348"/>
        <v>288</v>
      </c>
      <c r="AJ339" s="45">
        <f t="shared" ca="1" si="349"/>
        <v>27</v>
      </c>
      <c r="AK339" s="45">
        <f t="shared" ca="1" si="350"/>
        <v>160</v>
      </c>
      <c r="AL339" s="45">
        <f t="shared" ca="1" si="351"/>
        <v>603</v>
      </c>
      <c r="AM339" s="45">
        <f t="shared" ca="1" si="352"/>
        <v>57</v>
      </c>
      <c r="AN339" s="45">
        <f t="shared" ca="1" si="353"/>
        <v>4325</v>
      </c>
      <c r="AO339">
        <v>4360</v>
      </c>
      <c r="AP339">
        <v>1482</v>
      </c>
      <c r="AQ339">
        <v>153</v>
      </c>
      <c r="AR339">
        <v>463</v>
      </c>
      <c r="AS339">
        <v>1024</v>
      </c>
      <c r="AT339">
        <v>110</v>
      </c>
      <c r="AU339">
        <v>130</v>
      </c>
      <c r="AV339">
        <v>0.98199999999999998</v>
      </c>
      <c r="AW339" s="1"/>
      <c r="AX339" s="1"/>
      <c r="AY339" s="47">
        <f t="shared" si="354"/>
        <v>29700</v>
      </c>
      <c r="AZ339" s="49">
        <f t="shared" si="355"/>
        <v>165705</v>
      </c>
      <c r="BA339" s="49">
        <f t="shared" ref="BA339" si="371">SUMIF($B$2:$B$571,$B339,$P$2:$P$571)</f>
        <v>8399</v>
      </c>
      <c r="BB339" s="48">
        <f t="shared" si="357"/>
        <v>5.0686460879273407E-2</v>
      </c>
    </row>
    <row r="340" spans="2:54" x14ac:dyDescent="0.2">
      <c r="B340" s="3">
        <v>2011</v>
      </c>
      <c r="C340" t="s">
        <v>56</v>
      </c>
      <c r="D340" t="s">
        <v>57</v>
      </c>
      <c r="E340">
        <v>4</v>
      </c>
      <c r="F340" t="s">
        <v>38</v>
      </c>
      <c r="G340" t="s">
        <v>38</v>
      </c>
      <c r="H340" t="s">
        <v>38</v>
      </c>
      <c r="I340" t="s">
        <v>38</v>
      </c>
      <c r="J340">
        <v>73</v>
      </c>
      <c r="K340">
        <v>89</v>
      </c>
      <c r="L340">
        <v>735</v>
      </c>
      <c r="M340" s="38">
        <v>5544</v>
      </c>
      <c r="N340" s="38">
        <v>1429</v>
      </c>
      <c r="O340" s="38">
        <f t="shared" si="344"/>
        <v>952</v>
      </c>
      <c r="P340" s="38">
        <v>274</v>
      </c>
      <c r="Q340" s="38">
        <v>40</v>
      </c>
      <c r="R340" s="38">
        <v>163</v>
      </c>
      <c r="S340" s="38">
        <v>555</v>
      </c>
      <c r="T340" s="38">
        <v>57</v>
      </c>
      <c r="U340" s="38">
        <f t="shared" si="345"/>
        <v>3503</v>
      </c>
      <c r="V340">
        <v>1201</v>
      </c>
      <c r="W340">
        <v>118</v>
      </c>
      <c r="X340">
        <v>42</v>
      </c>
      <c r="Y340">
        <v>44</v>
      </c>
      <c r="Z340">
        <v>774</v>
      </c>
      <c r="AA340">
        <v>713</v>
      </c>
      <c r="AB340">
        <v>4.43</v>
      </c>
      <c r="AC340">
        <v>5</v>
      </c>
      <c r="AD340">
        <v>7</v>
      </c>
      <c r="AE340">
        <v>41</v>
      </c>
      <c r="AF340" s="45">
        <f t="shared" ca="1" si="332"/>
        <v>6054</v>
      </c>
      <c r="AG340" s="45">
        <f t="shared" ca="1" si="346"/>
        <v>1400</v>
      </c>
      <c r="AH340" s="45">
        <f t="shared" ca="1" si="347"/>
        <v>723</v>
      </c>
      <c r="AI340" s="45">
        <f t="shared" ca="1" si="348"/>
        <v>399</v>
      </c>
      <c r="AJ340" s="45">
        <f t="shared" ca="1" si="349"/>
        <v>39</v>
      </c>
      <c r="AK340" s="45">
        <f t="shared" ca="1" si="350"/>
        <v>239</v>
      </c>
      <c r="AL340" s="45">
        <f t="shared" ca="1" si="351"/>
        <v>672</v>
      </c>
      <c r="AM340" s="45">
        <f t="shared" ca="1" si="352"/>
        <v>53</v>
      </c>
      <c r="AN340" s="45">
        <f t="shared" ca="1" si="353"/>
        <v>3929</v>
      </c>
      <c r="AO340">
        <v>4343</v>
      </c>
      <c r="AP340">
        <v>1471</v>
      </c>
      <c r="AQ340">
        <v>176</v>
      </c>
      <c r="AR340">
        <v>522</v>
      </c>
      <c r="AS340">
        <v>1118</v>
      </c>
      <c r="AT340">
        <v>98</v>
      </c>
      <c r="AU340">
        <v>156</v>
      </c>
      <c r="AV340">
        <v>0.98399999999999999</v>
      </c>
      <c r="AW340" s="1"/>
      <c r="AX340" s="1"/>
      <c r="AY340" s="47">
        <f t="shared" si="354"/>
        <v>29700</v>
      </c>
      <c r="AZ340" s="49">
        <f t="shared" si="355"/>
        <v>165705</v>
      </c>
      <c r="BA340" s="49">
        <f t="shared" ref="BA340" si="372">SUMIF($B$2:$B$571,$B340,$Q$2:$Q$571)</f>
        <v>898</v>
      </c>
      <c r="BB340" s="48">
        <f t="shared" si="357"/>
        <v>5.419269183186989E-3</v>
      </c>
    </row>
    <row r="341" spans="2:54" x14ac:dyDescent="0.2">
      <c r="B341" s="3">
        <v>2011</v>
      </c>
      <c r="C341" t="s">
        <v>58</v>
      </c>
      <c r="D341" t="s">
        <v>59</v>
      </c>
      <c r="E341">
        <v>1</v>
      </c>
      <c r="F341" t="s">
        <v>43</v>
      </c>
      <c r="G341" t="s">
        <v>38</v>
      </c>
      <c r="H341" t="s">
        <v>38</v>
      </c>
      <c r="I341" t="s">
        <v>38</v>
      </c>
      <c r="J341">
        <v>95</v>
      </c>
      <c r="K341">
        <v>67</v>
      </c>
      <c r="L341">
        <v>787</v>
      </c>
      <c r="M341" s="38">
        <v>5563</v>
      </c>
      <c r="N341" s="38">
        <v>1540</v>
      </c>
      <c r="O341" s="38">
        <f t="shared" si="344"/>
        <v>1040</v>
      </c>
      <c r="P341" s="38">
        <v>297</v>
      </c>
      <c r="Q341" s="38">
        <v>34</v>
      </c>
      <c r="R341" s="38">
        <v>169</v>
      </c>
      <c r="S341" s="38">
        <v>521</v>
      </c>
      <c r="T341" s="38">
        <v>39</v>
      </c>
      <c r="U341" s="38">
        <f t="shared" si="345"/>
        <v>3463</v>
      </c>
      <c r="V341">
        <v>1143</v>
      </c>
      <c r="W341">
        <v>49</v>
      </c>
      <c r="X341">
        <v>20</v>
      </c>
      <c r="Y341">
        <v>58</v>
      </c>
      <c r="Z341">
        <v>711</v>
      </c>
      <c r="AA341">
        <v>647</v>
      </c>
      <c r="AB341">
        <v>4.04</v>
      </c>
      <c r="AC341">
        <v>4</v>
      </c>
      <c r="AD341">
        <v>14</v>
      </c>
      <c r="AE341">
        <v>52</v>
      </c>
      <c r="AF341" s="45">
        <f t="shared" ca="1" si="332"/>
        <v>6284</v>
      </c>
      <c r="AG341" s="45">
        <f t="shared" ca="1" si="346"/>
        <v>1410</v>
      </c>
      <c r="AH341" s="45">
        <f t="shared" ca="1" si="347"/>
        <v>824</v>
      </c>
      <c r="AI341" s="45">
        <f t="shared" ca="1" si="348"/>
        <v>344</v>
      </c>
      <c r="AJ341" s="45">
        <f t="shared" ca="1" si="349"/>
        <v>43</v>
      </c>
      <c r="AK341" s="45">
        <f t="shared" ca="1" si="350"/>
        <v>199</v>
      </c>
      <c r="AL341" s="45">
        <f t="shared" ca="1" si="351"/>
        <v>427</v>
      </c>
      <c r="AM341" s="45">
        <f t="shared" ca="1" si="352"/>
        <v>34</v>
      </c>
      <c r="AN341" s="45">
        <f t="shared" ca="1" si="353"/>
        <v>4413</v>
      </c>
      <c r="AO341">
        <v>4320</v>
      </c>
      <c r="AP341">
        <v>1406</v>
      </c>
      <c r="AQ341">
        <v>149</v>
      </c>
      <c r="AR341">
        <v>492</v>
      </c>
      <c r="AS341">
        <v>1115</v>
      </c>
      <c r="AT341">
        <v>103</v>
      </c>
      <c r="AU341">
        <v>148</v>
      </c>
      <c r="AV341">
        <v>0.98299999999999998</v>
      </c>
      <c r="AW341" s="1"/>
      <c r="AX341" s="1"/>
      <c r="AY341" s="47">
        <f t="shared" si="354"/>
        <v>29700</v>
      </c>
      <c r="AZ341" s="49">
        <f t="shared" si="355"/>
        <v>165705</v>
      </c>
      <c r="BA341" s="49">
        <f t="shared" ref="BA341" si="373">SUMIF($B$2:$B$571,$B341,$R$2:$R$571)</f>
        <v>4552</v>
      </c>
      <c r="BB341" s="48">
        <f t="shared" si="357"/>
        <v>2.7470504812769681E-2</v>
      </c>
    </row>
    <row r="342" spans="2:54" x14ac:dyDescent="0.2">
      <c r="B342" s="3">
        <v>2011</v>
      </c>
      <c r="C342" t="s">
        <v>60</v>
      </c>
      <c r="D342" t="s">
        <v>61</v>
      </c>
      <c r="E342">
        <v>5</v>
      </c>
      <c r="F342" t="s">
        <v>38</v>
      </c>
      <c r="G342" t="s">
        <v>38</v>
      </c>
      <c r="H342" t="s">
        <v>38</v>
      </c>
      <c r="I342" t="s">
        <v>38</v>
      </c>
      <c r="J342">
        <v>72</v>
      </c>
      <c r="K342">
        <v>90</v>
      </c>
      <c r="L342">
        <v>625</v>
      </c>
      <c r="M342" s="38">
        <v>5508</v>
      </c>
      <c r="N342" s="38">
        <v>1358</v>
      </c>
      <c r="O342" s="38">
        <f t="shared" si="344"/>
        <v>905</v>
      </c>
      <c r="P342" s="38">
        <v>274</v>
      </c>
      <c r="Q342" s="38">
        <v>30</v>
      </c>
      <c r="R342" s="38">
        <v>149</v>
      </c>
      <c r="S342" s="38">
        <v>542</v>
      </c>
      <c r="T342" s="38">
        <v>51</v>
      </c>
      <c r="U342" s="38">
        <f t="shared" si="345"/>
        <v>3557</v>
      </c>
      <c r="V342">
        <v>1244</v>
      </c>
      <c r="W342">
        <v>95</v>
      </c>
      <c r="X342">
        <v>41</v>
      </c>
      <c r="Y342">
        <v>42</v>
      </c>
      <c r="Z342">
        <v>702</v>
      </c>
      <c r="AA342">
        <v>640</v>
      </c>
      <c r="AB342">
        <v>3.95</v>
      </c>
      <c r="AC342">
        <v>7</v>
      </c>
      <c r="AD342">
        <v>11</v>
      </c>
      <c r="AE342">
        <v>40</v>
      </c>
      <c r="AF342" s="45">
        <f t="shared" ca="1" si="332"/>
        <v>6427</v>
      </c>
      <c r="AG342" s="45">
        <f t="shared" ca="1" si="346"/>
        <v>1611</v>
      </c>
      <c r="AH342" s="45">
        <f t="shared" ca="1" si="347"/>
        <v>1157</v>
      </c>
      <c r="AI342" s="45">
        <f t="shared" ca="1" si="348"/>
        <v>227</v>
      </c>
      <c r="AJ342" s="45">
        <f t="shared" ca="1" si="349"/>
        <v>31</v>
      </c>
      <c r="AK342" s="45">
        <f t="shared" ca="1" si="350"/>
        <v>196</v>
      </c>
      <c r="AL342" s="45">
        <f t="shared" ca="1" si="351"/>
        <v>559</v>
      </c>
      <c r="AM342" s="45">
        <f t="shared" ca="1" si="352"/>
        <v>52</v>
      </c>
      <c r="AN342" s="45">
        <f t="shared" ca="1" si="353"/>
        <v>4205</v>
      </c>
      <c r="AO342">
        <v>4379</v>
      </c>
      <c r="AP342">
        <v>1403</v>
      </c>
      <c r="AQ342">
        <v>149</v>
      </c>
      <c r="AR342">
        <v>500</v>
      </c>
      <c r="AS342">
        <v>1218</v>
      </c>
      <c r="AT342">
        <v>93</v>
      </c>
      <c r="AU342">
        <v>126</v>
      </c>
      <c r="AV342">
        <v>0.98499999999999999</v>
      </c>
      <c r="AW342" s="1"/>
      <c r="AX342" s="1"/>
      <c r="AY342" s="47">
        <f t="shared" si="354"/>
        <v>29700</v>
      </c>
      <c r="AZ342" s="49">
        <f t="shared" si="355"/>
        <v>165705</v>
      </c>
      <c r="BA342" s="49">
        <f t="shared" ref="BA342" si="374">SUMIF($B$2:$B$571,$B342,$S$2:$S$571)</f>
        <v>15018</v>
      </c>
      <c r="BB342" s="48">
        <f t="shared" si="357"/>
        <v>9.063094052683987E-2</v>
      </c>
    </row>
    <row r="343" spans="2:54" x14ac:dyDescent="0.2">
      <c r="B343" s="3">
        <v>2011</v>
      </c>
      <c r="C343" t="s">
        <v>62</v>
      </c>
      <c r="D343" t="s">
        <v>63</v>
      </c>
      <c r="E343">
        <v>6</v>
      </c>
      <c r="F343" t="s">
        <v>38</v>
      </c>
      <c r="G343" t="s">
        <v>38</v>
      </c>
      <c r="H343" t="s">
        <v>38</v>
      </c>
      <c r="I343" t="s">
        <v>38</v>
      </c>
      <c r="J343">
        <v>56</v>
      </c>
      <c r="K343">
        <v>106</v>
      </c>
      <c r="L343">
        <v>615</v>
      </c>
      <c r="M343" s="38">
        <v>5598</v>
      </c>
      <c r="N343" s="38">
        <v>1442</v>
      </c>
      <c r="O343" s="38">
        <f t="shared" si="344"/>
        <v>1010</v>
      </c>
      <c r="P343" s="38">
        <v>309</v>
      </c>
      <c r="Q343" s="38">
        <v>28</v>
      </c>
      <c r="R343" s="38">
        <v>95</v>
      </c>
      <c r="S343" s="38">
        <v>401</v>
      </c>
      <c r="T343" s="38">
        <v>46</v>
      </c>
      <c r="U343" s="38">
        <f t="shared" si="345"/>
        <v>3709</v>
      </c>
      <c r="V343">
        <v>1164</v>
      </c>
      <c r="W343">
        <v>118</v>
      </c>
      <c r="X343">
        <v>33</v>
      </c>
      <c r="Y343">
        <v>37</v>
      </c>
      <c r="Z343">
        <v>796</v>
      </c>
      <c r="AA343">
        <v>719</v>
      </c>
      <c r="AB343">
        <v>4.51</v>
      </c>
      <c r="AC343">
        <v>2</v>
      </c>
      <c r="AD343">
        <v>6</v>
      </c>
      <c r="AE343">
        <v>25</v>
      </c>
      <c r="AF343" s="45">
        <f t="shared" ca="1" si="332"/>
        <v>6228</v>
      </c>
      <c r="AG343" s="45">
        <f t="shared" ca="1" si="346"/>
        <v>1364</v>
      </c>
      <c r="AH343" s="45">
        <f t="shared" ca="1" si="347"/>
        <v>831</v>
      </c>
      <c r="AI343" s="45">
        <f t="shared" ca="1" si="348"/>
        <v>342</v>
      </c>
      <c r="AJ343" s="45">
        <f t="shared" ca="1" si="349"/>
        <v>25</v>
      </c>
      <c r="AK343" s="45">
        <f t="shared" ca="1" si="350"/>
        <v>166</v>
      </c>
      <c r="AL343" s="45">
        <f t="shared" ca="1" si="351"/>
        <v>594</v>
      </c>
      <c r="AM343" s="45">
        <f t="shared" ca="1" si="352"/>
        <v>57</v>
      </c>
      <c r="AN343" s="45">
        <f t="shared" ca="1" si="353"/>
        <v>4213</v>
      </c>
      <c r="AO343">
        <v>4305</v>
      </c>
      <c r="AP343">
        <v>1477</v>
      </c>
      <c r="AQ343">
        <v>188</v>
      </c>
      <c r="AR343">
        <v>560</v>
      </c>
      <c r="AS343">
        <v>1191</v>
      </c>
      <c r="AT343">
        <v>116</v>
      </c>
      <c r="AU343">
        <v>140</v>
      </c>
      <c r="AV343">
        <v>0.98099999999999998</v>
      </c>
      <c r="AW343" s="1"/>
      <c r="AX343" s="1"/>
      <c r="AY343" s="47">
        <f t="shared" si="354"/>
        <v>29700</v>
      </c>
      <c r="AZ343" s="49">
        <f t="shared" si="355"/>
        <v>165705</v>
      </c>
      <c r="BA343" s="49">
        <f t="shared" ref="BA343" si="375">SUMIF($B$2:$B$571,$B343,$T$2:$T$571)</f>
        <v>1554</v>
      </c>
      <c r="BB343" s="48">
        <f t="shared" si="357"/>
        <v>9.3781117045351678E-3</v>
      </c>
    </row>
    <row r="344" spans="2:54" x14ac:dyDescent="0.2">
      <c r="B344" s="3">
        <v>2011</v>
      </c>
      <c r="C344" t="s">
        <v>64</v>
      </c>
      <c r="D344" t="s">
        <v>65</v>
      </c>
      <c r="E344">
        <v>4</v>
      </c>
      <c r="F344" t="s">
        <v>38</v>
      </c>
      <c r="G344" t="s">
        <v>38</v>
      </c>
      <c r="H344" t="s">
        <v>38</v>
      </c>
      <c r="I344" t="s">
        <v>38</v>
      </c>
      <c r="J344">
        <v>71</v>
      </c>
      <c r="K344">
        <v>91</v>
      </c>
      <c r="L344">
        <v>730</v>
      </c>
      <c r="M344" s="38">
        <v>5672</v>
      </c>
      <c r="N344" s="38">
        <v>1560</v>
      </c>
      <c r="O344" s="38">
        <f t="shared" si="344"/>
        <v>1065</v>
      </c>
      <c r="P344" s="38">
        <v>325</v>
      </c>
      <c r="Q344" s="38">
        <v>41</v>
      </c>
      <c r="R344" s="38">
        <v>129</v>
      </c>
      <c r="S344" s="38">
        <v>442</v>
      </c>
      <c r="T344" s="38">
        <v>39</v>
      </c>
      <c r="U344" s="38">
        <f t="shared" si="345"/>
        <v>3631</v>
      </c>
      <c r="V344">
        <v>1006</v>
      </c>
      <c r="W344">
        <v>153</v>
      </c>
      <c r="X344">
        <v>58</v>
      </c>
      <c r="Y344">
        <v>57</v>
      </c>
      <c r="Z344">
        <v>762</v>
      </c>
      <c r="AA344">
        <v>716</v>
      </c>
      <c r="AB344">
        <v>4.4400000000000004</v>
      </c>
      <c r="AC344">
        <v>2</v>
      </c>
      <c r="AD344">
        <v>6</v>
      </c>
      <c r="AE344">
        <v>37</v>
      </c>
      <c r="AF344" s="45">
        <f t="shared" ca="1" si="332"/>
        <v>6335</v>
      </c>
      <c r="AG344" s="45">
        <f t="shared" ca="1" si="346"/>
        <v>1560</v>
      </c>
      <c r="AH344" s="45">
        <f t="shared" ca="1" si="347"/>
        <v>1051</v>
      </c>
      <c r="AI344" s="45">
        <f t="shared" ca="1" si="348"/>
        <v>298</v>
      </c>
      <c r="AJ344" s="45">
        <f t="shared" ca="1" si="349"/>
        <v>30</v>
      </c>
      <c r="AK344" s="45">
        <f t="shared" ca="1" si="350"/>
        <v>181</v>
      </c>
      <c r="AL344" s="45">
        <f t="shared" ca="1" si="351"/>
        <v>670</v>
      </c>
      <c r="AM344" s="45">
        <f t="shared" ca="1" si="352"/>
        <v>65</v>
      </c>
      <c r="AN344" s="45">
        <f t="shared" ca="1" si="353"/>
        <v>4040</v>
      </c>
      <c r="AO344">
        <v>4354</v>
      </c>
      <c r="AP344">
        <v>1487</v>
      </c>
      <c r="AQ344">
        <v>163</v>
      </c>
      <c r="AR344">
        <v>557</v>
      </c>
      <c r="AS344">
        <v>1080</v>
      </c>
      <c r="AT344">
        <v>95</v>
      </c>
      <c r="AU344">
        <v>149</v>
      </c>
      <c r="AV344">
        <v>0.98499999999999999</v>
      </c>
      <c r="AW344" s="1"/>
      <c r="AX344" s="1"/>
      <c r="AY344" s="47">
        <f t="shared" si="354"/>
        <v>29700</v>
      </c>
      <c r="AZ344" s="49">
        <f t="shared" si="355"/>
        <v>165705</v>
      </c>
      <c r="BA344" s="49">
        <f t="shared" ref="BA344" si="376">SUMIF($B$2:$B$571,$B344,$U$2:$U$571)</f>
        <v>106866</v>
      </c>
      <c r="BB344" s="48">
        <f t="shared" si="357"/>
        <v>0.64491717208291843</v>
      </c>
    </row>
    <row r="345" spans="2:54" x14ac:dyDescent="0.2">
      <c r="B345" s="3">
        <v>2011</v>
      </c>
      <c r="C345" t="s">
        <v>98</v>
      </c>
      <c r="D345" t="s">
        <v>99</v>
      </c>
      <c r="E345">
        <v>2</v>
      </c>
      <c r="F345" t="s">
        <v>38</v>
      </c>
      <c r="G345" t="s">
        <v>38</v>
      </c>
      <c r="H345" t="s">
        <v>38</v>
      </c>
      <c r="I345" t="s">
        <v>38</v>
      </c>
      <c r="J345">
        <v>86</v>
      </c>
      <c r="K345">
        <v>76</v>
      </c>
      <c r="L345">
        <v>667</v>
      </c>
      <c r="M345" s="38">
        <v>5513</v>
      </c>
      <c r="N345" s="38">
        <v>1394</v>
      </c>
      <c r="O345" s="38">
        <f t="shared" si="344"/>
        <v>916</v>
      </c>
      <c r="P345" s="38">
        <v>289</v>
      </c>
      <c r="Q345" s="38">
        <v>34</v>
      </c>
      <c r="R345" s="38">
        <v>155</v>
      </c>
      <c r="S345" s="38">
        <v>442</v>
      </c>
      <c r="T345" s="38">
        <v>51</v>
      </c>
      <c r="U345" s="38">
        <f t="shared" si="345"/>
        <v>3626</v>
      </c>
      <c r="V345">
        <v>1086</v>
      </c>
      <c r="W345">
        <v>135</v>
      </c>
      <c r="X345">
        <v>52</v>
      </c>
      <c r="Y345">
        <v>32</v>
      </c>
      <c r="Z345">
        <v>633</v>
      </c>
      <c r="AA345">
        <v>581</v>
      </c>
      <c r="AB345">
        <v>3.57</v>
      </c>
      <c r="AC345">
        <v>12</v>
      </c>
      <c r="AD345">
        <v>11</v>
      </c>
      <c r="AE345">
        <v>39</v>
      </c>
      <c r="AF345" s="45">
        <f t="shared" ca="1" si="332"/>
        <v>6191</v>
      </c>
      <c r="AG345" s="45">
        <f t="shared" ca="1" si="346"/>
        <v>1640</v>
      </c>
      <c r="AH345" s="45">
        <f t="shared" ca="1" si="347"/>
        <v>1161</v>
      </c>
      <c r="AI345" s="45">
        <f t="shared" ca="1" si="348"/>
        <v>248</v>
      </c>
      <c r="AJ345" s="45">
        <f t="shared" ca="1" si="349"/>
        <v>38</v>
      </c>
      <c r="AK345" s="45">
        <f t="shared" ca="1" si="350"/>
        <v>193</v>
      </c>
      <c r="AL345" s="45">
        <f t="shared" ca="1" si="351"/>
        <v>530</v>
      </c>
      <c r="AM345" s="45">
        <f t="shared" ca="1" si="352"/>
        <v>48</v>
      </c>
      <c r="AN345" s="45">
        <f t="shared" ca="1" si="353"/>
        <v>3973</v>
      </c>
      <c r="AO345">
        <v>4395</v>
      </c>
      <c r="AP345">
        <v>1388</v>
      </c>
      <c r="AQ345">
        <v>142</v>
      </c>
      <c r="AR345">
        <v>476</v>
      </c>
      <c r="AS345">
        <v>1058</v>
      </c>
      <c r="AT345">
        <v>93</v>
      </c>
      <c r="AU345">
        <v>157</v>
      </c>
      <c r="AV345">
        <v>0.98499999999999999</v>
      </c>
      <c r="AW345" s="1"/>
      <c r="AX345" s="1"/>
      <c r="AY345" s="47">
        <f t="shared" si="354"/>
        <v>29700</v>
      </c>
      <c r="AZ345" s="49">
        <f t="shared" si="355"/>
        <v>165705</v>
      </c>
      <c r="BA345" s="49"/>
      <c r="BB345" s="48">
        <f t="shared" si="357"/>
        <v>0</v>
      </c>
    </row>
    <row r="346" spans="2:54" x14ac:dyDescent="0.2">
      <c r="B346" s="3">
        <v>2011</v>
      </c>
      <c r="C346" t="s">
        <v>66</v>
      </c>
      <c r="D346" t="s">
        <v>67</v>
      </c>
      <c r="E346">
        <v>3</v>
      </c>
      <c r="F346" t="s">
        <v>38</v>
      </c>
      <c r="G346" t="s">
        <v>38</v>
      </c>
      <c r="H346" t="s">
        <v>38</v>
      </c>
      <c r="I346" t="s">
        <v>38</v>
      </c>
      <c r="J346">
        <v>82</v>
      </c>
      <c r="K346">
        <v>79</v>
      </c>
      <c r="L346">
        <v>644</v>
      </c>
      <c r="M346" s="38">
        <v>5436</v>
      </c>
      <c r="N346" s="38">
        <v>1395</v>
      </c>
      <c r="O346" s="38">
        <f t="shared" si="344"/>
        <v>1013</v>
      </c>
      <c r="P346" s="38">
        <v>237</v>
      </c>
      <c r="Q346" s="38">
        <v>28</v>
      </c>
      <c r="R346" s="38">
        <v>117</v>
      </c>
      <c r="S346" s="38">
        <v>498</v>
      </c>
      <c r="T346" s="38">
        <v>45</v>
      </c>
      <c r="U346" s="38">
        <f t="shared" si="345"/>
        <v>3498</v>
      </c>
      <c r="V346">
        <v>1087</v>
      </c>
      <c r="W346">
        <v>126</v>
      </c>
      <c r="X346">
        <v>40</v>
      </c>
      <c r="Y346">
        <v>43</v>
      </c>
      <c r="Z346">
        <v>612</v>
      </c>
      <c r="AA346">
        <v>563</v>
      </c>
      <c r="AB346">
        <v>3.54</v>
      </c>
      <c r="AC346">
        <v>7</v>
      </c>
      <c r="AD346">
        <v>17</v>
      </c>
      <c r="AE346">
        <v>40</v>
      </c>
      <c r="AF346" s="45">
        <f t="shared" ca="1" si="332"/>
        <v>6276</v>
      </c>
      <c r="AG346" s="45">
        <f t="shared" ca="1" si="346"/>
        <v>1467</v>
      </c>
      <c r="AH346" s="45">
        <f t="shared" ca="1" si="347"/>
        <v>1080</v>
      </c>
      <c r="AI346" s="45">
        <f t="shared" ca="1" si="348"/>
        <v>219</v>
      </c>
      <c r="AJ346" s="45">
        <f t="shared" ca="1" si="349"/>
        <v>34</v>
      </c>
      <c r="AK346" s="45">
        <f t="shared" ca="1" si="350"/>
        <v>134</v>
      </c>
      <c r="AL346" s="45">
        <f t="shared" ca="1" si="351"/>
        <v>407</v>
      </c>
      <c r="AM346" s="45">
        <f t="shared" ca="1" si="352"/>
        <v>50</v>
      </c>
      <c r="AN346" s="45">
        <f t="shared" ca="1" si="353"/>
        <v>4352</v>
      </c>
      <c r="AO346">
        <v>4296</v>
      </c>
      <c r="AP346">
        <v>1287</v>
      </c>
      <c r="AQ346">
        <v>132</v>
      </c>
      <c r="AR346">
        <v>507</v>
      </c>
      <c r="AS346">
        <v>1265</v>
      </c>
      <c r="AT346">
        <v>85</v>
      </c>
      <c r="AU346">
        <v>121</v>
      </c>
      <c r="AV346">
        <v>0.98599999999999999</v>
      </c>
      <c r="AW346" s="1"/>
      <c r="AX346" s="1"/>
      <c r="AY346" s="47">
        <f t="shared" si="354"/>
        <v>29700</v>
      </c>
      <c r="AZ346" s="49">
        <f t="shared" si="355"/>
        <v>165705</v>
      </c>
      <c r="BA346" s="49">
        <f t="shared" ref="BA346" si="377">SUMIF($B$2:$B$571,$B346,$O$2:$O$571)</f>
        <v>28418</v>
      </c>
      <c r="BB346" s="48">
        <f t="shared" si="357"/>
        <v>0.17149754081047644</v>
      </c>
    </row>
    <row r="347" spans="2:54" x14ac:dyDescent="0.2">
      <c r="B347" s="3">
        <v>2011</v>
      </c>
      <c r="C347" t="s">
        <v>68</v>
      </c>
      <c r="D347" t="s">
        <v>69</v>
      </c>
      <c r="E347">
        <v>1</v>
      </c>
      <c r="F347" t="s">
        <v>43</v>
      </c>
      <c r="G347" t="s">
        <v>38</v>
      </c>
      <c r="H347" t="s">
        <v>38</v>
      </c>
      <c r="I347" t="s">
        <v>38</v>
      </c>
      <c r="J347">
        <v>96</v>
      </c>
      <c r="K347">
        <v>66</v>
      </c>
      <c r="L347">
        <v>721</v>
      </c>
      <c r="M347" s="38">
        <v>5447</v>
      </c>
      <c r="N347" s="38">
        <v>1422</v>
      </c>
      <c r="O347" s="38">
        <f t="shared" si="344"/>
        <v>930</v>
      </c>
      <c r="P347" s="38">
        <v>276</v>
      </c>
      <c r="Q347" s="38">
        <v>31</v>
      </c>
      <c r="R347" s="38">
        <v>185</v>
      </c>
      <c r="S347" s="38">
        <v>481</v>
      </c>
      <c r="T347" s="38">
        <v>56</v>
      </c>
      <c r="U347" s="38">
        <f t="shared" si="345"/>
        <v>3488</v>
      </c>
      <c r="V347">
        <v>1083</v>
      </c>
      <c r="W347">
        <v>94</v>
      </c>
      <c r="X347">
        <v>31</v>
      </c>
      <c r="Y347">
        <v>44</v>
      </c>
      <c r="Z347">
        <v>638</v>
      </c>
      <c r="AA347">
        <v>582</v>
      </c>
      <c r="AB347">
        <v>3.63</v>
      </c>
      <c r="AC347">
        <v>1</v>
      </c>
      <c r="AD347">
        <v>13</v>
      </c>
      <c r="AE347">
        <v>47</v>
      </c>
      <c r="AF347" s="45">
        <f t="shared" ca="1" si="332"/>
        <v>6462</v>
      </c>
      <c r="AG347" s="45">
        <f t="shared" ca="1" si="346"/>
        <v>1696</v>
      </c>
      <c r="AH347" s="45">
        <f t="shared" ca="1" si="347"/>
        <v>1124</v>
      </c>
      <c r="AI347" s="45">
        <f t="shared" ca="1" si="348"/>
        <v>287</v>
      </c>
      <c r="AJ347" s="45">
        <f t="shared" ca="1" si="349"/>
        <v>47</v>
      </c>
      <c r="AK347" s="45">
        <f t="shared" ca="1" si="350"/>
        <v>238</v>
      </c>
      <c r="AL347" s="45">
        <f t="shared" ca="1" si="351"/>
        <v>618</v>
      </c>
      <c r="AM347" s="45">
        <f t="shared" ca="1" si="352"/>
        <v>51</v>
      </c>
      <c r="AN347" s="45">
        <f t="shared" ca="1" si="353"/>
        <v>4097</v>
      </c>
      <c r="AO347">
        <v>4325</v>
      </c>
      <c r="AP347">
        <v>1348</v>
      </c>
      <c r="AQ347">
        <v>147</v>
      </c>
      <c r="AR347">
        <v>440</v>
      </c>
      <c r="AS347">
        <v>1257</v>
      </c>
      <c r="AT347">
        <v>111</v>
      </c>
      <c r="AU347">
        <v>130</v>
      </c>
      <c r="AV347">
        <v>0.98199999999999998</v>
      </c>
      <c r="AW347" s="1"/>
      <c r="AX347" s="1"/>
      <c r="AY347" s="47">
        <f t="shared" si="354"/>
        <v>29700</v>
      </c>
      <c r="AZ347" s="49">
        <f t="shared" si="355"/>
        <v>165705</v>
      </c>
      <c r="BA347" s="49">
        <f t="shared" ref="BA347" si="378">SUMIF($B$2:$B$571,$B347,$P$2:$P$571)</f>
        <v>8399</v>
      </c>
      <c r="BB347" s="48">
        <f t="shared" si="357"/>
        <v>5.0686460879273407E-2</v>
      </c>
    </row>
    <row r="348" spans="2:54" x14ac:dyDescent="0.2">
      <c r="B348" s="3">
        <v>2011</v>
      </c>
      <c r="C348" t="s">
        <v>70</v>
      </c>
      <c r="D348" t="s">
        <v>71</v>
      </c>
      <c r="E348">
        <v>5</v>
      </c>
      <c r="F348" t="s">
        <v>38</v>
      </c>
      <c r="G348" t="s">
        <v>38</v>
      </c>
      <c r="H348" t="s">
        <v>38</v>
      </c>
      <c r="I348" t="s">
        <v>38</v>
      </c>
      <c r="J348">
        <v>63</v>
      </c>
      <c r="K348">
        <v>99</v>
      </c>
      <c r="L348">
        <v>619</v>
      </c>
      <c r="M348" s="38">
        <v>5487</v>
      </c>
      <c r="N348" s="38">
        <v>1357</v>
      </c>
      <c r="O348" s="38">
        <f t="shared" si="344"/>
        <v>970</v>
      </c>
      <c r="P348" s="38">
        <v>259</v>
      </c>
      <c r="Q348" s="38">
        <v>25</v>
      </c>
      <c r="R348" s="38">
        <v>103</v>
      </c>
      <c r="S348" s="38">
        <v>440</v>
      </c>
      <c r="T348" s="38">
        <v>37</v>
      </c>
      <c r="U348" s="38">
        <f t="shared" si="345"/>
        <v>3653</v>
      </c>
      <c r="V348">
        <v>1048</v>
      </c>
      <c r="W348">
        <v>92</v>
      </c>
      <c r="X348">
        <v>39</v>
      </c>
      <c r="Y348">
        <v>25</v>
      </c>
      <c r="Z348">
        <v>804</v>
      </c>
      <c r="AA348">
        <v>724</v>
      </c>
      <c r="AB348">
        <v>4.58</v>
      </c>
      <c r="AC348">
        <v>7</v>
      </c>
      <c r="AD348">
        <v>8</v>
      </c>
      <c r="AE348">
        <v>32</v>
      </c>
      <c r="AF348" s="45">
        <f t="shared" ca="1" si="332"/>
        <v>6406</v>
      </c>
      <c r="AG348" s="45">
        <f t="shared" ca="1" si="346"/>
        <v>1610</v>
      </c>
      <c r="AH348" s="45">
        <f t="shared" ca="1" si="347"/>
        <v>1024</v>
      </c>
      <c r="AI348" s="45">
        <f t="shared" ca="1" si="348"/>
        <v>366</v>
      </c>
      <c r="AJ348" s="45">
        <f t="shared" ca="1" si="349"/>
        <v>28</v>
      </c>
      <c r="AK348" s="45">
        <f t="shared" ca="1" si="350"/>
        <v>192</v>
      </c>
      <c r="AL348" s="45">
        <f t="shared" ca="1" si="351"/>
        <v>639</v>
      </c>
      <c r="AM348" s="45">
        <f t="shared" ca="1" si="352"/>
        <v>46</v>
      </c>
      <c r="AN348" s="45">
        <f t="shared" ca="1" si="353"/>
        <v>4111</v>
      </c>
      <c r="AO348">
        <v>4265</v>
      </c>
      <c r="AP348">
        <v>1564</v>
      </c>
      <c r="AQ348">
        <v>161</v>
      </c>
      <c r="AR348">
        <v>480</v>
      </c>
      <c r="AS348">
        <v>940</v>
      </c>
      <c r="AT348">
        <v>119</v>
      </c>
      <c r="AU348">
        <v>153</v>
      </c>
      <c r="AV348">
        <v>0.98</v>
      </c>
      <c r="AW348" s="1"/>
      <c r="AX348" s="1"/>
      <c r="AY348" s="47">
        <f t="shared" si="354"/>
        <v>29700</v>
      </c>
      <c r="AZ348" s="49">
        <f t="shared" si="355"/>
        <v>165705</v>
      </c>
      <c r="BA348" s="49">
        <f t="shared" ref="BA348" si="379">SUMIF($B$2:$B$571,$B348,$Q$2:$Q$571)</f>
        <v>898</v>
      </c>
      <c r="BB348" s="48">
        <f t="shared" si="357"/>
        <v>5.419269183186989E-3</v>
      </c>
    </row>
    <row r="349" spans="2:54" x14ac:dyDescent="0.2">
      <c r="B349" s="3">
        <v>2011</v>
      </c>
      <c r="C349" t="s">
        <v>74</v>
      </c>
      <c r="D349" t="s">
        <v>75</v>
      </c>
      <c r="E349">
        <v>1</v>
      </c>
      <c r="F349" t="s">
        <v>43</v>
      </c>
      <c r="G349" t="s">
        <v>38</v>
      </c>
      <c r="H349" t="s">
        <v>38</v>
      </c>
      <c r="I349" t="s">
        <v>38</v>
      </c>
      <c r="J349">
        <v>97</v>
      </c>
      <c r="K349">
        <v>65</v>
      </c>
      <c r="L349">
        <v>867</v>
      </c>
      <c r="M349" s="38">
        <v>5518</v>
      </c>
      <c r="N349" s="38">
        <v>1452</v>
      </c>
      <c r="O349" s="38">
        <f t="shared" si="344"/>
        <v>930</v>
      </c>
      <c r="P349" s="38">
        <v>267</v>
      </c>
      <c r="Q349" s="38">
        <v>33</v>
      </c>
      <c r="R349" s="38">
        <v>222</v>
      </c>
      <c r="S349" s="38">
        <v>627</v>
      </c>
      <c r="T349" s="38">
        <v>74</v>
      </c>
      <c r="U349" s="38">
        <f t="shared" si="345"/>
        <v>3365</v>
      </c>
      <c r="V349">
        <v>1138</v>
      </c>
      <c r="W349">
        <v>147</v>
      </c>
      <c r="X349">
        <v>46</v>
      </c>
      <c r="Y349">
        <v>51</v>
      </c>
      <c r="Z349">
        <v>657</v>
      </c>
      <c r="AA349">
        <v>605</v>
      </c>
      <c r="AB349">
        <v>3.73</v>
      </c>
      <c r="AC349">
        <v>5</v>
      </c>
      <c r="AD349">
        <v>8</v>
      </c>
      <c r="AE349">
        <v>47</v>
      </c>
      <c r="AF349" s="45">
        <f t="shared" ca="1" si="332"/>
        <v>6373</v>
      </c>
      <c r="AG349" s="45">
        <f t="shared" ca="1" si="346"/>
        <v>1604</v>
      </c>
      <c r="AH349" s="45">
        <f t="shared" ca="1" si="347"/>
        <v>1128</v>
      </c>
      <c r="AI349" s="45">
        <f t="shared" ca="1" si="348"/>
        <v>250</v>
      </c>
      <c r="AJ349" s="45">
        <f t="shared" ca="1" si="349"/>
        <v>20</v>
      </c>
      <c r="AK349" s="45">
        <f t="shared" ca="1" si="350"/>
        <v>206</v>
      </c>
      <c r="AL349" s="45">
        <f t="shared" ca="1" si="351"/>
        <v>549</v>
      </c>
      <c r="AM349" s="45">
        <f t="shared" ca="1" si="352"/>
        <v>32</v>
      </c>
      <c r="AN349" s="45">
        <f t="shared" ca="1" si="353"/>
        <v>4188</v>
      </c>
      <c r="AO349">
        <v>4375</v>
      </c>
      <c r="AP349">
        <v>1423</v>
      </c>
      <c r="AQ349">
        <v>152</v>
      </c>
      <c r="AR349">
        <v>507</v>
      </c>
      <c r="AS349">
        <v>1222</v>
      </c>
      <c r="AT349">
        <v>102</v>
      </c>
      <c r="AU349">
        <v>141</v>
      </c>
      <c r="AV349">
        <v>0.98299999999999998</v>
      </c>
      <c r="AW349" s="1"/>
      <c r="AX349" s="1"/>
      <c r="AY349" s="47">
        <f t="shared" si="354"/>
        <v>29700</v>
      </c>
      <c r="AZ349" s="49">
        <f t="shared" si="355"/>
        <v>165705</v>
      </c>
      <c r="BA349" s="49">
        <f t="shared" ref="BA349" si="380">SUMIF($B$2:$B$571,$B349,$R$2:$R$571)</f>
        <v>4552</v>
      </c>
      <c r="BB349" s="48">
        <f t="shared" si="357"/>
        <v>2.7470504812769681E-2</v>
      </c>
    </row>
    <row r="350" spans="2:54" x14ac:dyDescent="0.2">
      <c r="B350" s="3">
        <v>2011</v>
      </c>
      <c r="C350" t="s">
        <v>76</v>
      </c>
      <c r="D350" t="s">
        <v>77</v>
      </c>
      <c r="E350">
        <v>4</v>
      </c>
      <c r="F350" t="s">
        <v>38</v>
      </c>
      <c r="G350" t="s">
        <v>38</v>
      </c>
      <c r="H350" t="s">
        <v>38</v>
      </c>
      <c r="I350" t="s">
        <v>38</v>
      </c>
      <c r="J350">
        <v>77</v>
      </c>
      <c r="K350">
        <v>85</v>
      </c>
      <c r="L350">
        <v>718</v>
      </c>
      <c r="M350" s="38">
        <v>5600</v>
      </c>
      <c r="N350" s="38">
        <v>1477</v>
      </c>
      <c r="O350" s="38">
        <f t="shared" si="344"/>
        <v>1021</v>
      </c>
      <c r="P350" s="38">
        <v>309</v>
      </c>
      <c r="Q350" s="38">
        <v>39</v>
      </c>
      <c r="R350" s="38">
        <v>108</v>
      </c>
      <c r="S350" s="38">
        <v>571</v>
      </c>
      <c r="T350" s="38">
        <v>51</v>
      </c>
      <c r="U350" s="38">
        <f t="shared" si="345"/>
        <v>3501</v>
      </c>
      <c r="V350">
        <v>1085</v>
      </c>
      <c r="W350">
        <v>130</v>
      </c>
      <c r="X350">
        <v>35</v>
      </c>
      <c r="Y350">
        <v>48</v>
      </c>
      <c r="Z350">
        <v>742</v>
      </c>
      <c r="AA350">
        <v>674</v>
      </c>
      <c r="AB350">
        <v>4.1900000000000004</v>
      </c>
      <c r="AC350">
        <v>6</v>
      </c>
      <c r="AD350">
        <v>9</v>
      </c>
      <c r="AE350">
        <v>43</v>
      </c>
      <c r="AF350" s="45">
        <f t="shared" ca="1" si="332"/>
        <v>6450</v>
      </c>
      <c r="AG350" s="45">
        <f t="shared" ca="1" si="346"/>
        <v>1657</v>
      </c>
      <c r="AH350" s="45">
        <f t="shared" ca="1" si="347"/>
        <v>1176</v>
      </c>
      <c r="AI350" s="45">
        <f t="shared" ca="1" si="348"/>
        <v>246</v>
      </c>
      <c r="AJ350" s="45">
        <f t="shared" ca="1" si="349"/>
        <v>36</v>
      </c>
      <c r="AK350" s="45">
        <f t="shared" ca="1" si="350"/>
        <v>199</v>
      </c>
      <c r="AL350" s="45">
        <f t="shared" ca="1" si="351"/>
        <v>458</v>
      </c>
      <c r="AM350" s="45">
        <f t="shared" ca="1" si="352"/>
        <v>35</v>
      </c>
      <c r="AN350" s="45">
        <f t="shared" ca="1" si="353"/>
        <v>4300</v>
      </c>
      <c r="AO350">
        <v>4344</v>
      </c>
      <c r="AP350">
        <v>1482</v>
      </c>
      <c r="AQ350">
        <v>147</v>
      </c>
      <c r="AR350">
        <v>514</v>
      </c>
      <c r="AS350">
        <v>1126</v>
      </c>
      <c r="AT350">
        <v>116</v>
      </c>
      <c r="AU350">
        <v>126</v>
      </c>
      <c r="AV350">
        <v>0.98099999999999998</v>
      </c>
      <c r="AW350" s="1"/>
      <c r="AX350" s="1"/>
      <c r="AY350" s="47">
        <f t="shared" si="354"/>
        <v>29700</v>
      </c>
      <c r="AZ350" s="49">
        <f t="shared" si="355"/>
        <v>165705</v>
      </c>
      <c r="BA350" s="49">
        <f t="shared" ref="BA350" si="381">SUMIF($B$2:$B$571,$B350,$S$2:$S$571)</f>
        <v>15018</v>
      </c>
      <c r="BB350" s="48">
        <f t="shared" si="357"/>
        <v>9.063094052683987E-2</v>
      </c>
    </row>
    <row r="351" spans="2:54" x14ac:dyDescent="0.2">
      <c r="B351" s="3">
        <v>2011</v>
      </c>
      <c r="C351" t="s">
        <v>78</v>
      </c>
      <c r="D351" t="s">
        <v>79</v>
      </c>
      <c r="E351">
        <v>3</v>
      </c>
      <c r="F351" t="s">
        <v>38</v>
      </c>
      <c r="G351" t="s">
        <v>38</v>
      </c>
      <c r="H351" t="s">
        <v>38</v>
      </c>
      <c r="I351" t="s">
        <v>38</v>
      </c>
      <c r="J351">
        <v>74</v>
      </c>
      <c r="K351">
        <v>88</v>
      </c>
      <c r="L351">
        <v>645</v>
      </c>
      <c r="M351" s="38">
        <v>5452</v>
      </c>
      <c r="N351" s="38">
        <v>1330</v>
      </c>
      <c r="O351" s="38">
        <f t="shared" si="344"/>
        <v>907</v>
      </c>
      <c r="P351" s="38">
        <v>280</v>
      </c>
      <c r="Q351" s="38">
        <v>29</v>
      </c>
      <c r="R351" s="38">
        <v>114</v>
      </c>
      <c r="S351" s="38">
        <v>509</v>
      </c>
      <c r="T351" s="38">
        <v>50</v>
      </c>
      <c r="U351" s="38">
        <f t="shared" si="345"/>
        <v>3563</v>
      </c>
      <c r="V351">
        <v>1094</v>
      </c>
      <c r="W351">
        <v>117</v>
      </c>
      <c r="X351">
        <v>43</v>
      </c>
      <c r="Y351">
        <v>57</v>
      </c>
      <c r="Z351">
        <v>679</v>
      </c>
      <c r="AA351">
        <v>597</v>
      </c>
      <c r="AB351">
        <v>3.71</v>
      </c>
      <c r="AC351">
        <v>6</v>
      </c>
      <c r="AD351">
        <v>12</v>
      </c>
      <c r="AE351">
        <v>39</v>
      </c>
      <c r="AF351" s="45">
        <f t="shared" ca="1" si="332"/>
        <v>6336</v>
      </c>
      <c r="AG351" s="45">
        <f t="shared" ca="1" si="346"/>
        <v>1487</v>
      </c>
      <c r="AH351" s="45">
        <f t="shared" ca="1" si="347"/>
        <v>1064</v>
      </c>
      <c r="AI351" s="45">
        <f t="shared" ca="1" si="348"/>
        <v>222</v>
      </c>
      <c r="AJ351" s="45">
        <f t="shared" ca="1" si="349"/>
        <v>48</v>
      </c>
      <c r="AK351" s="45">
        <f t="shared" ca="1" si="350"/>
        <v>153</v>
      </c>
      <c r="AL351" s="45">
        <f t="shared" ca="1" si="351"/>
        <v>591</v>
      </c>
      <c r="AM351" s="45">
        <f t="shared" ca="1" si="352"/>
        <v>63</v>
      </c>
      <c r="AN351" s="45">
        <f t="shared" ca="1" si="353"/>
        <v>4195</v>
      </c>
      <c r="AO351">
        <v>4343</v>
      </c>
      <c r="AP351">
        <v>1380</v>
      </c>
      <c r="AQ351">
        <v>136</v>
      </c>
      <c r="AR351">
        <v>519</v>
      </c>
      <c r="AS351">
        <v>1160</v>
      </c>
      <c r="AT351">
        <v>124</v>
      </c>
      <c r="AU351">
        <v>145</v>
      </c>
      <c r="AV351">
        <v>0.97899999999999998</v>
      </c>
      <c r="AW351" s="1"/>
      <c r="AX351" s="1"/>
      <c r="AY351" s="47">
        <f t="shared" si="354"/>
        <v>29700</v>
      </c>
      <c r="AZ351" s="49">
        <f t="shared" si="355"/>
        <v>165705</v>
      </c>
      <c r="BA351" s="49">
        <f t="shared" ref="BA351" si="382">SUMIF($B$2:$B$571,$B351,$T$2:$T$571)</f>
        <v>1554</v>
      </c>
      <c r="BB351" s="48">
        <f t="shared" si="357"/>
        <v>9.3781117045351678E-3</v>
      </c>
    </row>
    <row r="352" spans="2:54" x14ac:dyDescent="0.2">
      <c r="B352" s="3">
        <v>2011</v>
      </c>
      <c r="C352" t="s">
        <v>80</v>
      </c>
      <c r="D352" t="s">
        <v>81</v>
      </c>
      <c r="E352">
        <v>1</v>
      </c>
      <c r="F352" t="s">
        <v>43</v>
      </c>
      <c r="G352" t="s">
        <v>38</v>
      </c>
      <c r="H352" t="s">
        <v>38</v>
      </c>
      <c r="I352" t="s">
        <v>38</v>
      </c>
      <c r="J352">
        <v>102</v>
      </c>
      <c r="K352">
        <v>60</v>
      </c>
      <c r="L352">
        <v>713</v>
      </c>
      <c r="M352" s="38">
        <v>5579</v>
      </c>
      <c r="N352" s="38">
        <v>1409</v>
      </c>
      <c r="O352" s="38">
        <f t="shared" si="344"/>
        <v>960</v>
      </c>
      <c r="P352" s="38">
        <v>258</v>
      </c>
      <c r="Q352" s="38">
        <v>38</v>
      </c>
      <c r="R352" s="38">
        <v>153</v>
      </c>
      <c r="S352" s="38">
        <v>539</v>
      </c>
      <c r="T352" s="38">
        <v>56</v>
      </c>
      <c r="U352" s="38">
        <f t="shared" si="345"/>
        <v>3575</v>
      </c>
      <c r="V352">
        <v>1024</v>
      </c>
      <c r="W352">
        <v>96</v>
      </c>
      <c r="X352">
        <v>24</v>
      </c>
      <c r="Y352">
        <v>38</v>
      </c>
      <c r="Z352">
        <v>529</v>
      </c>
      <c r="AA352">
        <v>495</v>
      </c>
      <c r="AB352">
        <v>3.02</v>
      </c>
      <c r="AC352">
        <v>18</v>
      </c>
      <c r="AD352">
        <v>21</v>
      </c>
      <c r="AE352">
        <v>47</v>
      </c>
      <c r="AF352" s="45">
        <f t="shared" ca="1" si="332"/>
        <v>6124</v>
      </c>
      <c r="AG352" s="45">
        <f t="shared" ca="1" si="346"/>
        <v>1467</v>
      </c>
      <c r="AH352" s="45">
        <f t="shared" ca="1" si="347"/>
        <v>888</v>
      </c>
      <c r="AI352" s="45">
        <f t="shared" ca="1" si="348"/>
        <v>318</v>
      </c>
      <c r="AJ352" s="45">
        <f t="shared" ca="1" si="349"/>
        <v>43</v>
      </c>
      <c r="AK352" s="45">
        <f t="shared" ca="1" si="350"/>
        <v>218</v>
      </c>
      <c r="AL352" s="45">
        <f t="shared" ca="1" si="351"/>
        <v>509</v>
      </c>
      <c r="AM352" s="45">
        <f t="shared" ca="1" si="352"/>
        <v>58</v>
      </c>
      <c r="AN352" s="45">
        <f t="shared" ca="1" si="353"/>
        <v>4090</v>
      </c>
      <c r="AO352">
        <v>4431</v>
      </c>
      <c r="AP352">
        <v>1320</v>
      </c>
      <c r="AQ352">
        <v>120</v>
      </c>
      <c r="AR352">
        <v>404</v>
      </c>
      <c r="AS352">
        <v>1299</v>
      </c>
      <c r="AT352">
        <v>74</v>
      </c>
      <c r="AU352">
        <v>135</v>
      </c>
      <c r="AV352">
        <v>0.98799999999999999</v>
      </c>
      <c r="AW352" s="1"/>
      <c r="AX352" s="1"/>
      <c r="AY352" s="47">
        <f t="shared" si="354"/>
        <v>29700</v>
      </c>
      <c r="AZ352" s="49">
        <f t="shared" si="355"/>
        <v>165705</v>
      </c>
      <c r="BA352" s="49">
        <f t="shared" ref="BA352" si="383">SUMIF($B$2:$B$571,$B352,$U$2:$U$571)</f>
        <v>106866</v>
      </c>
      <c r="BB352" s="48">
        <f t="shared" si="357"/>
        <v>0.64491717208291843</v>
      </c>
    </row>
    <row r="353" spans="2:54" x14ac:dyDescent="0.2">
      <c r="B353" s="3">
        <v>2011</v>
      </c>
      <c r="C353" t="s">
        <v>82</v>
      </c>
      <c r="D353" t="s">
        <v>83</v>
      </c>
      <c r="E353">
        <v>4</v>
      </c>
      <c r="F353" t="s">
        <v>38</v>
      </c>
      <c r="G353" t="s">
        <v>38</v>
      </c>
      <c r="H353" t="s">
        <v>38</v>
      </c>
      <c r="I353" t="s">
        <v>38</v>
      </c>
      <c r="J353">
        <v>72</v>
      </c>
      <c r="K353">
        <v>90</v>
      </c>
      <c r="L353">
        <v>610</v>
      </c>
      <c r="M353" s="38">
        <v>5421</v>
      </c>
      <c r="N353" s="38">
        <v>1325</v>
      </c>
      <c r="O353" s="38">
        <f t="shared" si="344"/>
        <v>906</v>
      </c>
      <c r="P353" s="38">
        <v>277</v>
      </c>
      <c r="Q353" s="38">
        <v>35</v>
      </c>
      <c r="R353" s="38">
        <v>107</v>
      </c>
      <c r="S353" s="38">
        <v>489</v>
      </c>
      <c r="T353" s="38">
        <v>34</v>
      </c>
      <c r="U353" s="38">
        <f t="shared" si="345"/>
        <v>3573</v>
      </c>
      <c r="V353">
        <v>1308</v>
      </c>
      <c r="W353">
        <v>108</v>
      </c>
      <c r="X353">
        <v>52</v>
      </c>
      <c r="Y353">
        <v>44</v>
      </c>
      <c r="Z353">
        <v>712</v>
      </c>
      <c r="AA353">
        <v>650</v>
      </c>
      <c r="AB353">
        <v>4.04</v>
      </c>
      <c r="AC353">
        <v>5</v>
      </c>
      <c r="AD353">
        <v>11</v>
      </c>
      <c r="AE353">
        <v>43</v>
      </c>
      <c r="AF353" s="45">
        <f t="shared" ca="1" si="332"/>
        <v>6168</v>
      </c>
      <c r="AG353" s="45">
        <f t="shared" ca="1" si="346"/>
        <v>1600</v>
      </c>
      <c r="AH353" s="45">
        <f t="shared" ca="1" si="347"/>
        <v>1051</v>
      </c>
      <c r="AI353" s="45">
        <f t="shared" ca="1" si="348"/>
        <v>357</v>
      </c>
      <c r="AJ353" s="45">
        <f t="shared" ca="1" si="349"/>
        <v>39</v>
      </c>
      <c r="AK353" s="45">
        <f t="shared" ca="1" si="350"/>
        <v>153</v>
      </c>
      <c r="AL353" s="45">
        <f t="shared" ca="1" si="351"/>
        <v>590</v>
      </c>
      <c r="AM353" s="45">
        <f t="shared" ca="1" si="352"/>
        <v>44</v>
      </c>
      <c r="AN353" s="45">
        <f t="shared" ca="1" si="353"/>
        <v>3934</v>
      </c>
      <c r="AO353">
        <v>4348</v>
      </c>
      <c r="AP353">
        <v>1513</v>
      </c>
      <c r="AQ353">
        <v>152</v>
      </c>
      <c r="AR353">
        <v>535</v>
      </c>
      <c r="AS353">
        <v>1031</v>
      </c>
      <c r="AT353">
        <v>112</v>
      </c>
      <c r="AU353">
        <v>154</v>
      </c>
      <c r="AV353">
        <v>0.98199999999999998</v>
      </c>
      <c r="AW353" s="1"/>
      <c r="AX353" s="1"/>
      <c r="AY353" s="47">
        <f t="shared" si="354"/>
        <v>29700</v>
      </c>
      <c r="AZ353" s="49">
        <f t="shared" si="355"/>
        <v>165705</v>
      </c>
      <c r="BA353" s="49"/>
      <c r="BB353" s="48">
        <f t="shared" si="357"/>
        <v>0</v>
      </c>
    </row>
    <row r="354" spans="2:54" x14ac:dyDescent="0.2">
      <c r="B354" s="3">
        <v>2011</v>
      </c>
      <c r="C354" t="s">
        <v>84</v>
      </c>
      <c r="D354" t="s">
        <v>85</v>
      </c>
      <c r="E354">
        <v>5</v>
      </c>
      <c r="F354" t="s">
        <v>38</v>
      </c>
      <c r="G354" t="s">
        <v>38</v>
      </c>
      <c r="H354" t="s">
        <v>38</v>
      </c>
      <c r="I354" t="s">
        <v>38</v>
      </c>
      <c r="J354">
        <v>71</v>
      </c>
      <c r="K354">
        <v>91</v>
      </c>
      <c r="L354">
        <v>593</v>
      </c>
      <c r="M354" s="38">
        <v>5417</v>
      </c>
      <c r="N354" s="38">
        <v>1284</v>
      </c>
      <c r="O354" s="38">
        <f t="shared" si="344"/>
        <v>904</v>
      </c>
      <c r="P354" s="38">
        <v>247</v>
      </c>
      <c r="Q354" s="38">
        <v>42</v>
      </c>
      <c r="R354" s="38">
        <v>91</v>
      </c>
      <c r="S354" s="38">
        <v>501</v>
      </c>
      <c r="T354" s="38">
        <v>48</v>
      </c>
      <c r="U354" s="38">
        <f t="shared" si="345"/>
        <v>3584</v>
      </c>
      <c r="V354">
        <v>1320</v>
      </c>
      <c r="W354">
        <v>170</v>
      </c>
      <c r="X354">
        <v>44</v>
      </c>
      <c r="Y354">
        <v>47</v>
      </c>
      <c r="Z354">
        <v>611</v>
      </c>
      <c r="AA354">
        <v>551</v>
      </c>
      <c r="AB354">
        <v>3.42</v>
      </c>
      <c r="AC354">
        <v>0</v>
      </c>
      <c r="AD354">
        <v>10</v>
      </c>
      <c r="AE354">
        <v>44</v>
      </c>
      <c r="AF354" s="45">
        <f t="shared" ca="1" si="332"/>
        <v>6216</v>
      </c>
      <c r="AG354" s="45">
        <f t="shared" ca="1" si="346"/>
        <v>1630</v>
      </c>
      <c r="AH354" s="45">
        <f t="shared" ca="1" si="347"/>
        <v>1032</v>
      </c>
      <c r="AI354" s="45">
        <f t="shared" ca="1" si="348"/>
        <v>352</v>
      </c>
      <c r="AJ354" s="45">
        <f t="shared" ca="1" si="349"/>
        <v>46</v>
      </c>
      <c r="AK354" s="45">
        <f t="shared" ca="1" si="350"/>
        <v>200</v>
      </c>
      <c r="AL354" s="45">
        <f t="shared" ca="1" si="351"/>
        <v>547</v>
      </c>
      <c r="AM354" s="45">
        <f t="shared" ca="1" si="352"/>
        <v>33</v>
      </c>
      <c r="AN354" s="45">
        <f t="shared" ca="1" si="353"/>
        <v>4006</v>
      </c>
      <c r="AO354">
        <v>4348</v>
      </c>
      <c r="AP354">
        <v>1324</v>
      </c>
      <c r="AQ354">
        <v>125</v>
      </c>
      <c r="AR354">
        <v>521</v>
      </c>
      <c r="AS354">
        <v>1139</v>
      </c>
      <c r="AT354">
        <v>94</v>
      </c>
      <c r="AU354">
        <v>139</v>
      </c>
      <c r="AV354">
        <v>0.98499999999999999</v>
      </c>
      <c r="AW354" s="1"/>
      <c r="AX354" s="1"/>
      <c r="AY354" s="47">
        <f t="shared" si="354"/>
        <v>29700</v>
      </c>
      <c r="AZ354" s="49">
        <f t="shared" si="355"/>
        <v>165705</v>
      </c>
      <c r="BA354" s="49">
        <f t="shared" ref="BA354" si="384">SUMIF($B$2:$B$571,$B354,$O$2:$O$571)</f>
        <v>28418</v>
      </c>
      <c r="BB354" s="48">
        <f t="shared" si="357"/>
        <v>0.17149754081047644</v>
      </c>
    </row>
    <row r="355" spans="2:54" x14ac:dyDescent="0.2">
      <c r="B355" s="3">
        <v>2011</v>
      </c>
      <c r="C355" t="s">
        <v>86</v>
      </c>
      <c r="D355" t="s">
        <v>87</v>
      </c>
      <c r="E355">
        <v>4</v>
      </c>
      <c r="F355" t="s">
        <v>38</v>
      </c>
      <c r="G355" t="s">
        <v>38</v>
      </c>
      <c r="H355" t="s">
        <v>38</v>
      </c>
      <c r="I355" t="s">
        <v>38</v>
      </c>
      <c r="J355">
        <v>67</v>
      </c>
      <c r="K355">
        <v>95</v>
      </c>
      <c r="L355">
        <v>556</v>
      </c>
      <c r="M355" s="38">
        <v>5421</v>
      </c>
      <c r="N355" s="38">
        <v>1263</v>
      </c>
      <c r="O355" s="38">
        <f t="shared" si="344"/>
        <v>879</v>
      </c>
      <c r="P355" s="38">
        <v>253</v>
      </c>
      <c r="Q355" s="38">
        <v>22</v>
      </c>
      <c r="R355" s="38">
        <v>109</v>
      </c>
      <c r="S355" s="38">
        <v>435</v>
      </c>
      <c r="T355" s="38">
        <v>37</v>
      </c>
      <c r="U355" s="38">
        <f t="shared" si="345"/>
        <v>3686</v>
      </c>
      <c r="V355">
        <v>1280</v>
      </c>
      <c r="W355">
        <v>125</v>
      </c>
      <c r="X355">
        <v>40</v>
      </c>
      <c r="Y355">
        <v>41</v>
      </c>
      <c r="Z355">
        <v>675</v>
      </c>
      <c r="AA355">
        <v>621</v>
      </c>
      <c r="AB355">
        <v>3.9</v>
      </c>
      <c r="AC355">
        <v>12</v>
      </c>
      <c r="AD355">
        <v>10</v>
      </c>
      <c r="AE355">
        <v>39</v>
      </c>
      <c r="AF355" s="45">
        <f t="shared" ca="1" si="332"/>
        <v>6141</v>
      </c>
      <c r="AG355" s="45">
        <f t="shared" ca="1" si="346"/>
        <v>1303</v>
      </c>
      <c r="AH355" s="45">
        <f t="shared" ca="1" si="347"/>
        <v>789</v>
      </c>
      <c r="AI355" s="45">
        <f t="shared" ca="1" si="348"/>
        <v>323</v>
      </c>
      <c r="AJ355" s="45">
        <f t="shared" ca="1" si="349"/>
        <v>39</v>
      </c>
      <c r="AK355" s="45">
        <f t="shared" ca="1" si="350"/>
        <v>152</v>
      </c>
      <c r="AL355" s="45">
        <f t="shared" ca="1" si="351"/>
        <v>435</v>
      </c>
      <c r="AM355" s="45">
        <f t="shared" ca="1" si="352"/>
        <v>60</v>
      </c>
      <c r="AN355" s="45">
        <f t="shared" ca="1" si="353"/>
        <v>4343</v>
      </c>
      <c r="AO355">
        <v>4299</v>
      </c>
      <c r="AP355">
        <v>1369</v>
      </c>
      <c r="AQ355">
        <v>145</v>
      </c>
      <c r="AR355">
        <v>436</v>
      </c>
      <c r="AS355">
        <v>1088</v>
      </c>
      <c r="AT355">
        <v>108</v>
      </c>
      <c r="AU355">
        <v>152</v>
      </c>
      <c r="AV355">
        <v>0.98199999999999998</v>
      </c>
      <c r="AW355" s="1"/>
      <c r="AX355" s="1"/>
      <c r="AY355" s="47">
        <f t="shared" si="354"/>
        <v>29700</v>
      </c>
      <c r="AZ355" s="49">
        <f t="shared" si="355"/>
        <v>165705</v>
      </c>
      <c r="BA355" s="49">
        <f t="shared" ref="BA355" si="385">SUMIF($B$2:$B$571,$B355,$P$2:$P$571)</f>
        <v>8399</v>
      </c>
      <c r="BB355" s="48">
        <f t="shared" si="357"/>
        <v>5.0686460879273407E-2</v>
      </c>
    </row>
    <row r="356" spans="2:54" x14ac:dyDescent="0.2">
      <c r="B356" s="3">
        <v>2011</v>
      </c>
      <c r="C356" t="s">
        <v>88</v>
      </c>
      <c r="D356" t="s">
        <v>89</v>
      </c>
      <c r="E356">
        <v>2</v>
      </c>
      <c r="F356" t="s">
        <v>38</v>
      </c>
      <c r="G356" t="s">
        <v>38</v>
      </c>
      <c r="H356" t="s">
        <v>38</v>
      </c>
      <c r="I356" t="s">
        <v>38</v>
      </c>
      <c r="J356">
        <v>86</v>
      </c>
      <c r="K356">
        <v>76</v>
      </c>
      <c r="L356">
        <v>570</v>
      </c>
      <c r="M356" s="38">
        <v>5486</v>
      </c>
      <c r="N356" s="38">
        <v>1327</v>
      </c>
      <c r="O356" s="38">
        <f t="shared" si="344"/>
        <v>900</v>
      </c>
      <c r="P356" s="38">
        <v>282</v>
      </c>
      <c r="Q356" s="38">
        <v>24</v>
      </c>
      <c r="R356" s="38">
        <v>121</v>
      </c>
      <c r="S356" s="38">
        <v>448</v>
      </c>
      <c r="T356" s="38">
        <v>52</v>
      </c>
      <c r="U356" s="38">
        <f t="shared" si="345"/>
        <v>3659</v>
      </c>
      <c r="V356">
        <v>1122</v>
      </c>
      <c r="W356">
        <v>85</v>
      </c>
      <c r="X356">
        <v>51</v>
      </c>
      <c r="Y356">
        <v>43</v>
      </c>
      <c r="Z356">
        <v>578</v>
      </c>
      <c r="AA356">
        <v>522</v>
      </c>
      <c r="AB356">
        <v>3.2</v>
      </c>
      <c r="AC356">
        <v>3</v>
      </c>
      <c r="AD356">
        <v>12</v>
      </c>
      <c r="AE356">
        <v>52</v>
      </c>
      <c r="AF356" s="45">
        <f t="shared" ca="1" si="332"/>
        <v>6420</v>
      </c>
      <c r="AG356" s="45">
        <f t="shared" ca="1" si="346"/>
        <v>1686</v>
      </c>
      <c r="AH356" s="45">
        <f t="shared" ca="1" si="347"/>
        <v>1171</v>
      </c>
      <c r="AI356" s="45">
        <f t="shared" ca="1" si="348"/>
        <v>346</v>
      </c>
      <c r="AJ356" s="45">
        <f t="shared" ca="1" si="349"/>
        <v>30</v>
      </c>
      <c r="AK356" s="45">
        <f t="shared" ca="1" si="350"/>
        <v>139</v>
      </c>
      <c r="AL356" s="45">
        <f t="shared" ca="1" si="351"/>
        <v>678</v>
      </c>
      <c r="AM356" s="45">
        <f t="shared" ca="1" si="352"/>
        <v>33</v>
      </c>
      <c r="AN356" s="45">
        <f t="shared" ca="1" si="353"/>
        <v>4023</v>
      </c>
      <c r="AO356">
        <v>4404</v>
      </c>
      <c r="AP356">
        <v>1260</v>
      </c>
      <c r="AQ356">
        <v>96</v>
      </c>
      <c r="AR356">
        <v>559</v>
      </c>
      <c r="AS356">
        <v>1316</v>
      </c>
      <c r="AT356">
        <v>104</v>
      </c>
      <c r="AU356">
        <v>127</v>
      </c>
      <c r="AV356">
        <v>0.98299999999999998</v>
      </c>
      <c r="AW356" s="1"/>
      <c r="AX356" s="1"/>
      <c r="AY356" s="47">
        <f t="shared" si="354"/>
        <v>29700</v>
      </c>
      <c r="AZ356" s="49">
        <f t="shared" si="355"/>
        <v>165705</v>
      </c>
      <c r="BA356" s="49">
        <f t="shared" ref="BA356" si="386">SUMIF($B$2:$B$571,$B356,$Q$2:$Q$571)</f>
        <v>898</v>
      </c>
      <c r="BB356" s="48">
        <f t="shared" si="357"/>
        <v>5.419269183186989E-3</v>
      </c>
    </row>
    <row r="357" spans="2:54" x14ac:dyDescent="0.2">
      <c r="B357" s="3">
        <v>2011</v>
      </c>
      <c r="C357" t="s">
        <v>90</v>
      </c>
      <c r="D357" t="s">
        <v>91</v>
      </c>
      <c r="E357">
        <v>2</v>
      </c>
      <c r="F357" t="s">
        <v>38</v>
      </c>
      <c r="G357" t="s">
        <v>43</v>
      </c>
      <c r="H357" t="s">
        <v>43</v>
      </c>
      <c r="I357" t="s">
        <v>43</v>
      </c>
      <c r="J357">
        <v>90</v>
      </c>
      <c r="K357">
        <v>72</v>
      </c>
      <c r="L357">
        <v>762</v>
      </c>
      <c r="M357" s="38">
        <v>5532</v>
      </c>
      <c r="N357" s="38">
        <v>1513</v>
      </c>
      <c r="O357" s="38">
        <f t="shared" si="344"/>
        <v>1021</v>
      </c>
      <c r="P357" s="38">
        <v>308</v>
      </c>
      <c r="Q357" s="38">
        <v>22</v>
      </c>
      <c r="R357" s="38">
        <v>162</v>
      </c>
      <c r="S357" s="38">
        <v>542</v>
      </c>
      <c r="T357" s="38">
        <v>44</v>
      </c>
      <c r="U357" s="38">
        <f t="shared" si="345"/>
        <v>3433</v>
      </c>
      <c r="V357">
        <v>978</v>
      </c>
      <c r="W357">
        <v>57</v>
      </c>
      <c r="X357">
        <v>39</v>
      </c>
      <c r="Y357">
        <v>40</v>
      </c>
      <c r="Z357">
        <v>692</v>
      </c>
      <c r="AA357">
        <v>608</v>
      </c>
      <c r="AB357">
        <v>3.74</v>
      </c>
      <c r="AC357">
        <v>7</v>
      </c>
      <c r="AD357">
        <v>9</v>
      </c>
      <c r="AE357">
        <v>47</v>
      </c>
      <c r="AF357" s="45">
        <f t="shared" ca="1" si="332"/>
        <v>6088</v>
      </c>
      <c r="AG357" s="45">
        <f t="shared" ca="1" si="346"/>
        <v>1504</v>
      </c>
      <c r="AH357" s="45">
        <f t="shared" ca="1" si="347"/>
        <v>1067</v>
      </c>
      <c r="AI357" s="45">
        <f t="shared" ca="1" si="348"/>
        <v>230</v>
      </c>
      <c r="AJ357" s="45">
        <f t="shared" ca="1" si="349"/>
        <v>49</v>
      </c>
      <c r="AK357" s="45">
        <f t="shared" ca="1" si="350"/>
        <v>158</v>
      </c>
      <c r="AL357" s="45">
        <f t="shared" ca="1" si="351"/>
        <v>695</v>
      </c>
      <c r="AM357" s="45">
        <f t="shared" ca="1" si="352"/>
        <v>85</v>
      </c>
      <c r="AN357" s="45">
        <f t="shared" ca="1" si="353"/>
        <v>3804</v>
      </c>
      <c r="AO357">
        <v>4386</v>
      </c>
      <c r="AP357">
        <v>1461</v>
      </c>
      <c r="AQ357">
        <v>136</v>
      </c>
      <c r="AR357">
        <v>448</v>
      </c>
      <c r="AS357">
        <v>1098</v>
      </c>
      <c r="AT357">
        <v>116</v>
      </c>
      <c r="AU357">
        <v>167</v>
      </c>
      <c r="AV357">
        <v>0.98199999999999998</v>
      </c>
      <c r="AW357" s="1"/>
      <c r="AX357" s="1"/>
      <c r="AY357" s="47">
        <f t="shared" si="354"/>
        <v>29700</v>
      </c>
      <c r="AZ357" s="49">
        <f t="shared" si="355"/>
        <v>165705</v>
      </c>
      <c r="BA357" s="49">
        <f t="shared" ref="BA357" si="387">SUMIF($B$2:$B$571,$B357,$R$2:$R$571)</f>
        <v>4552</v>
      </c>
      <c r="BB357" s="48">
        <f t="shared" si="357"/>
        <v>2.7470504812769681E-2</v>
      </c>
    </row>
    <row r="358" spans="2:54" x14ac:dyDescent="0.2">
      <c r="B358" s="3">
        <v>2011</v>
      </c>
      <c r="C358" t="s">
        <v>102</v>
      </c>
      <c r="D358" t="s">
        <v>93</v>
      </c>
      <c r="E358">
        <v>2</v>
      </c>
      <c r="F358" t="s">
        <v>38</v>
      </c>
      <c r="G358" t="s">
        <v>43</v>
      </c>
      <c r="H358" t="s">
        <v>38</v>
      </c>
      <c r="I358" t="s">
        <v>38</v>
      </c>
      <c r="J358">
        <v>91</v>
      </c>
      <c r="K358">
        <v>71</v>
      </c>
      <c r="L358">
        <v>707</v>
      </c>
      <c r="M358" s="38">
        <v>5436</v>
      </c>
      <c r="N358" s="38">
        <v>1324</v>
      </c>
      <c r="O358" s="38">
        <f t="shared" si="344"/>
        <v>842</v>
      </c>
      <c r="P358" s="38">
        <v>273</v>
      </c>
      <c r="Q358" s="38">
        <v>37</v>
      </c>
      <c r="R358" s="38">
        <v>172</v>
      </c>
      <c r="S358" s="38">
        <v>571</v>
      </c>
      <c r="T358" s="38">
        <v>73</v>
      </c>
      <c r="U358" s="38">
        <f t="shared" si="345"/>
        <v>3468</v>
      </c>
      <c r="V358">
        <v>1193</v>
      </c>
      <c r="W358">
        <v>155</v>
      </c>
      <c r="X358">
        <v>62</v>
      </c>
      <c r="Y358">
        <v>35</v>
      </c>
      <c r="Z358">
        <v>614</v>
      </c>
      <c r="AA358">
        <v>577</v>
      </c>
      <c r="AB358">
        <v>3.58</v>
      </c>
      <c r="AC358">
        <v>15</v>
      </c>
      <c r="AD358">
        <v>13</v>
      </c>
      <c r="AE358">
        <v>32</v>
      </c>
      <c r="AF358" s="45">
        <f t="shared" ca="1" si="332"/>
        <v>6190</v>
      </c>
      <c r="AG358" s="45">
        <f t="shared" ca="1" si="346"/>
        <v>1556</v>
      </c>
      <c r="AH358" s="45">
        <f t="shared" ca="1" si="347"/>
        <v>1063</v>
      </c>
      <c r="AI358" s="45">
        <f t="shared" ca="1" si="348"/>
        <v>260</v>
      </c>
      <c r="AJ358" s="45">
        <f t="shared" ca="1" si="349"/>
        <v>36</v>
      </c>
      <c r="AK358" s="45">
        <f t="shared" ca="1" si="350"/>
        <v>197</v>
      </c>
      <c r="AL358" s="45">
        <f t="shared" ca="1" si="351"/>
        <v>492</v>
      </c>
      <c r="AM358" s="45">
        <f t="shared" ca="1" si="352"/>
        <v>42</v>
      </c>
      <c r="AN358" s="45">
        <f t="shared" ca="1" si="353"/>
        <v>4100</v>
      </c>
      <c r="AO358">
        <v>4347</v>
      </c>
      <c r="AP358">
        <v>1263</v>
      </c>
      <c r="AQ358">
        <v>161</v>
      </c>
      <c r="AR358">
        <v>504</v>
      </c>
      <c r="AS358">
        <v>1143</v>
      </c>
      <c r="AT358">
        <v>73</v>
      </c>
      <c r="AU358">
        <v>138</v>
      </c>
      <c r="AV358">
        <v>0.98799999999999999</v>
      </c>
      <c r="AW358" s="1"/>
      <c r="AX358" s="1"/>
      <c r="AY358" s="47">
        <f t="shared" si="354"/>
        <v>29700</v>
      </c>
      <c r="AZ358" s="49">
        <f t="shared" si="355"/>
        <v>165705</v>
      </c>
      <c r="BA358" s="49">
        <f t="shared" ref="BA358" si="388">SUMIF($B$2:$B$571,$B358,$S$2:$S$571)</f>
        <v>15018</v>
      </c>
      <c r="BB358" s="48">
        <f t="shared" si="357"/>
        <v>9.063094052683987E-2</v>
      </c>
    </row>
    <row r="359" spans="2:54" x14ac:dyDescent="0.2">
      <c r="B359" s="3">
        <v>2011</v>
      </c>
      <c r="C359" t="s">
        <v>94</v>
      </c>
      <c r="D359" t="s">
        <v>95</v>
      </c>
      <c r="E359">
        <v>1</v>
      </c>
      <c r="F359" t="s">
        <v>43</v>
      </c>
      <c r="G359" t="s">
        <v>38</v>
      </c>
      <c r="H359" t="s">
        <v>43</v>
      </c>
      <c r="I359" t="s">
        <v>38</v>
      </c>
      <c r="J359">
        <v>96</v>
      </c>
      <c r="K359">
        <v>66</v>
      </c>
      <c r="L359">
        <v>855</v>
      </c>
      <c r="M359" s="38">
        <v>5659</v>
      </c>
      <c r="N359" s="38">
        <v>1599</v>
      </c>
      <c r="O359" s="38">
        <f t="shared" si="344"/>
        <v>1047</v>
      </c>
      <c r="P359" s="38">
        <v>310</v>
      </c>
      <c r="Q359" s="38">
        <v>32</v>
      </c>
      <c r="R359" s="38">
        <v>210</v>
      </c>
      <c r="S359" s="38">
        <v>475</v>
      </c>
      <c r="T359" s="38">
        <v>39</v>
      </c>
      <c r="U359" s="38">
        <f t="shared" si="345"/>
        <v>3546</v>
      </c>
      <c r="V359">
        <v>930</v>
      </c>
      <c r="W359">
        <v>143</v>
      </c>
      <c r="X359">
        <v>45</v>
      </c>
      <c r="Y359">
        <v>49</v>
      </c>
      <c r="Z359">
        <v>677</v>
      </c>
      <c r="AA359">
        <v>607</v>
      </c>
      <c r="AB359">
        <v>3.79</v>
      </c>
      <c r="AC359">
        <v>10</v>
      </c>
      <c r="AD359">
        <v>19</v>
      </c>
      <c r="AE359">
        <v>38</v>
      </c>
      <c r="AF359" s="45">
        <f t="shared" ca="1" si="332"/>
        <v>6276</v>
      </c>
      <c r="AG359" s="45">
        <f t="shared" ca="1" si="346"/>
        <v>1531</v>
      </c>
      <c r="AH359" s="45">
        <f t="shared" ca="1" si="347"/>
        <v>952</v>
      </c>
      <c r="AI359" s="45">
        <f t="shared" ca="1" si="348"/>
        <v>310</v>
      </c>
      <c r="AJ359" s="45">
        <f t="shared" ca="1" si="349"/>
        <v>29</v>
      </c>
      <c r="AK359" s="45">
        <f t="shared" ca="1" si="350"/>
        <v>240</v>
      </c>
      <c r="AL359" s="45">
        <f t="shared" ca="1" si="351"/>
        <v>455</v>
      </c>
      <c r="AM359" s="45">
        <f t="shared" ca="1" si="352"/>
        <v>65</v>
      </c>
      <c r="AN359" s="45">
        <f t="shared" ca="1" si="353"/>
        <v>4225</v>
      </c>
      <c r="AO359">
        <v>4324</v>
      </c>
      <c r="AP359">
        <v>1327</v>
      </c>
      <c r="AQ359">
        <v>170</v>
      </c>
      <c r="AR359">
        <v>461</v>
      </c>
      <c r="AS359">
        <v>1179</v>
      </c>
      <c r="AT359">
        <v>114</v>
      </c>
      <c r="AU359">
        <v>164</v>
      </c>
      <c r="AV359">
        <v>0.98099999999999998</v>
      </c>
      <c r="AW359" s="1"/>
      <c r="AX359" s="1"/>
      <c r="AY359" s="47">
        <f t="shared" si="354"/>
        <v>29700</v>
      </c>
      <c r="AZ359" s="49">
        <f t="shared" si="355"/>
        <v>165705</v>
      </c>
      <c r="BA359" s="49">
        <f t="shared" ref="BA359" si="389">SUMIF($B$2:$B$571,$B359,$T$2:$T$571)</f>
        <v>1554</v>
      </c>
      <c r="BB359" s="48">
        <f t="shared" si="357"/>
        <v>9.3781117045351678E-3</v>
      </c>
    </row>
    <row r="360" spans="2:54" x14ac:dyDescent="0.2">
      <c r="B360" s="3">
        <v>2011</v>
      </c>
      <c r="C360" t="s">
        <v>96</v>
      </c>
      <c r="D360" t="s">
        <v>97</v>
      </c>
      <c r="E360">
        <v>4</v>
      </c>
      <c r="F360" t="s">
        <v>38</v>
      </c>
      <c r="G360" t="s">
        <v>38</v>
      </c>
      <c r="H360" t="s">
        <v>38</v>
      </c>
      <c r="I360" t="s">
        <v>38</v>
      </c>
      <c r="J360">
        <v>81</v>
      </c>
      <c r="K360">
        <v>81</v>
      </c>
      <c r="L360">
        <v>743</v>
      </c>
      <c r="M360" s="38">
        <v>5559</v>
      </c>
      <c r="N360" s="38">
        <v>1384</v>
      </c>
      <c r="O360" s="38">
        <f t="shared" si="344"/>
        <v>879</v>
      </c>
      <c r="P360" s="38">
        <v>285</v>
      </c>
      <c r="Q360" s="38">
        <v>34</v>
      </c>
      <c r="R360" s="38">
        <v>186</v>
      </c>
      <c r="S360" s="38">
        <v>525</v>
      </c>
      <c r="T360" s="38">
        <v>48</v>
      </c>
      <c r="U360" s="38">
        <f t="shared" si="345"/>
        <v>3602</v>
      </c>
      <c r="V360">
        <v>1184</v>
      </c>
      <c r="W360">
        <v>131</v>
      </c>
      <c r="X360">
        <v>52</v>
      </c>
      <c r="Y360">
        <v>47</v>
      </c>
      <c r="Z360">
        <v>761</v>
      </c>
      <c r="AA360">
        <v>700</v>
      </c>
      <c r="AB360">
        <v>4.32</v>
      </c>
      <c r="AC360">
        <v>7</v>
      </c>
      <c r="AD360">
        <v>10</v>
      </c>
      <c r="AE360">
        <v>33</v>
      </c>
      <c r="AF360" s="45">
        <f t="shared" ca="1" si="332"/>
        <v>6469</v>
      </c>
      <c r="AG360" s="45">
        <f t="shared" ca="1" si="346"/>
        <v>1415</v>
      </c>
      <c r="AH360" s="45">
        <f t="shared" ca="1" si="347"/>
        <v>874</v>
      </c>
      <c r="AI360" s="45">
        <f t="shared" ca="1" si="348"/>
        <v>327</v>
      </c>
      <c r="AJ360" s="45">
        <f t="shared" ca="1" si="349"/>
        <v>22</v>
      </c>
      <c r="AK360" s="45">
        <f t="shared" ca="1" si="350"/>
        <v>192</v>
      </c>
      <c r="AL360" s="45">
        <f t="shared" ca="1" si="351"/>
        <v>573</v>
      </c>
      <c r="AM360" s="45">
        <f t="shared" ca="1" si="352"/>
        <v>41</v>
      </c>
      <c r="AN360" s="45">
        <f t="shared" ca="1" si="353"/>
        <v>4440</v>
      </c>
      <c r="AO360">
        <v>4376</v>
      </c>
      <c r="AP360">
        <v>1433</v>
      </c>
      <c r="AQ360">
        <v>179</v>
      </c>
      <c r="AR360">
        <v>540</v>
      </c>
      <c r="AS360">
        <v>1169</v>
      </c>
      <c r="AT360">
        <v>110</v>
      </c>
      <c r="AU360">
        <v>148</v>
      </c>
      <c r="AV360">
        <v>0.98199999999999998</v>
      </c>
      <c r="AW360" s="1"/>
      <c r="AX360" s="1"/>
      <c r="AY360" s="47">
        <f t="shared" si="354"/>
        <v>29700</v>
      </c>
      <c r="AZ360" s="49">
        <f t="shared" si="355"/>
        <v>165705</v>
      </c>
      <c r="BA360" s="49">
        <f t="shared" ref="BA360" si="390">SUMIF($B$2:$B$571,$B360,$U$2:$U$571)</f>
        <v>106866</v>
      </c>
      <c r="BB360" s="48">
        <f t="shared" si="357"/>
        <v>0.64491717208291843</v>
      </c>
    </row>
    <row r="361" spans="2:54" x14ac:dyDescent="0.2">
      <c r="B361" s="3">
        <v>2011</v>
      </c>
      <c r="C361" t="s">
        <v>100</v>
      </c>
      <c r="D361" t="s">
        <v>101</v>
      </c>
      <c r="E361">
        <v>3</v>
      </c>
      <c r="F361" t="s">
        <v>38</v>
      </c>
      <c r="G361" t="s">
        <v>38</v>
      </c>
      <c r="H361" t="s">
        <v>38</v>
      </c>
      <c r="I361" t="s">
        <v>38</v>
      </c>
      <c r="J361">
        <v>80</v>
      </c>
      <c r="K361">
        <v>81</v>
      </c>
      <c r="L361">
        <v>624</v>
      </c>
      <c r="M361" s="38">
        <v>5441</v>
      </c>
      <c r="N361" s="38">
        <v>1319</v>
      </c>
      <c r="O361" s="38">
        <f t="shared" si="344"/>
        <v>886</v>
      </c>
      <c r="P361" s="38">
        <v>257</v>
      </c>
      <c r="Q361" s="38">
        <v>22</v>
      </c>
      <c r="R361" s="38">
        <v>154</v>
      </c>
      <c r="S361" s="38">
        <v>470</v>
      </c>
      <c r="T361" s="38">
        <v>65</v>
      </c>
      <c r="U361" s="38">
        <f t="shared" si="345"/>
        <v>3587</v>
      </c>
      <c r="V361">
        <v>1323</v>
      </c>
      <c r="W361">
        <v>106</v>
      </c>
      <c r="X361">
        <v>38</v>
      </c>
      <c r="Y361">
        <v>32</v>
      </c>
      <c r="Z361">
        <v>643</v>
      </c>
      <c r="AA361">
        <v>577</v>
      </c>
      <c r="AB361">
        <v>3.58</v>
      </c>
      <c r="AC361">
        <v>3</v>
      </c>
      <c r="AD361">
        <v>10</v>
      </c>
      <c r="AE361">
        <v>49</v>
      </c>
      <c r="AF361" s="45">
        <f t="shared" ca="1" si="332"/>
        <v>6215</v>
      </c>
      <c r="AG361" s="45">
        <f t="shared" ca="1" si="346"/>
        <v>1498</v>
      </c>
      <c r="AH361" s="45">
        <f t="shared" ca="1" si="347"/>
        <v>907</v>
      </c>
      <c r="AI361" s="45">
        <f t="shared" ca="1" si="348"/>
        <v>330</v>
      </c>
      <c r="AJ361" s="45">
        <f t="shared" ca="1" si="349"/>
        <v>46</v>
      </c>
      <c r="AK361" s="45">
        <f t="shared" ca="1" si="350"/>
        <v>215</v>
      </c>
      <c r="AL361" s="45">
        <f t="shared" ca="1" si="351"/>
        <v>611</v>
      </c>
      <c r="AM361" s="45">
        <f t="shared" ca="1" si="352"/>
        <v>58</v>
      </c>
      <c r="AN361" s="45">
        <f t="shared" ca="1" si="353"/>
        <v>4048</v>
      </c>
      <c r="AO361">
        <v>4348</v>
      </c>
      <c r="AP361">
        <v>1403</v>
      </c>
      <c r="AQ361">
        <v>129</v>
      </c>
      <c r="AR361">
        <v>477</v>
      </c>
      <c r="AS361">
        <v>1049</v>
      </c>
      <c r="AT361">
        <v>104</v>
      </c>
      <c r="AU361">
        <v>145</v>
      </c>
      <c r="AV361">
        <v>0.98299999999999998</v>
      </c>
      <c r="AW361" s="1"/>
      <c r="AX361" s="1"/>
      <c r="AY361" s="47">
        <f t="shared" si="354"/>
        <v>29700</v>
      </c>
      <c r="AZ361" s="49">
        <f t="shared" si="355"/>
        <v>165705</v>
      </c>
      <c r="BA361" s="49"/>
      <c r="BB361" s="48">
        <f t="shared" si="357"/>
        <v>0</v>
      </c>
    </row>
    <row r="362" spans="2:54" x14ac:dyDescent="0.2">
      <c r="B362" s="3">
        <v>2012</v>
      </c>
      <c r="C362" t="s">
        <v>39</v>
      </c>
      <c r="D362" t="s">
        <v>40</v>
      </c>
      <c r="E362">
        <v>3</v>
      </c>
      <c r="F362" t="s">
        <v>38</v>
      </c>
      <c r="G362" t="s">
        <v>38</v>
      </c>
      <c r="H362" t="s">
        <v>38</v>
      </c>
      <c r="I362" t="s">
        <v>38</v>
      </c>
      <c r="J362">
        <v>81</v>
      </c>
      <c r="K362">
        <v>81</v>
      </c>
      <c r="L362">
        <v>734</v>
      </c>
      <c r="M362" s="38">
        <v>5462</v>
      </c>
      <c r="N362" s="38">
        <v>1416</v>
      </c>
      <c r="O362" s="38">
        <f t="shared" si="344"/>
        <v>911</v>
      </c>
      <c r="P362" s="38">
        <v>307</v>
      </c>
      <c r="Q362" s="38">
        <v>33</v>
      </c>
      <c r="R362" s="38">
        <v>165</v>
      </c>
      <c r="S362" s="38">
        <v>539</v>
      </c>
      <c r="T362" s="38">
        <v>41</v>
      </c>
      <c r="U362" s="38">
        <f t="shared" si="345"/>
        <v>3466</v>
      </c>
      <c r="V362">
        <v>1266</v>
      </c>
      <c r="W362">
        <v>93</v>
      </c>
      <c r="X362">
        <v>51</v>
      </c>
      <c r="Y362">
        <v>45</v>
      </c>
      <c r="Z362">
        <v>688</v>
      </c>
      <c r="AA362">
        <v>626</v>
      </c>
      <c r="AB362">
        <v>3.93</v>
      </c>
      <c r="AC362">
        <v>4</v>
      </c>
      <c r="AD362">
        <v>9</v>
      </c>
      <c r="AE362">
        <v>39</v>
      </c>
      <c r="AF362" s="45">
        <f t="shared" ca="1" si="332"/>
        <v>6108</v>
      </c>
      <c r="AG362" s="45">
        <f t="shared" ca="1" si="346"/>
        <v>1597</v>
      </c>
      <c r="AH362" s="45">
        <f t="shared" ca="1" si="347"/>
        <v>1049</v>
      </c>
      <c r="AI362" s="45">
        <f t="shared" ca="1" si="348"/>
        <v>295</v>
      </c>
      <c r="AJ362" s="45">
        <f t="shared" ca="1" si="349"/>
        <v>24</v>
      </c>
      <c r="AK362" s="45">
        <f t="shared" ca="1" si="350"/>
        <v>229</v>
      </c>
      <c r="AL362" s="45">
        <f t="shared" ca="1" si="351"/>
        <v>465</v>
      </c>
      <c r="AM362" s="45">
        <f t="shared" ca="1" si="352"/>
        <v>34</v>
      </c>
      <c r="AN362" s="45">
        <f t="shared" ca="1" si="353"/>
        <v>4012</v>
      </c>
      <c r="AO362">
        <v>4301</v>
      </c>
      <c r="AP362">
        <v>1432</v>
      </c>
      <c r="AQ362">
        <v>155</v>
      </c>
      <c r="AR362">
        <v>417</v>
      </c>
      <c r="AS362">
        <v>1200</v>
      </c>
      <c r="AT362">
        <v>90</v>
      </c>
      <c r="AU362">
        <v>146</v>
      </c>
      <c r="AV362">
        <v>0.98499999999999999</v>
      </c>
      <c r="AW362" s="1"/>
      <c r="AX362" s="1"/>
      <c r="AY362" s="47">
        <f t="shared" si="354"/>
        <v>29700</v>
      </c>
      <c r="AZ362" s="49">
        <f t="shared" si="355"/>
        <v>165251</v>
      </c>
      <c r="BA362" s="49">
        <f t="shared" ref="BA362" si="391">SUMIF($B$2:$B$571,$B362,$O$2:$O$571)</f>
        <v>27941</v>
      </c>
      <c r="BB362" s="48">
        <f t="shared" si="357"/>
        <v>0.16908218407150336</v>
      </c>
    </row>
    <row r="363" spans="2:54" x14ac:dyDescent="0.2">
      <c r="B363" s="3">
        <v>2012</v>
      </c>
      <c r="C363" t="s">
        <v>41</v>
      </c>
      <c r="D363" t="s">
        <v>42</v>
      </c>
      <c r="E363">
        <v>2</v>
      </c>
      <c r="F363" t="s">
        <v>38</v>
      </c>
      <c r="G363" t="s">
        <v>43</v>
      </c>
      <c r="H363" t="s">
        <v>38</v>
      </c>
      <c r="I363" t="s">
        <v>38</v>
      </c>
      <c r="J363">
        <v>94</v>
      </c>
      <c r="K363">
        <v>68</v>
      </c>
      <c r="L363">
        <v>700</v>
      </c>
      <c r="M363" s="38">
        <v>5425</v>
      </c>
      <c r="N363" s="38">
        <v>1341</v>
      </c>
      <c r="O363" s="38">
        <f t="shared" si="344"/>
        <v>899</v>
      </c>
      <c r="P363" s="38">
        <v>263</v>
      </c>
      <c r="Q363" s="38">
        <v>30</v>
      </c>
      <c r="R363" s="38">
        <v>149</v>
      </c>
      <c r="S363" s="38">
        <v>567</v>
      </c>
      <c r="T363" s="38">
        <v>34</v>
      </c>
      <c r="U363" s="38">
        <f t="shared" si="345"/>
        <v>3483</v>
      </c>
      <c r="V363">
        <v>1289</v>
      </c>
      <c r="W363">
        <v>101</v>
      </c>
      <c r="X363">
        <v>32</v>
      </c>
      <c r="Y363">
        <v>46</v>
      </c>
      <c r="Z363">
        <v>600</v>
      </c>
      <c r="AA363">
        <v>549</v>
      </c>
      <c r="AB363">
        <v>3.42</v>
      </c>
      <c r="AC363">
        <v>5</v>
      </c>
      <c r="AD363">
        <v>16</v>
      </c>
      <c r="AE363">
        <v>47</v>
      </c>
      <c r="AF363" s="45">
        <f t="shared" ca="1" si="332"/>
        <v>6151</v>
      </c>
      <c r="AG363" s="45">
        <f t="shared" ca="1" si="346"/>
        <v>1504</v>
      </c>
      <c r="AH363" s="45">
        <f t="shared" ca="1" si="347"/>
        <v>939</v>
      </c>
      <c r="AI363" s="45">
        <f t="shared" ca="1" si="348"/>
        <v>383</v>
      </c>
      <c r="AJ363" s="45">
        <f t="shared" ca="1" si="349"/>
        <v>42</v>
      </c>
      <c r="AK363" s="45">
        <f t="shared" ca="1" si="350"/>
        <v>140</v>
      </c>
      <c r="AL363" s="45">
        <f t="shared" ca="1" si="351"/>
        <v>471</v>
      </c>
      <c r="AM363" s="45">
        <f t="shared" ca="1" si="352"/>
        <v>57</v>
      </c>
      <c r="AN363" s="45">
        <f t="shared" ca="1" si="353"/>
        <v>4119</v>
      </c>
      <c r="AO363">
        <v>4336</v>
      </c>
      <c r="AP363">
        <v>1310</v>
      </c>
      <c r="AQ363">
        <v>145</v>
      </c>
      <c r="AR363">
        <v>464</v>
      </c>
      <c r="AS363">
        <v>1232</v>
      </c>
      <c r="AT363">
        <v>86</v>
      </c>
      <c r="AU363">
        <v>147</v>
      </c>
      <c r="AV363">
        <v>0.98599999999999999</v>
      </c>
      <c r="AW363" s="1"/>
      <c r="AX363" s="1"/>
      <c r="AY363" s="47">
        <f t="shared" si="354"/>
        <v>29700</v>
      </c>
      <c r="AZ363" s="49">
        <f t="shared" si="355"/>
        <v>165251</v>
      </c>
      <c r="BA363" s="49">
        <f t="shared" ref="BA363" si="392">SUMIF($B$2:$B$571,$B363,$P$2:$P$571)</f>
        <v>8261</v>
      </c>
      <c r="BB363" s="48">
        <f t="shared" si="357"/>
        <v>4.9990620329075162E-2</v>
      </c>
    </row>
    <row r="364" spans="2:54" x14ac:dyDescent="0.2">
      <c r="B364" s="3">
        <v>2012</v>
      </c>
      <c r="C364" t="s">
        <v>44</v>
      </c>
      <c r="D364" t="s">
        <v>45</v>
      </c>
      <c r="E364">
        <v>2</v>
      </c>
      <c r="F364" t="s">
        <v>38</v>
      </c>
      <c r="G364" t="s">
        <v>43</v>
      </c>
      <c r="H364" t="s">
        <v>38</v>
      </c>
      <c r="I364" t="s">
        <v>38</v>
      </c>
      <c r="J364">
        <v>93</v>
      </c>
      <c r="K364">
        <v>69</v>
      </c>
      <c r="L364">
        <v>712</v>
      </c>
      <c r="M364" s="38">
        <v>5560</v>
      </c>
      <c r="N364" s="38">
        <v>1375</v>
      </c>
      <c r="O364" s="38">
        <f t="shared" si="344"/>
        <v>875</v>
      </c>
      <c r="P364" s="38">
        <v>270</v>
      </c>
      <c r="Q364" s="38">
        <v>16</v>
      </c>
      <c r="R364" s="38">
        <v>214</v>
      </c>
      <c r="S364" s="38">
        <v>480</v>
      </c>
      <c r="T364" s="38">
        <v>50</v>
      </c>
      <c r="U364" s="38">
        <f t="shared" si="345"/>
        <v>3655</v>
      </c>
      <c r="V364">
        <v>1315</v>
      </c>
      <c r="W364">
        <v>58</v>
      </c>
      <c r="X364">
        <v>29</v>
      </c>
      <c r="Y364">
        <v>30</v>
      </c>
      <c r="Z364">
        <v>705</v>
      </c>
      <c r="AA364">
        <v>642</v>
      </c>
      <c r="AB364">
        <v>3.9</v>
      </c>
      <c r="AC364">
        <v>1</v>
      </c>
      <c r="AD364">
        <v>10</v>
      </c>
      <c r="AE364">
        <v>55</v>
      </c>
      <c r="AF364" s="45">
        <f t="shared" ca="1" si="332"/>
        <v>6339</v>
      </c>
      <c r="AG364" s="45">
        <f t="shared" ca="1" si="346"/>
        <v>1665</v>
      </c>
      <c r="AH364" s="45">
        <f t="shared" ca="1" si="347"/>
        <v>1118</v>
      </c>
      <c r="AI364" s="45">
        <f t="shared" ca="1" si="348"/>
        <v>312</v>
      </c>
      <c r="AJ364" s="45">
        <f t="shared" ca="1" si="349"/>
        <v>25</v>
      </c>
      <c r="AK364" s="45">
        <f t="shared" ca="1" si="350"/>
        <v>210</v>
      </c>
      <c r="AL364" s="45">
        <f t="shared" ca="1" si="351"/>
        <v>603</v>
      </c>
      <c r="AM364" s="45">
        <f t="shared" ca="1" si="352"/>
        <v>53</v>
      </c>
      <c r="AN364" s="45">
        <f t="shared" ca="1" si="353"/>
        <v>4018</v>
      </c>
      <c r="AO364">
        <v>4449</v>
      </c>
      <c r="AP364">
        <v>1433</v>
      </c>
      <c r="AQ364">
        <v>184</v>
      </c>
      <c r="AR364">
        <v>481</v>
      </c>
      <c r="AS364">
        <v>1177</v>
      </c>
      <c r="AT364">
        <v>106</v>
      </c>
      <c r="AU364">
        <v>151</v>
      </c>
      <c r="AV364">
        <v>0.98299999999999998</v>
      </c>
      <c r="AW364" s="1"/>
      <c r="AX364" s="1"/>
      <c r="AY364" s="47">
        <f t="shared" si="354"/>
        <v>29700</v>
      </c>
      <c r="AZ364" s="49">
        <f t="shared" si="355"/>
        <v>165251</v>
      </c>
      <c r="BA364" s="49">
        <f t="shared" ref="BA364" si="393">SUMIF($B$2:$B$571,$B364,$Q$2:$Q$571)</f>
        <v>927</v>
      </c>
      <c r="BB364" s="48">
        <f t="shared" si="357"/>
        <v>5.6096483531113276E-3</v>
      </c>
    </row>
    <row r="365" spans="2:54" x14ac:dyDescent="0.2">
      <c r="B365" s="3">
        <v>2012</v>
      </c>
      <c r="C365" t="s">
        <v>46</v>
      </c>
      <c r="D365" t="s">
        <v>47</v>
      </c>
      <c r="E365">
        <v>5</v>
      </c>
      <c r="F365" t="s">
        <v>38</v>
      </c>
      <c r="G365" t="s">
        <v>38</v>
      </c>
      <c r="H365" t="s">
        <v>38</v>
      </c>
      <c r="I365" t="s">
        <v>38</v>
      </c>
      <c r="J365">
        <v>69</v>
      </c>
      <c r="K365">
        <v>93</v>
      </c>
      <c r="L365">
        <v>734</v>
      </c>
      <c r="M365" s="38">
        <v>5604</v>
      </c>
      <c r="N365" s="38">
        <v>1459</v>
      </c>
      <c r="O365" s="38">
        <f t="shared" si="344"/>
        <v>939</v>
      </c>
      <c r="P365" s="38">
        <v>339</v>
      </c>
      <c r="Q365" s="38">
        <v>16</v>
      </c>
      <c r="R365" s="38">
        <v>165</v>
      </c>
      <c r="S365" s="38">
        <v>428</v>
      </c>
      <c r="T365" s="38">
        <v>45</v>
      </c>
      <c r="U365" s="38">
        <f t="shared" si="345"/>
        <v>3672</v>
      </c>
      <c r="V365">
        <v>1197</v>
      </c>
      <c r="W365">
        <v>97</v>
      </c>
      <c r="X365">
        <v>31</v>
      </c>
      <c r="Y365">
        <v>55</v>
      </c>
      <c r="Z365">
        <v>806</v>
      </c>
      <c r="AA365">
        <v>754</v>
      </c>
      <c r="AB365">
        <v>4.7</v>
      </c>
      <c r="AC365">
        <v>6</v>
      </c>
      <c r="AD365">
        <v>4</v>
      </c>
      <c r="AE365">
        <v>35</v>
      </c>
      <c r="AF365" s="45">
        <f t="shared" ca="1" si="332"/>
        <v>6251</v>
      </c>
      <c r="AG365" s="45">
        <f t="shared" ca="1" si="346"/>
        <v>1517</v>
      </c>
      <c r="AH365" s="45">
        <f t="shared" ca="1" si="347"/>
        <v>964</v>
      </c>
      <c r="AI365" s="45">
        <f t="shared" ca="1" si="348"/>
        <v>286</v>
      </c>
      <c r="AJ365" s="45">
        <f t="shared" ca="1" si="349"/>
        <v>34</v>
      </c>
      <c r="AK365" s="45">
        <f t="shared" ca="1" si="350"/>
        <v>233</v>
      </c>
      <c r="AL365" s="45">
        <f t="shared" ca="1" si="351"/>
        <v>582</v>
      </c>
      <c r="AM365" s="45">
        <f t="shared" ca="1" si="352"/>
        <v>51</v>
      </c>
      <c r="AN365" s="45">
        <f t="shared" ca="1" si="353"/>
        <v>4101</v>
      </c>
      <c r="AO365">
        <v>4329</v>
      </c>
      <c r="AP365">
        <v>1449</v>
      </c>
      <c r="AQ365">
        <v>190</v>
      </c>
      <c r="AR365">
        <v>529</v>
      </c>
      <c r="AS365">
        <v>1176</v>
      </c>
      <c r="AT365">
        <v>101</v>
      </c>
      <c r="AU365">
        <v>159</v>
      </c>
      <c r="AV365">
        <v>0.98299999999999998</v>
      </c>
      <c r="AW365" s="1"/>
      <c r="AX365" s="1"/>
      <c r="AY365" s="47">
        <f t="shared" si="354"/>
        <v>29700</v>
      </c>
      <c r="AZ365" s="49">
        <f t="shared" si="355"/>
        <v>165251</v>
      </c>
      <c r="BA365" s="49">
        <f t="shared" ref="BA365" si="394">SUMIF($B$2:$B$571,$B365,$R$2:$R$571)</f>
        <v>4934</v>
      </c>
      <c r="BB365" s="48">
        <f t="shared" si="357"/>
        <v>2.9857610543960401E-2</v>
      </c>
    </row>
    <row r="366" spans="2:54" x14ac:dyDescent="0.2">
      <c r="B366" s="3">
        <v>2012</v>
      </c>
      <c r="C366" t="s">
        <v>48</v>
      </c>
      <c r="D366" t="s">
        <v>49</v>
      </c>
      <c r="E366">
        <v>2</v>
      </c>
      <c r="F366" t="s">
        <v>38</v>
      </c>
      <c r="G366" t="s">
        <v>38</v>
      </c>
      <c r="H366" t="s">
        <v>38</v>
      </c>
      <c r="I366" t="s">
        <v>38</v>
      </c>
      <c r="J366">
        <v>85</v>
      </c>
      <c r="K366">
        <v>77</v>
      </c>
      <c r="L366">
        <v>748</v>
      </c>
      <c r="M366" s="38">
        <v>5518</v>
      </c>
      <c r="N366" s="38">
        <v>1409</v>
      </c>
      <c r="O366" s="38">
        <f t="shared" si="344"/>
        <v>941</v>
      </c>
      <c r="P366" s="38">
        <v>228</v>
      </c>
      <c r="Q366" s="38">
        <v>29</v>
      </c>
      <c r="R366" s="38">
        <v>211</v>
      </c>
      <c r="S366" s="38">
        <v>461</v>
      </c>
      <c r="T366" s="38">
        <v>65</v>
      </c>
      <c r="U366" s="38">
        <f t="shared" si="345"/>
        <v>3583</v>
      </c>
      <c r="V366">
        <v>1203</v>
      </c>
      <c r="W366">
        <v>109</v>
      </c>
      <c r="X366">
        <v>43</v>
      </c>
      <c r="Y366">
        <v>36</v>
      </c>
      <c r="Z366">
        <v>676</v>
      </c>
      <c r="AA366">
        <v>646</v>
      </c>
      <c r="AB366">
        <v>4.0199999999999996</v>
      </c>
      <c r="AC366">
        <v>6</v>
      </c>
      <c r="AD366">
        <v>11</v>
      </c>
      <c r="AE366">
        <v>37</v>
      </c>
      <c r="AF366" s="45">
        <f t="shared" ca="1" si="332"/>
        <v>6062</v>
      </c>
      <c r="AG366" s="45">
        <f t="shared" ca="1" si="346"/>
        <v>1668</v>
      </c>
      <c r="AH366" s="45">
        <f t="shared" ca="1" si="347"/>
        <v>1226</v>
      </c>
      <c r="AI366" s="45">
        <f t="shared" ca="1" si="348"/>
        <v>221</v>
      </c>
      <c r="AJ366" s="45">
        <f t="shared" ca="1" si="349"/>
        <v>40</v>
      </c>
      <c r="AK366" s="45">
        <f t="shared" ca="1" si="350"/>
        <v>181</v>
      </c>
      <c r="AL366" s="45">
        <f t="shared" ca="1" si="351"/>
        <v>535</v>
      </c>
      <c r="AM366" s="45">
        <f t="shared" ca="1" si="352"/>
        <v>56</v>
      </c>
      <c r="AN366" s="45">
        <f t="shared" ca="1" si="353"/>
        <v>3803</v>
      </c>
      <c r="AO366">
        <v>4337</v>
      </c>
      <c r="AP366">
        <v>1365</v>
      </c>
      <c r="AQ366">
        <v>186</v>
      </c>
      <c r="AR366">
        <v>503</v>
      </c>
      <c r="AS366">
        <v>1246</v>
      </c>
      <c r="AT366">
        <v>70</v>
      </c>
      <c r="AU366">
        <v>154</v>
      </c>
      <c r="AV366">
        <v>0.98799999999999999</v>
      </c>
      <c r="AW366" s="1"/>
      <c r="AX366" s="1"/>
      <c r="AY366" s="47">
        <f t="shared" si="354"/>
        <v>29700</v>
      </c>
      <c r="AZ366" s="49">
        <f t="shared" si="355"/>
        <v>165251</v>
      </c>
      <c r="BA366" s="49">
        <f t="shared" ref="BA366" si="395">SUMIF($B$2:$B$571,$B366,$S$2:$S$571)</f>
        <v>14709</v>
      </c>
      <c r="BB366" s="48">
        <f t="shared" si="357"/>
        <v>8.9010051376391064E-2</v>
      </c>
    </row>
    <row r="367" spans="2:54" x14ac:dyDescent="0.2">
      <c r="B367" s="3">
        <v>2012</v>
      </c>
      <c r="C367" t="s">
        <v>50</v>
      </c>
      <c r="D367" t="s">
        <v>51</v>
      </c>
      <c r="E367">
        <v>5</v>
      </c>
      <c r="F367" t="s">
        <v>38</v>
      </c>
      <c r="G367" t="s">
        <v>38</v>
      </c>
      <c r="H367" t="s">
        <v>38</v>
      </c>
      <c r="I367" t="s">
        <v>38</v>
      </c>
      <c r="J367">
        <v>61</v>
      </c>
      <c r="K367">
        <v>101</v>
      </c>
      <c r="L367">
        <v>613</v>
      </c>
      <c r="M367" s="38">
        <v>5411</v>
      </c>
      <c r="N367" s="38">
        <v>1297</v>
      </c>
      <c r="O367" s="38">
        <f t="shared" si="344"/>
        <v>859</v>
      </c>
      <c r="P367" s="38">
        <v>265</v>
      </c>
      <c r="Q367" s="38">
        <v>36</v>
      </c>
      <c r="R367" s="38">
        <v>137</v>
      </c>
      <c r="S367" s="38">
        <v>447</v>
      </c>
      <c r="T367" s="38">
        <v>43</v>
      </c>
      <c r="U367" s="38">
        <f t="shared" si="345"/>
        <v>3624</v>
      </c>
      <c r="V367">
        <v>1235</v>
      </c>
      <c r="W367">
        <v>94</v>
      </c>
      <c r="X367">
        <v>45</v>
      </c>
      <c r="Y367">
        <v>24</v>
      </c>
      <c r="Z367">
        <v>759</v>
      </c>
      <c r="AA367">
        <v>708</v>
      </c>
      <c r="AB367">
        <v>4.51</v>
      </c>
      <c r="AC367">
        <v>1</v>
      </c>
      <c r="AD367">
        <v>9</v>
      </c>
      <c r="AE367">
        <v>28</v>
      </c>
      <c r="AF367" s="45">
        <f t="shared" ca="1" si="332"/>
        <v>6065</v>
      </c>
      <c r="AG367" s="45">
        <f t="shared" ca="1" si="346"/>
        <v>1382</v>
      </c>
      <c r="AH367" s="45">
        <f t="shared" ca="1" si="347"/>
        <v>843</v>
      </c>
      <c r="AI367" s="45">
        <f t="shared" ca="1" si="348"/>
        <v>324</v>
      </c>
      <c r="AJ367" s="45">
        <f t="shared" ca="1" si="349"/>
        <v>27</v>
      </c>
      <c r="AK367" s="45">
        <f t="shared" ca="1" si="350"/>
        <v>188</v>
      </c>
      <c r="AL367" s="45">
        <f t="shared" ca="1" si="351"/>
        <v>672</v>
      </c>
      <c r="AM367" s="45">
        <f t="shared" ca="1" si="352"/>
        <v>33</v>
      </c>
      <c r="AN367" s="45">
        <f t="shared" ca="1" si="353"/>
        <v>3978</v>
      </c>
      <c r="AO367">
        <v>4241</v>
      </c>
      <c r="AP367">
        <v>1399</v>
      </c>
      <c r="AQ367">
        <v>175</v>
      </c>
      <c r="AR367">
        <v>573</v>
      </c>
      <c r="AS367">
        <v>1128</v>
      </c>
      <c r="AT367">
        <v>105</v>
      </c>
      <c r="AU367">
        <v>148</v>
      </c>
      <c r="AV367">
        <v>0.98199999999999998</v>
      </c>
      <c r="AW367" s="1"/>
      <c r="AX367" s="1"/>
      <c r="AY367" s="47">
        <f t="shared" si="354"/>
        <v>29700</v>
      </c>
      <c r="AZ367" s="49">
        <f t="shared" si="355"/>
        <v>165251</v>
      </c>
      <c r="BA367" s="49">
        <f t="shared" ref="BA367" si="396">SUMIF($B$2:$B$571,$B367,$T$2:$T$571)</f>
        <v>1494</v>
      </c>
      <c r="BB367" s="48">
        <f t="shared" si="357"/>
        <v>9.0407924914221397E-3</v>
      </c>
    </row>
    <row r="368" spans="2:54" x14ac:dyDescent="0.2">
      <c r="B368" s="3">
        <v>2012</v>
      </c>
      <c r="C368" t="s">
        <v>52</v>
      </c>
      <c r="D368" t="s">
        <v>53</v>
      </c>
      <c r="E368">
        <v>1</v>
      </c>
      <c r="F368" t="s">
        <v>43</v>
      </c>
      <c r="G368" t="s">
        <v>38</v>
      </c>
      <c r="H368" t="s">
        <v>38</v>
      </c>
      <c r="I368" t="s">
        <v>38</v>
      </c>
      <c r="J368">
        <v>97</v>
      </c>
      <c r="K368">
        <v>65</v>
      </c>
      <c r="L368">
        <v>669</v>
      </c>
      <c r="M368" s="38">
        <v>5477</v>
      </c>
      <c r="N368" s="38">
        <v>1377</v>
      </c>
      <c r="O368" s="38">
        <f t="shared" si="344"/>
        <v>879</v>
      </c>
      <c r="P368" s="38">
        <v>296</v>
      </c>
      <c r="Q368" s="38">
        <v>30</v>
      </c>
      <c r="R368" s="38">
        <v>172</v>
      </c>
      <c r="S368" s="38">
        <v>481</v>
      </c>
      <c r="T368" s="38">
        <v>47</v>
      </c>
      <c r="U368" s="38">
        <f t="shared" si="345"/>
        <v>3572</v>
      </c>
      <c r="V368">
        <v>1266</v>
      </c>
      <c r="W368">
        <v>87</v>
      </c>
      <c r="X368">
        <v>27</v>
      </c>
      <c r="Y368">
        <v>37</v>
      </c>
      <c r="Z368">
        <v>588</v>
      </c>
      <c r="AA368">
        <v>540</v>
      </c>
      <c r="AB368">
        <v>3.34</v>
      </c>
      <c r="AC368">
        <v>9</v>
      </c>
      <c r="AD368">
        <v>12</v>
      </c>
      <c r="AE368">
        <v>56</v>
      </c>
      <c r="AF368" s="45">
        <f t="shared" ca="1" si="332"/>
        <v>6107</v>
      </c>
      <c r="AG368" s="45">
        <f t="shared" ca="1" si="346"/>
        <v>1424</v>
      </c>
      <c r="AH368" s="45">
        <f t="shared" ca="1" si="347"/>
        <v>851</v>
      </c>
      <c r="AI368" s="45">
        <f t="shared" ca="1" si="348"/>
        <v>369</v>
      </c>
      <c r="AJ368" s="45">
        <f t="shared" ca="1" si="349"/>
        <v>24</v>
      </c>
      <c r="AK368" s="45">
        <f t="shared" ca="1" si="350"/>
        <v>180</v>
      </c>
      <c r="AL368" s="45">
        <f t="shared" ca="1" si="351"/>
        <v>442</v>
      </c>
      <c r="AM368" s="45">
        <f t="shared" ca="1" si="352"/>
        <v>61</v>
      </c>
      <c r="AN368" s="45">
        <f t="shared" ca="1" si="353"/>
        <v>4180</v>
      </c>
      <c r="AO368">
        <v>4359</v>
      </c>
      <c r="AP368">
        <v>1356</v>
      </c>
      <c r="AQ368">
        <v>152</v>
      </c>
      <c r="AR368">
        <v>427</v>
      </c>
      <c r="AS368">
        <v>1248</v>
      </c>
      <c r="AT368">
        <v>89</v>
      </c>
      <c r="AU368">
        <v>113</v>
      </c>
      <c r="AV368">
        <v>0.98499999999999999</v>
      </c>
      <c r="AW368" s="1"/>
      <c r="AX368" s="1"/>
      <c r="AY368" s="47">
        <f t="shared" si="354"/>
        <v>29700</v>
      </c>
      <c r="AZ368" s="49">
        <f t="shared" si="355"/>
        <v>165251</v>
      </c>
      <c r="BA368" s="49">
        <f t="shared" ref="BA368" si="397">SUMIF($B$2:$B$571,$B368,$U$2:$U$571)</f>
        <v>106985</v>
      </c>
      <c r="BB368" s="48">
        <f t="shared" si="357"/>
        <v>0.64740909283453651</v>
      </c>
    </row>
    <row r="369" spans="2:54" x14ac:dyDescent="0.2">
      <c r="B369" s="3">
        <v>2012</v>
      </c>
      <c r="C369" t="s">
        <v>54</v>
      </c>
      <c r="D369" t="s">
        <v>55</v>
      </c>
      <c r="E369">
        <v>4</v>
      </c>
      <c r="F369" t="s">
        <v>38</v>
      </c>
      <c r="G369" t="s">
        <v>38</v>
      </c>
      <c r="H369" t="s">
        <v>38</v>
      </c>
      <c r="I369" t="s">
        <v>38</v>
      </c>
      <c r="J369">
        <v>68</v>
      </c>
      <c r="K369">
        <v>94</v>
      </c>
      <c r="L369">
        <v>667</v>
      </c>
      <c r="M369" s="38">
        <v>5525</v>
      </c>
      <c r="N369" s="38">
        <v>1385</v>
      </c>
      <c r="O369" s="38">
        <f t="shared" si="344"/>
        <v>959</v>
      </c>
      <c r="P369" s="38">
        <v>266</v>
      </c>
      <c r="Q369" s="38">
        <v>24</v>
      </c>
      <c r="R369" s="38">
        <v>136</v>
      </c>
      <c r="S369" s="38">
        <v>555</v>
      </c>
      <c r="T369" s="38">
        <v>59</v>
      </c>
      <c r="U369" s="38">
        <f t="shared" si="345"/>
        <v>3526</v>
      </c>
      <c r="V369">
        <v>1087</v>
      </c>
      <c r="W369">
        <v>110</v>
      </c>
      <c r="X369">
        <v>44</v>
      </c>
      <c r="Y369">
        <v>39</v>
      </c>
      <c r="Z369">
        <v>845</v>
      </c>
      <c r="AA369">
        <v>766</v>
      </c>
      <c r="AB369">
        <v>4.78</v>
      </c>
      <c r="AC369">
        <v>2</v>
      </c>
      <c r="AD369">
        <v>6</v>
      </c>
      <c r="AE369">
        <v>43</v>
      </c>
      <c r="AF369" s="45">
        <f t="shared" ca="1" si="332"/>
        <v>6325</v>
      </c>
      <c r="AG369" s="45">
        <f t="shared" ca="1" si="346"/>
        <v>1370</v>
      </c>
      <c r="AH369" s="45">
        <f t="shared" ca="1" si="347"/>
        <v>943</v>
      </c>
      <c r="AI369" s="45">
        <f t="shared" ca="1" si="348"/>
        <v>236</v>
      </c>
      <c r="AJ369" s="45">
        <f t="shared" ca="1" si="349"/>
        <v>49</v>
      </c>
      <c r="AK369" s="45">
        <f t="shared" ca="1" si="350"/>
        <v>142</v>
      </c>
      <c r="AL369" s="45">
        <f t="shared" ca="1" si="351"/>
        <v>537</v>
      </c>
      <c r="AM369" s="45">
        <f t="shared" ca="1" si="352"/>
        <v>54</v>
      </c>
      <c r="AN369" s="45">
        <f t="shared" ca="1" si="353"/>
        <v>4364</v>
      </c>
      <c r="AO369">
        <v>4326</v>
      </c>
      <c r="AP369">
        <v>1503</v>
      </c>
      <c r="AQ369">
        <v>174</v>
      </c>
      <c r="AR369">
        <v>543</v>
      </c>
      <c r="AS369">
        <v>1086</v>
      </c>
      <c r="AT369">
        <v>96</v>
      </c>
      <c r="AU369">
        <v>157</v>
      </c>
      <c r="AV369">
        <v>0.98399999999999999</v>
      </c>
      <c r="AW369" s="1"/>
      <c r="AX369" s="1"/>
      <c r="AY369" s="47">
        <f t="shared" si="354"/>
        <v>29700</v>
      </c>
      <c r="AZ369" s="49">
        <f t="shared" si="355"/>
        <v>165251</v>
      </c>
      <c r="BA369" s="49"/>
      <c r="BB369" s="48">
        <f t="shared" si="357"/>
        <v>0</v>
      </c>
    </row>
    <row r="370" spans="2:54" x14ac:dyDescent="0.2">
      <c r="B370" s="3">
        <v>2012</v>
      </c>
      <c r="C370" t="s">
        <v>56</v>
      </c>
      <c r="D370" t="s">
        <v>57</v>
      </c>
      <c r="E370">
        <v>5</v>
      </c>
      <c r="F370" t="s">
        <v>38</v>
      </c>
      <c r="G370" t="s">
        <v>38</v>
      </c>
      <c r="H370" t="s">
        <v>38</v>
      </c>
      <c r="I370" t="s">
        <v>38</v>
      </c>
      <c r="J370">
        <v>64</v>
      </c>
      <c r="K370">
        <v>98</v>
      </c>
      <c r="L370">
        <v>758</v>
      </c>
      <c r="M370" s="38">
        <v>5577</v>
      </c>
      <c r="N370" s="38">
        <v>1526</v>
      </c>
      <c r="O370" s="38">
        <f t="shared" si="344"/>
        <v>1002</v>
      </c>
      <c r="P370" s="38">
        <v>306</v>
      </c>
      <c r="Q370" s="38">
        <v>52</v>
      </c>
      <c r="R370" s="38">
        <v>166</v>
      </c>
      <c r="S370" s="38">
        <v>450</v>
      </c>
      <c r="T370" s="38">
        <v>36</v>
      </c>
      <c r="U370" s="38">
        <f t="shared" si="345"/>
        <v>3565</v>
      </c>
      <c r="V370">
        <v>1213</v>
      </c>
      <c r="W370">
        <v>100</v>
      </c>
      <c r="X370">
        <v>40</v>
      </c>
      <c r="Y370">
        <v>39</v>
      </c>
      <c r="Z370">
        <v>890</v>
      </c>
      <c r="AA370">
        <v>824</v>
      </c>
      <c r="AB370">
        <v>5.22</v>
      </c>
      <c r="AC370">
        <v>0</v>
      </c>
      <c r="AD370">
        <v>7</v>
      </c>
      <c r="AE370">
        <v>36</v>
      </c>
      <c r="AF370" s="45">
        <f t="shared" ca="1" si="332"/>
        <v>6318</v>
      </c>
      <c r="AG370" s="45">
        <f t="shared" ca="1" si="346"/>
        <v>1596</v>
      </c>
      <c r="AH370" s="45">
        <f t="shared" ca="1" si="347"/>
        <v>1068</v>
      </c>
      <c r="AI370" s="45">
        <f t="shared" ca="1" si="348"/>
        <v>355</v>
      </c>
      <c r="AJ370" s="45">
        <f t="shared" ca="1" si="349"/>
        <v>32</v>
      </c>
      <c r="AK370" s="45">
        <f t="shared" ca="1" si="350"/>
        <v>141</v>
      </c>
      <c r="AL370" s="45">
        <f t="shared" ca="1" si="351"/>
        <v>665</v>
      </c>
      <c r="AM370" s="45">
        <f t="shared" ca="1" si="352"/>
        <v>81</v>
      </c>
      <c r="AN370" s="45">
        <f t="shared" ca="1" si="353"/>
        <v>3976</v>
      </c>
      <c r="AO370">
        <v>4266</v>
      </c>
      <c r="AP370">
        <v>1637</v>
      </c>
      <c r="AQ370">
        <v>198</v>
      </c>
      <c r="AR370">
        <v>566</v>
      </c>
      <c r="AS370">
        <v>1144</v>
      </c>
      <c r="AT370">
        <v>122</v>
      </c>
      <c r="AU370">
        <v>139</v>
      </c>
      <c r="AV370">
        <v>0.98</v>
      </c>
      <c r="AW370" s="1"/>
      <c r="AX370" s="1"/>
      <c r="AY370" s="47">
        <f t="shared" si="354"/>
        <v>29700</v>
      </c>
      <c r="AZ370" s="49">
        <f t="shared" si="355"/>
        <v>165251</v>
      </c>
      <c r="BA370" s="49">
        <f t="shared" ref="BA370" si="398">SUMIF($B$2:$B$571,$B370,$O$2:$O$571)</f>
        <v>27941</v>
      </c>
      <c r="BB370" s="48">
        <f t="shared" si="357"/>
        <v>0.16908218407150336</v>
      </c>
    </row>
    <row r="371" spans="2:54" x14ac:dyDescent="0.2">
      <c r="B371" s="3">
        <v>2012</v>
      </c>
      <c r="C371" t="s">
        <v>58</v>
      </c>
      <c r="D371" t="s">
        <v>59</v>
      </c>
      <c r="E371">
        <v>1</v>
      </c>
      <c r="F371" t="s">
        <v>43</v>
      </c>
      <c r="G371" t="s">
        <v>38</v>
      </c>
      <c r="H371" t="s">
        <v>43</v>
      </c>
      <c r="I371" t="s">
        <v>38</v>
      </c>
      <c r="J371">
        <v>88</v>
      </c>
      <c r="K371">
        <v>74</v>
      </c>
      <c r="L371">
        <v>726</v>
      </c>
      <c r="M371" s="38">
        <v>5476</v>
      </c>
      <c r="N371" s="38">
        <v>1467</v>
      </c>
      <c r="O371" s="38">
        <f t="shared" si="344"/>
        <v>986</v>
      </c>
      <c r="P371" s="38">
        <v>279</v>
      </c>
      <c r="Q371" s="38">
        <v>39</v>
      </c>
      <c r="R371" s="38">
        <v>163</v>
      </c>
      <c r="S371" s="38">
        <v>511</v>
      </c>
      <c r="T371" s="38">
        <v>57</v>
      </c>
      <c r="U371" s="38">
        <f t="shared" si="345"/>
        <v>3441</v>
      </c>
      <c r="V371">
        <v>1103</v>
      </c>
      <c r="W371">
        <v>59</v>
      </c>
      <c r="X371">
        <v>23</v>
      </c>
      <c r="Y371">
        <v>39</v>
      </c>
      <c r="Z371">
        <v>670</v>
      </c>
      <c r="AA371">
        <v>596</v>
      </c>
      <c r="AB371">
        <v>3.75</v>
      </c>
      <c r="AC371">
        <v>9</v>
      </c>
      <c r="AD371">
        <v>8</v>
      </c>
      <c r="AE371">
        <v>40</v>
      </c>
      <c r="AF371" s="45">
        <f t="shared" ca="1" si="332"/>
        <v>6445</v>
      </c>
      <c r="AG371" s="45">
        <f t="shared" ca="1" si="346"/>
        <v>1321</v>
      </c>
      <c r="AH371" s="45">
        <f t="shared" ca="1" si="347"/>
        <v>766</v>
      </c>
      <c r="AI371" s="45">
        <f t="shared" ca="1" si="348"/>
        <v>343</v>
      </c>
      <c r="AJ371" s="45">
        <f t="shared" ca="1" si="349"/>
        <v>29</v>
      </c>
      <c r="AK371" s="45">
        <f t="shared" ca="1" si="350"/>
        <v>183</v>
      </c>
      <c r="AL371" s="45">
        <f t="shared" ca="1" si="351"/>
        <v>591</v>
      </c>
      <c r="AM371" s="45">
        <f t="shared" ca="1" si="352"/>
        <v>69</v>
      </c>
      <c r="AN371" s="45">
        <f t="shared" ca="1" si="353"/>
        <v>4464</v>
      </c>
      <c r="AO371">
        <v>4292</v>
      </c>
      <c r="AP371">
        <v>1409</v>
      </c>
      <c r="AQ371">
        <v>151</v>
      </c>
      <c r="AR371">
        <v>438</v>
      </c>
      <c r="AS371">
        <v>1318</v>
      </c>
      <c r="AT371">
        <v>99</v>
      </c>
      <c r="AU371">
        <v>127</v>
      </c>
      <c r="AV371">
        <v>0.98299999999999998</v>
      </c>
      <c r="AW371" s="1"/>
      <c r="AX371" s="1"/>
      <c r="AY371" s="47">
        <f t="shared" si="354"/>
        <v>29700</v>
      </c>
      <c r="AZ371" s="49">
        <f t="shared" si="355"/>
        <v>165251</v>
      </c>
      <c r="BA371" s="49">
        <f t="shared" ref="BA371" si="399">SUMIF($B$2:$B$571,$B371,$P$2:$P$571)</f>
        <v>8261</v>
      </c>
      <c r="BB371" s="48">
        <f t="shared" si="357"/>
        <v>4.9990620329075162E-2</v>
      </c>
    </row>
    <row r="372" spans="2:54" x14ac:dyDescent="0.2">
      <c r="B372" s="3">
        <v>2012</v>
      </c>
      <c r="C372" t="s">
        <v>62</v>
      </c>
      <c r="D372" t="s">
        <v>63</v>
      </c>
      <c r="E372">
        <v>6</v>
      </c>
      <c r="F372" t="s">
        <v>38</v>
      </c>
      <c r="G372" t="s">
        <v>38</v>
      </c>
      <c r="H372" t="s">
        <v>38</v>
      </c>
      <c r="I372" t="s">
        <v>38</v>
      </c>
      <c r="J372">
        <v>55</v>
      </c>
      <c r="K372">
        <v>107</v>
      </c>
      <c r="L372">
        <v>583</v>
      </c>
      <c r="M372" s="38">
        <v>5407</v>
      </c>
      <c r="N372" s="38">
        <v>1276</v>
      </c>
      <c r="O372" s="38">
        <f t="shared" si="344"/>
        <v>864</v>
      </c>
      <c r="P372" s="38">
        <v>238</v>
      </c>
      <c r="Q372" s="38">
        <v>28</v>
      </c>
      <c r="R372" s="38">
        <v>146</v>
      </c>
      <c r="S372" s="38">
        <v>463</v>
      </c>
      <c r="T372" s="38">
        <v>58</v>
      </c>
      <c r="U372" s="38">
        <f t="shared" si="345"/>
        <v>3610</v>
      </c>
      <c r="V372">
        <v>1365</v>
      </c>
      <c r="W372">
        <v>105</v>
      </c>
      <c r="X372">
        <v>46</v>
      </c>
      <c r="Y372">
        <v>30</v>
      </c>
      <c r="Z372">
        <v>794</v>
      </c>
      <c r="AA372">
        <v>721</v>
      </c>
      <c r="AB372">
        <v>4.5599999999999996</v>
      </c>
      <c r="AC372">
        <v>3</v>
      </c>
      <c r="AD372">
        <v>11</v>
      </c>
      <c r="AE372">
        <v>31</v>
      </c>
      <c r="AF372" s="45">
        <f t="shared" ca="1" si="332"/>
        <v>6433</v>
      </c>
      <c r="AG372" s="45">
        <f t="shared" ca="1" si="346"/>
        <v>1587</v>
      </c>
      <c r="AH372" s="45">
        <f t="shared" ca="1" si="347"/>
        <v>1025</v>
      </c>
      <c r="AI372" s="45">
        <f t="shared" ca="1" si="348"/>
        <v>332</v>
      </c>
      <c r="AJ372" s="45">
        <f t="shared" ca="1" si="349"/>
        <v>47</v>
      </c>
      <c r="AK372" s="45">
        <f t="shared" ca="1" si="350"/>
        <v>183</v>
      </c>
      <c r="AL372" s="45">
        <f t="shared" ca="1" si="351"/>
        <v>565</v>
      </c>
      <c r="AM372" s="45">
        <f t="shared" ca="1" si="352"/>
        <v>42</v>
      </c>
      <c r="AN372" s="45">
        <f t="shared" ca="1" si="353"/>
        <v>4239</v>
      </c>
      <c r="AO372">
        <v>4270</v>
      </c>
      <c r="AP372">
        <v>1493</v>
      </c>
      <c r="AQ372">
        <v>173</v>
      </c>
      <c r="AR372">
        <v>540</v>
      </c>
      <c r="AS372">
        <v>1170</v>
      </c>
      <c r="AT372">
        <v>118</v>
      </c>
      <c r="AU372">
        <v>132</v>
      </c>
      <c r="AV372">
        <v>0.98099999999999998</v>
      </c>
      <c r="AW372" s="1"/>
      <c r="AX372" s="1"/>
      <c r="AY372" s="47">
        <f t="shared" si="354"/>
        <v>29700</v>
      </c>
      <c r="AZ372" s="49">
        <f t="shared" si="355"/>
        <v>165251</v>
      </c>
      <c r="BA372" s="49">
        <f t="shared" ref="BA372" si="400">SUMIF($B$2:$B$571,$B372,$Q$2:$Q$571)</f>
        <v>927</v>
      </c>
      <c r="BB372" s="48">
        <f t="shared" si="357"/>
        <v>5.6096483531113276E-3</v>
      </c>
    </row>
    <row r="373" spans="2:54" x14ac:dyDescent="0.2">
      <c r="B373" s="3">
        <v>2012</v>
      </c>
      <c r="C373" t="s">
        <v>64</v>
      </c>
      <c r="D373" t="s">
        <v>65</v>
      </c>
      <c r="E373">
        <v>3</v>
      </c>
      <c r="F373" t="s">
        <v>38</v>
      </c>
      <c r="G373" t="s">
        <v>38</v>
      </c>
      <c r="H373" t="s">
        <v>38</v>
      </c>
      <c r="I373" t="s">
        <v>38</v>
      </c>
      <c r="J373">
        <v>72</v>
      </c>
      <c r="K373">
        <v>90</v>
      </c>
      <c r="L373">
        <v>676</v>
      </c>
      <c r="M373" s="38">
        <v>5636</v>
      </c>
      <c r="N373" s="38">
        <v>1492</v>
      </c>
      <c r="O373" s="38">
        <f t="shared" si="344"/>
        <v>1029</v>
      </c>
      <c r="P373" s="38">
        <v>295</v>
      </c>
      <c r="Q373" s="38">
        <v>37</v>
      </c>
      <c r="R373" s="38">
        <v>131</v>
      </c>
      <c r="S373" s="38">
        <v>404</v>
      </c>
      <c r="T373" s="38">
        <v>42</v>
      </c>
      <c r="U373" s="38">
        <f t="shared" si="345"/>
        <v>3698</v>
      </c>
      <c r="V373">
        <v>1032</v>
      </c>
      <c r="W373">
        <v>132</v>
      </c>
      <c r="X373">
        <v>38</v>
      </c>
      <c r="Y373">
        <v>41</v>
      </c>
      <c r="Z373">
        <v>746</v>
      </c>
      <c r="AA373">
        <v>693</v>
      </c>
      <c r="AB373">
        <v>4.3</v>
      </c>
      <c r="AC373">
        <v>2</v>
      </c>
      <c r="AD373">
        <v>12</v>
      </c>
      <c r="AE373">
        <v>44</v>
      </c>
      <c r="AF373" s="45">
        <f t="shared" ca="1" si="332"/>
        <v>6470</v>
      </c>
      <c r="AG373" s="45">
        <f t="shared" ca="1" si="346"/>
        <v>1359</v>
      </c>
      <c r="AH373" s="45">
        <f t="shared" ca="1" si="347"/>
        <v>818</v>
      </c>
      <c r="AI373" s="45">
        <f t="shared" ca="1" si="348"/>
        <v>291</v>
      </c>
      <c r="AJ373" s="45">
        <f t="shared" ca="1" si="349"/>
        <v>29</v>
      </c>
      <c r="AK373" s="45">
        <f t="shared" ca="1" si="350"/>
        <v>221</v>
      </c>
      <c r="AL373" s="45">
        <f t="shared" ca="1" si="351"/>
        <v>604</v>
      </c>
      <c r="AM373" s="45">
        <f t="shared" ca="1" si="352"/>
        <v>73</v>
      </c>
      <c r="AN373" s="45">
        <f t="shared" ca="1" si="353"/>
        <v>4434</v>
      </c>
      <c r="AO373">
        <v>4354</v>
      </c>
      <c r="AP373">
        <v>1504</v>
      </c>
      <c r="AQ373">
        <v>163</v>
      </c>
      <c r="AR373">
        <v>542</v>
      </c>
      <c r="AS373">
        <v>1177</v>
      </c>
      <c r="AT373">
        <v>113</v>
      </c>
      <c r="AU373">
        <v>171</v>
      </c>
      <c r="AV373">
        <v>0.98099999999999998</v>
      </c>
      <c r="AW373" s="1"/>
      <c r="AX373" s="1"/>
      <c r="AY373" s="47">
        <f t="shared" si="354"/>
        <v>29700</v>
      </c>
      <c r="AZ373" s="49">
        <f t="shared" si="355"/>
        <v>165251</v>
      </c>
      <c r="BA373" s="49">
        <f t="shared" ref="BA373" si="401">SUMIF($B$2:$B$571,$B373,$R$2:$R$571)</f>
        <v>4934</v>
      </c>
      <c r="BB373" s="48">
        <f t="shared" si="357"/>
        <v>2.9857610543960401E-2</v>
      </c>
    </row>
    <row r="374" spans="2:54" x14ac:dyDescent="0.2">
      <c r="B374" s="3">
        <v>2012</v>
      </c>
      <c r="C374" t="s">
        <v>98</v>
      </c>
      <c r="D374" t="s">
        <v>99</v>
      </c>
      <c r="E374">
        <v>3</v>
      </c>
      <c r="F374" t="s">
        <v>38</v>
      </c>
      <c r="G374" t="s">
        <v>38</v>
      </c>
      <c r="H374" t="s">
        <v>38</v>
      </c>
      <c r="I374" t="s">
        <v>38</v>
      </c>
      <c r="J374">
        <v>89</v>
      </c>
      <c r="K374">
        <v>73</v>
      </c>
      <c r="L374">
        <v>767</v>
      </c>
      <c r="M374" s="38">
        <v>5536</v>
      </c>
      <c r="N374" s="38">
        <v>1518</v>
      </c>
      <c r="O374" s="38">
        <f t="shared" si="344"/>
        <v>1036</v>
      </c>
      <c r="P374" s="38">
        <v>273</v>
      </c>
      <c r="Q374" s="38">
        <v>22</v>
      </c>
      <c r="R374" s="38">
        <v>187</v>
      </c>
      <c r="S374" s="38">
        <v>449</v>
      </c>
      <c r="T374" s="38">
        <v>47</v>
      </c>
      <c r="U374" s="38">
        <f t="shared" si="345"/>
        <v>3522</v>
      </c>
      <c r="V374">
        <v>1113</v>
      </c>
      <c r="W374">
        <v>134</v>
      </c>
      <c r="X374">
        <v>33</v>
      </c>
      <c r="Y374">
        <v>41</v>
      </c>
      <c r="Z374">
        <v>699</v>
      </c>
      <c r="AA374">
        <v>640</v>
      </c>
      <c r="AB374">
        <v>4.0199999999999996</v>
      </c>
      <c r="AC374">
        <v>6</v>
      </c>
      <c r="AD374">
        <v>16</v>
      </c>
      <c r="AE374">
        <v>38</v>
      </c>
      <c r="AF374" s="45">
        <f t="shared" ref="AF374:AF437" ca="1" si="402">RANDBETWEEN(6049,6490)</f>
        <v>6401</v>
      </c>
      <c r="AG374" s="45">
        <f t="shared" ca="1" si="346"/>
        <v>1461</v>
      </c>
      <c r="AH374" s="45">
        <f t="shared" ca="1" si="347"/>
        <v>990</v>
      </c>
      <c r="AI374" s="45">
        <f t="shared" ca="1" si="348"/>
        <v>282</v>
      </c>
      <c r="AJ374" s="45">
        <f t="shared" ca="1" si="349"/>
        <v>29</v>
      </c>
      <c r="AK374" s="45">
        <f t="shared" ca="1" si="350"/>
        <v>160</v>
      </c>
      <c r="AL374" s="45">
        <f t="shared" ca="1" si="351"/>
        <v>426</v>
      </c>
      <c r="AM374" s="45">
        <f t="shared" ca="1" si="352"/>
        <v>65</v>
      </c>
      <c r="AN374" s="45">
        <f t="shared" ca="1" si="353"/>
        <v>4449</v>
      </c>
      <c r="AO374">
        <v>4300</v>
      </c>
      <c r="AP374">
        <v>1339</v>
      </c>
      <c r="AQ374">
        <v>186</v>
      </c>
      <c r="AR374">
        <v>483</v>
      </c>
      <c r="AS374">
        <v>1157</v>
      </c>
      <c r="AT374">
        <v>98</v>
      </c>
      <c r="AU374">
        <v>141</v>
      </c>
      <c r="AV374">
        <v>0.98399999999999999</v>
      </c>
      <c r="AW374" s="1"/>
      <c r="AX374" s="1"/>
      <c r="AY374" s="47">
        <f t="shared" si="354"/>
        <v>29700</v>
      </c>
      <c r="AZ374" s="49">
        <f t="shared" si="355"/>
        <v>165251</v>
      </c>
      <c r="BA374" s="49">
        <f t="shared" ref="BA374" si="403">SUMIF($B$2:$B$571,$B374,$S$2:$S$571)</f>
        <v>14709</v>
      </c>
      <c r="BB374" s="48">
        <f t="shared" si="357"/>
        <v>8.9010051376391064E-2</v>
      </c>
    </row>
    <row r="375" spans="2:54" x14ac:dyDescent="0.2">
      <c r="B375" s="3">
        <v>2012</v>
      </c>
      <c r="C375" t="s">
        <v>66</v>
      </c>
      <c r="D375" t="s">
        <v>67</v>
      </c>
      <c r="E375">
        <v>2</v>
      </c>
      <c r="F375" t="s">
        <v>38</v>
      </c>
      <c r="G375" t="s">
        <v>38</v>
      </c>
      <c r="H375" t="s">
        <v>38</v>
      </c>
      <c r="I375" t="s">
        <v>38</v>
      </c>
      <c r="J375">
        <v>86</v>
      </c>
      <c r="K375">
        <v>76</v>
      </c>
      <c r="L375">
        <v>637</v>
      </c>
      <c r="M375" s="38">
        <v>5438</v>
      </c>
      <c r="N375" s="38">
        <v>1369</v>
      </c>
      <c r="O375" s="38">
        <f t="shared" si="344"/>
        <v>961</v>
      </c>
      <c r="P375" s="38">
        <v>269</v>
      </c>
      <c r="Q375" s="38">
        <v>23</v>
      </c>
      <c r="R375" s="38">
        <v>116</v>
      </c>
      <c r="S375" s="38">
        <v>481</v>
      </c>
      <c r="T375" s="38">
        <v>52</v>
      </c>
      <c r="U375" s="38">
        <f t="shared" si="345"/>
        <v>3536</v>
      </c>
      <c r="V375">
        <v>1156</v>
      </c>
      <c r="W375">
        <v>104</v>
      </c>
      <c r="X375">
        <v>44</v>
      </c>
      <c r="Y375">
        <v>38</v>
      </c>
      <c r="Z375">
        <v>597</v>
      </c>
      <c r="AA375">
        <v>538</v>
      </c>
      <c r="AB375">
        <v>3.34</v>
      </c>
      <c r="AC375">
        <v>2</v>
      </c>
      <c r="AD375">
        <v>10</v>
      </c>
      <c r="AE375">
        <v>40</v>
      </c>
      <c r="AF375" s="45">
        <f t="shared" ca="1" si="402"/>
        <v>6382</v>
      </c>
      <c r="AG375" s="45">
        <f t="shared" ca="1" si="346"/>
        <v>1316</v>
      </c>
      <c r="AH375" s="45">
        <f t="shared" ca="1" si="347"/>
        <v>732</v>
      </c>
      <c r="AI375" s="45">
        <f t="shared" ca="1" si="348"/>
        <v>343</v>
      </c>
      <c r="AJ375" s="45">
        <f t="shared" ca="1" si="349"/>
        <v>29</v>
      </c>
      <c r="AK375" s="45">
        <f t="shared" ca="1" si="350"/>
        <v>212</v>
      </c>
      <c r="AL375" s="45">
        <f t="shared" ca="1" si="351"/>
        <v>560</v>
      </c>
      <c r="AM375" s="45">
        <f t="shared" ca="1" si="352"/>
        <v>63</v>
      </c>
      <c r="AN375" s="45">
        <f t="shared" ca="1" si="353"/>
        <v>4443</v>
      </c>
      <c r="AO375">
        <v>4349</v>
      </c>
      <c r="AP375">
        <v>1277</v>
      </c>
      <c r="AQ375">
        <v>122</v>
      </c>
      <c r="AR375">
        <v>539</v>
      </c>
      <c r="AS375">
        <v>1276</v>
      </c>
      <c r="AT375">
        <v>98</v>
      </c>
      <c r="AU375">
        <v>138</v>
      </c>
      <c r="AV375">
        <v>0.98399999999999999</v>
      </c>
      <c r="AW375" s="1"/>
      <c r="AX375" s="1"/>
      <c r="AY375" s="47">
        <f t="shared" si="354"/>
        <v>29700</v>
      </c>
      <c r="AZ375" s="49">
        <f t="shared" si="355"/>
        <v>165251</v>
      </c>
      <c r="BA375" s="49">
        <f t="shared" ref="BA375" si="404">SUMIF($B$2:$B$571,$B375,$T$2:$T$571)</f>
        <v>1494</v>
      </c>
      <c r="BB375" s="48">
        <f t="shared" si="357"/>
        <v>9.0407924914221397E-3</v>
      </c>
    </row>
    <row r="376" spans="2:54" x14ac:dyDescent="0.2">
      <c r="B376" s="3">
        <v>2012</v>
      </c>
      <c r="C376" t="s">
        <v>103</v>
      </c>
      <c r="D376" t="s">
        <v>104</v>
      </c>
      <c r="E376">
        <v>5</v>
      </c>
      <c r="F376" t="s">
        <v>38</v>
      </c>
      <c r="G376" t="s">
        <v>38</v>
      </c>
      <c r="H376" t="s">
        <v>38</v>
      </c>
      <c r="I376" t="s">
        <v>38</v>
      </c>
      <c r="J376">
        <v>69</v>
      </c>
      <c r="K376">
        <v>93</v>
      </c>
      <c r="L376">
        <v>609</v>
      </c>
      <c r="M376" s="38">
        <v>5437</v>
      </c>
      <c r="N376" s="38">
        <v>1327</v>
      </c>
      <c r="O376" s="38">
        <f t="shared" si="344"/>
        <v>890</v>
      </c>
      <c r="P376" s="38">
        <v>261</v>
      </c>
      <c r="Q376" s="38">
        <v>39</v>
      </c>
      <c r="R376" s="38">
        <v>137</v>
      </c>
      <c r="S376" s="38">
        <v>484</v>
      </c>
      <c r="T376" s="38">
        <v>35</v>
      </c>
      <c r="U376" s="38">
        <f t="shared" si="345"/>
        <v>3591</v>
      </c>
      <c r="V376">
        <v>1228</v>
      </c>
      <c r="W376">
        <v>149</v>
      </c>
      <c r="X376">
        <v>41</v>
      </c>
      <c r="Y376">
        <v>40</v>
      </c>
      <c r="Z376">
        <v>724</v>
      </c>
      <c r="AA376">
        <v>655</v>
      </c>
      <c r="AB376">
        <v>4.09</v>
      </c>
      <c r="AC376">
        <v>5</v>
      </c>
      <c r="AD376">
        <v>7</v>
      </c>
      <c r="AE376">
        <v>38</v>
      </c>
      <c r="AF376" s="45">
        <f t="shared" ca="1" si="402"/>
        <v>6189</v>
      </c>
      <c r="AG376" s="45">
        <f t="shared" ca="1" si="346"/>
        <v>1513</v>
      </c>
      <c r="AH376" s="45">
        <f t="shared" ca="1" si="347"/>
        <v>1032</v>
      </c>
      <c r="AI376" s="45">
        <f t="shared" ca="1" si="348"/>
        <v>313</v>
      </c>
      <c r="AJ376" s="45">
        <f t="shared" ca="1" si="349"/>
        <v>37</v>
      </c>
      <c r="AK376" s="45">
        <f t="shared" ca="1" si="350"/>
        <v>131</v>
      </c>
      <c r="AL376" s="45">
        <f t="shared" ca="1" si="351"/>
        <v>488</v>
      </c>
      <c r="AM376" s="45">
        <f t="shared" ca="1" si="352"/>
        <v>85</v>
      </c>
      <c r="AN376" s="45">
        <f t="shared" ca="1" si="353"/>
        <v>4103</v>
      </c>
      <c r="AO376">
        <v>4322</v>
      </c>
      <c r="AP376">
        <v>1448</v>
      </c>
      <c r="AQ376">
        <v>133</v>
      </c>
      <c r="AR376">
        <v>495</v>
      </c>
      <c r="AS376">
        <v>1113</v>
      </c>
      <c r="AT376">
        <v>103</v>
      </c>
      <c r="AU376">
        <v>154</v>
      </c>
      <c r="AV376">
        <v>0.98299999999999998</v>
      </c>
      <c r="AW376" s="1"/>
      <c r="AX376" s="1"/>
      <c r="AY376" s="47">
        <f t="shared" si="354"/>
        <v>29700</v>
      </c>
      <c r="AZ376" s="49">
        <f t="shared" si="355"/>
        <v>165251</v>
      </c>
      <c r="BA376" s="49">
        <f t="shared" ref="BA376" si="405">SUMIF($B$2:$B$571,$B376,$U$2:$U$571)</f>
        <v>106985</v>
      </c>
      <c r="BB376" s="48">
        <f t="shared" si="357"/>
        <v>0.64740909283453651</v>
      </c>
    </row>
    <row r="377" spans="2:54" x14ac:dyDescent="0.2">
      <c r="B377" s="3">
        <v>2012</v>
      </c>
      <c r="C377" t="s">
        <v>68</v>
      </c>
      <c r="D377" t="s">
        <v>69</v>
      </c>
      <c r="E377">
        <v>3</v>
      </c>
      <c r="F377" t="s">
        <v>38</v>
      </c>
      <c r="G377" t="s">
        <v>38</v>
      </c>
      <c r="H377" t="s">
        <v>38</v>
      </c>
      <c r="I377" t="s">
        <v>38</v>
      </c>
      <c r="J377">
        <v>83</v>
      </c>
      <c r="K377">
        <v>79</v>
      </c>
      <c r="L377">
        <v>776</v>
      </c>
      <c r="M377" s="38">
        <v>5557</v>
      </c>
      <c r="N377" s="38">
        <v>1442</v>
      </c>
      <c r="O377" s="38">
        <f t="shared" si="344"/>
        <v>901</v>
      </c>
      <c r="P377" s="38">
        <v>300</v>
      </c>
      <c r="Q377" s="38">
        <v>39</v>
      </c>
      <c r="R377" s="38">
        <v>202</v>
      </c>
      <c r="S377" s="38">
        <v>466</v>
      </c>
      <c r="T377" s="38">
        <v>90</v>
      </c>
      <c r="U377" s="38">
        <f t="shared" si="345"/>
        <v>3559</v>
      </c>
      <c r="V377">
        <v>1240</v>
      </c>
      <c r="W377">
        <v>158</v>
      </c>
      <c r="X377">
        <v>39</v>
      </c>
      <c r="Y377">
        <v>35</v>
      </c>
      <c r="Z377">
        <v>733</v>
      </c>
      <c r="AA377">
        <v>682</v>
      </c>
      <c r="AB377">
        <v>4.22</v>
      </c>
      <c r="AC377">
        <v>0</v>
      </c>
      <c r="AD377">
        <v>9</v>
      </c>
      <c r="AE377">
        <v>44</v>
      </c>
      <c r="AF377" s="45">
        <f t="shared" ca="1" si="402"/>
        <v>6223</v>
      </c>
      <c r="AG377" s="45">
        <f t="shared" ca="1" si="346"/>
        <v>1674</v>
      </c>
      <c r="AH377" s="45">
        <f t="shared" ca="1" si="347"/>
        <v>1131</v>
      </c>
      <c r="AI377" s="45">
        <f t="shared" ca="1" si="348"/>
        <v>264</v>
      </c>
      <c r="AJ377" s="45">
        <f t="shared" ca="1" si="349"/>
        <v>40</v>
      </c>
      <c r="AK377" s="45">
        <f t="shared" ca="1" si="350"/>
        <v>239</v>
      </c>
      <c r="AL377" s="45">
        <f t="shared" ca="1" si="351"/>
        <v>577</v>
      </c>
      <c r="AM377" s="45">
        <f t="shared" ca="1" si="352"/>
        <v>63</v>
      </c>
      <c r="AN377" s="45">
        <f t="shared" ca="1" si="353"/>
        <v>3909</v>
      </c>
      <c r="AO377">
        <v>4361</v>
      </c>
      <c r="AP377">
        <v>1458</v>
      </c>
      <c r="AQ377">
        <v>169</v>
      </c>
      <c r="AR377">
        <v>525</v>
      </c>
      <c r="AS377">
        <v>1402</v>
      </c>
      <c r="AT377">
        <v>99</v>
      </c>
      <c r="AU377">
        <v>133</v>
      </c>
      <c r="AV377">
        <v>0.98299999999999998</v>
      </c>
      <c r="AW377" s="1"/>
      <c r="AX377" s="1"/>
      <c r="AY377" s="47">
        <f t="shared" si="354"/>
        <v>29700</v>
      </c>
      <c r="AZ377" s="49">
        <f t="shared" si="355"/>
        <v>165251</v>
      </c>
      <c r="BA377" s="49"/>
      <c r="BB377" s="48">
        <f t="shared" si="357"/>
        <v>0</v>
      </c>
    </row>
    <row r="378" spans="2:54" x14ac:dyDescent="0.2">
      <c r="B378" s="3">
        <v>2012</v>
      </c>
      <c r="C378" t="s">
        <v>70</v>
      </c>
      <c r="D378" t="s">
        <v>71</v>
      </c>
      <c r="E378">
        <v>5</v>
      </c>
      <c r="F378" t="s">
        <v>38</v>
      </c>
      <c r="G378" t="s">
        <v>38</v>
      </c>
      <c r="H378" t="s">
        <v>38</v>
      </c>
      <c r="I378" t="s">
        <v>38</v>
      </c>
      <c r="J378">
        <v>66</v>
      </c>
      <c r="K378">
        <v>96</v>
      </c>
      <c r="L378">
        <v>701</v>
      </c>
      <c r="M378" s="38">
        <v>5562</v>
      </c>
      <c r="N378" s="38">
        <v>1448</v>
      </c>
      <c r="O378" s="38">
        <f t="shared" si="344"/>
        <v>1017</v>
      </c>
      <c r="P378" s="38">
        <v>270</v>
      </c>
      <c r="Q378" s="38">
        <v>30</v>
      </c>
      <c r="R378" s="38">
        <v>131</v>
      </c>
      <c r="S378" s="38">
        <v>505</v>
      </c>
      <c r="T378" s="38">
        <v>53</v>
      </c>
      <c r="U378" s="38">
        <f t="shared" si="345"/>
        <v>3556</v>
      </c>
      <c r="V378">
        <v>1069</v>
      </c>
      <c r="W378">
        <v>135</v>
      </c>
      <c r="X378">
        <v>37</v>
      </c>
      <c r="Y378">
        <v>56</v>
      </c>
      <c r="Z378">
        <v>832</v>
      </c>
      <c r="AA378">
        <v>762</v>
      </c>
      <c r="AB378">
        <v>4.7699999999999996</v>
      </c>
      <c r="AC378">
        <v>3</v>
      </c>
      <c r="AD378">
        <v>6</v>
      </c>
      <c r="AE378">
        <v>35</v>
      </c>
      <c r="AF378" s="45">
        <f t="shared" ca="1" si="402"/>
        <v>6263</v>
      </c>
      <c r="AG378" s="45">
        <f t="shared" ca="1" si="346"/>
        <v>1370</v>
      </c>
      <c r="AH378" s="45">
        <f t="shared" ca="1" si="347"/>
        <v>742</v>
      </c>
      <c r="AI378" s="45">
        <f t="shared" ca="1" si="348"/>
        <v>348</v>
      </c>
      <c r="AJ378" s="45">
        <f t="shared" ca="1" si="349"/>
        <v>44</v>
      </c>
      <c r="AK378" s="45">
        <f t="shared" ca="1" si="350"/>
        <v>236</v>
      </c>
      <c r="AL378" s="45">
        <f t="shared" ca="1" si="351"/>
        <v>648</v>
      </c>
      <c r="AM378" s="45">
        <f t="shared" ca="1" si="352"/>
        <v>79</v>
      </c>
      <c r="AN378" s="45">
        <f t="shared" ca="1" si="353"/>
        <v>4166</v>
      </c>
      <c r="AO378">
        <v>4316</v>
      </c>
      <c r="AP378">
        <v>1536</v>
      </c>
      <c r="AQ378">
        <v>198</v>
      </c>
      <c r="AR378">
        <v>465</v>
      </c>
      <c r="AS378">
        <v>943</v>
      </c>
      <c r="AT378">
        <v>107</v>
      </c>
      <c r="AU378">
        <v>188</v>
      </c>
      <c r="AV378">
        <v>0.98299999999999998</v>
      </c>
      <c r="AW378" s="1"/>
      <c r="AX378" s="1"/>
      <c r="AY378" s="47">
        <f t="shared" si="354"/>
        <v>29700</v>
      </c>
      <c r="AZ378" s="49">
        <f t="shared" si="355"/>
        <v>165251</v>
      </c>
      <c r="BA378" s="49">
        <f t="shared" ref="BA378" si="406">SUMIF($B$2:$B$571,$B378,$O$2:$O$571)</f>
        <v>27941</v>
      </c>
      <c r="BB378" s="48">
        <f t="shared" si="357"/>
        <v>0.16908218407150336</v>
      </c>
    </row>
    <row r="379" spans="2:54" x14ac:dyDescent="0.2">
      <c r="B379" s="3">
        <v>2012</v>
      </c>
      <c r="C379" t="s">
        <v>74</v>
      </c>
      <c r="D379" t="s">
        <v>75</v>
      </c>
      <c r="E379">
        <v>1</v>
      </c>
      <c r="F379" t="s">
        <v>43</v>
      </c>
      <c r="G379" t="s">
        <v>38</v>
      </c>
      <c r="H379" t="s">
        <v>38</v>
      </c>
      <c r="I379" t="s">
        <v>38</v>
      </c>
      <c r="J379">
        <v>95</v>
      </c>
      <c r="K379">
        <v>67</v>
      </c>
      <c r="L379">
        <v>804</v>
      </c>
      <c r="M379" s="38">
        <v>5524</v>
      </c>
      <c r="N379" s="38">
        <v>1462</v>
      </c>
      <c r="O379" s="38">
        <f t="shared" si="344"/>
        <v>924</v>
      </c>
      <c r="P379" s="38">
        <v>280</v>
      </c>
      <c r="Q379" s="38">
        <v>13</v>
      </c>
      <c r="R379" s="38">
        <v>245</v>
      </c>
      <c r="S379" s="38">
        <v>565</v>
      </c>
      <c r="T379" s="38">
        <v>62</v>
      </c>
      <c r="U379" s="38">
        <f t="shared" si="345"/>
        <v>3435</v>
      </c>
      <c r="V379">
        <v>1176</v>
      </c>
      <c r="W379">
        <v>93</v>
      </c>
      <c r="X379">
        <v>27</v>
      </c>
      <c r="Y379">
        <v>49</v>
      </c>
      <c r="Z379">
        <v>668</v>
      </c>
      <c r="AA379">
        <v>617</v>
      </c>
      <c r="AB379">
        <v>3.84</v>
      </c>
      <c r="AC379">
        <v>6</v>
      </c>
      <c r="AD379">
        <v>9</v>
      </c>
      <c r="AE379">
        <v>51</v>
      </c>
      <c r="AF379" s="45">
        <f t="shared" ca="1" si="402"/>
        <v>6134</v>
      </c>
      <c r="AG379" s="45">
        <f t="shared" ca="1" si="346"/>
        <v>1505</v>
      </c>
      <c r="AH379" s="45">
        <f t="shared" ca="1" si="347"/>
        <v>964</v>
      </c>
      <c r="AI379" s="45">
        <f t="shared" ca="1" si="348"/>
        <v>357</v>
      </c>
      <c r="AJ379" s="45">
        <f t="shared" ca="1" si="349"/>
        <v>49</v>
      </c>
      <c r="AK379" s="45">
        <f t="shared" ca="1" si="350"/>
        <v>135</v>
      </c>
      <c r="AL379" s="45">
        <f t="shared" ca="1" si="351"/>
        <v>513</v>
      </c>
      <c r="AM379" s="45">
        <f t="shared" ca="1" si="352"/>
        <v>48</v>
      </c>
      <c r="AN379" s="45">
        <f t="shared" ca="1" si="353"/>
        <v>4068</v>
      </c>
      <c r="AO379">
        <v>4336</v>
      </c>
      <c r="AP379">
        <v>1401</v>
      </c>
      <c r="AQ379">
        <v>190</v>
      </c>
      <c r="AR379">
        <v>431</v>
      </c>
      <c r="AS379">
        <v>1318</v>
      </c>
      <c r="AT379">
        <v>75</v>
      </c>
      <c r="AU379">
        <v>135</v>
      </c>
      <c r="AV379">
        <v>0.98699999999999999</v>
      </c>
      <c r="AW379" s="1"/>
      <c r="AX379" s="1"/>
      <c r="AY379" s="47">
        <f t="shared" si="354"/>
        <v>29700</v>
      </c>
      <c r="AZ379" s="49">
        <f t="shared" si="355"/>
        <v>165251</v>
      </c>
      <c r="BA379" s="49">
        <f t="shared" ref="BA379" si="407">SUMIF($B$2:$B$571,$B379,$P$2:$P$571)</f>
        <v>8261</v>
      </c>
      <c r="BB379" s="48">
        <f t="shared" si="357"/>
        <v>4.9990620329075162E-2</v>
      </c>
    </row>
    <row r="380" spans="2:54" x14ac:dyDescent="0.2">
      <c r="B380" s="3">
        <v>2012</v>
      </c>
      <c r="C380" t="s">
        <v>76</v>
      </c>
      <c r="D380" t="s">
        <v>77</v>
      </c>
      <c r="E380">
        <v>4</v>
      </c>
      <c r="F380" t="s">
        <v>38</v>
      </c>
      <c r="G380" t="s">
        <v>38</v>
      </c>
      <c r="H380" t="s">
        <v>38</v>
      </c>
      <c r="I380" t="s">
        <v>38</v>
      </c>
      <c r="J380">
        <v>74</v>
      </c>
      <c r="K380">
        <v>88</v>
      </c>
      <c r="L380">
        <v>650</v>
      </c>
      <c r="M380" s="38">
        <v>5450</v>
      </c>
      <c r="N380" s="38">
        <v>1357</v>
      </c>
      <c r="O380" s="38">
        <f t="shared" si="344"/>
        <v>911</v>
      </c>
      <c r="P380" s="38">
        <v>286</v>
      </c>
      <c r="Q380" s="38">
        <v>21</v>
      </c>
      <c r="R380" s="38">
        <v>139</v>
      </c>
      <c r="S380" s="38">
        <v>503</v>
      </c>
      <c r="T380" s="38">
        <v>42</v>
      </c>
      <c r="U380" s="38">
        <f t="shared" si="345"/>
        <v>3548</v>
      </c>
      <c r="V380">
        <v>1250</v>
      </c>
      <c r="W380">
        <v>79</v>
      </c>
      <c r="X380">
        <v>38</v>
      </c>
      <c r="Y380">
        <v>30</v>
      </c>
      <c r="Z380">
        <v>709</v>
      </c>
      <c r="AA380">
        <v>651</v>
      </c>
      <c r="AB380">
        <v>4.09</v>
      </c>
      <c r="AC380">
        <v>7</v>
      </c>
      <c r="AD380">
        <v>13</v>
      </c>
      <c r="AE380">
        <v>36</v>
      </c>
      <c r="AF380" s="45">
        <f t="shared" ca="1" si="402"/>
        <v>6170</v>
      </c>
      <c r="AG380" s="45">
        <f t="shared" ca="1" si="346"/>
        <v>1329</v>
      </c>
      <c r="AH380" s="45">
        <f t="shared" ca="1" si="347"/>
        <v>832</v>
      </c>
      <c r="AI380" s="45">
        <f t="shared" ca="1" si="348"/>
        <v>273</v>
      </c>
      <c r="AJ380" s="45">
        <f t="shared" ca="1" si="349"/>
        <v>28</v>
      </c>
      <c r="AK380" s="45">
        <f t="shared" ca="1" si="350"/>
        <v>196</v>
      </c>
      <c r="AL380" s="45">
        <f t="shared" ca="1" si="351"/>
        <v>462</v>
      </c>
      <c r="AM380" s="45">
        <f t="shared" ca="1" si="352"/>
        <v>86</v>
      </c>
      <c r="AN380" s="45">
        <f t="shared" ca="1" si="353"/>
        <v>4293</v>
      </c>
      <c r="AO380">
        <v>4302</v>
      </c>
      <c r="AP380">
        <v>1368</v>
      </c>
      <c r="AQ380">
        <v>161</v>
      </c>
      <c r="AR380">
        <v>488</v>
      </c>
      <c r="AS380">
        <v>1240</v>
      </c>
      <c r="AT380">
        <v>101</v>
      </c>
      <c r="AU380">
        <v>135</v>
      </c>
      <c r="AV380">
        <v>0.98299999999999998</v>
      </c>
      <c r="AW380" s="1"/>
      <c r="AX380" s="1"/>
      <c r="AY380" s="47">
        <f t="shared" si="354"/>
        <v>29700</v>
      </c>
      <c r="AZ380" s="49">
        <f t="shared" si="355"/>
        <v>165251</v>
      </c>
      <c r="BA380" s="49">
        <f t="shared" ref="BA380" si="408">SUMIF($B$2:$B$571,$B380,$Q$2:$Q$571)</f>
        <v>927</v>
      </c>
      <c r="BB380" s="48">
        <f t="shared" si="357"/>
        <v>5.6096483531113276E-3</v>
      </c>
    </row>
    <row r="381" spans="2:54" x14ac:dyDescent="0.2">
      <c r="B381" s="3">
        <v>2012</v>
      </c>
      <c r="C381" t="s">
        <v>78</v>
      </c>
      <c r="D381" t="s">
        <v>79</v>
      </c>
      <c r="E381">
        <v>1</v>
      </c>
      <c r="F381" t="s">
        <v>43</v>
      </c>
      <c r="G381" t="s">
        <v>38</v>
      </c>
      <c r="H381" t="s">
        <v>38</v>
      </c>
      <c r="I381" t="s">
        <v>38</v>
      </c>
      <c r="J381">
        <v>94</v>
      </c>
      <c r="K381">
        <v>68</v>
      </c>
      <c r="L381">
        <v>713</v>
      </c>
      <c r="M381" s="38">
        <v>5527</v>
      </c>
      <c r="N381" s="38">
        <v>1315</v>
      </c>
      <c r="O381" s="38">
        <f t="shared" si="344"/>
        <v>821</v>
      </c>
      <c r="P381" s="38">
        <v>267</v>
      </c>
      <c r="Q381" s="38">
        <v>32</v>
      </c>
      <c r="R381" s="38">
        <v>195</v>
      </c>
      <c r="S381" s="38">
        <v>550</v>
      </c>
      <c r="T381" s="38">
        <v>45</v>
      </c>
      <c r="U381" s="38">
        <f t="shared" si="345"/>
        <v>3617</v>
      </c>
      <c r="V381">
        <v>1387</v>
      </c>
      <c r="W381">
        <v>122</v>
      </c>
      <c r="X381">
        <v>32</v>
      </c>
      <c r="Y381">
        <v>34</v>
      </c>
      <c r="Z381">
        <v>614</v>
      </c>
      <c r="AA381">
        <v>569</v>
      </c>
      <c r="AB381">
        <v>3.48</v>
      </c>
      <c r="AC381">
        <v>1</v>
      </c>
      <c r="AD381">
        <v>13</v>
      </c>
      <c r="AE381">
        <v>47</v>
      </c>
      <c r="AF381" s="45">
        <f t="shared" ca="1" si="402"/>
        <v>6297</v>
      </c>
      <c r="AG381" s="45">
        <f t="shared" ca="1" si="346"/>
        <v>1395</v>
      </c>
      <c r="AH381" s="45">
        <f t="shared" ca="1" si="347"/>
        <v>818</v>
      </c>
      <c r="AI381" s="45">
        <f t="shared" ca="1" si="348"/>
        <v>329</v>
      </c>
      <c r="AJ381" s="45">
        <f t="shared" ca="1" si="349"/>
        <v>47</v>
      </c>
      <c r="AK381" s="45">
        <f t="shared" ca="1" si="350"/>
        <v>201</v>
      </c>
      <c r="AL381" s="45">
        <f t="shared" ca="1" si="351"/>
        <v>688</v>
      </c>
      <c r="AM381" s="45">
        <f t="shared" ca="1" si="352"/>
        <v>70</v>
      </c>
      <c r="AN381" s="45">
        <f t="shared" ca="1" si="353"/>
        <v>4144</v>
      </c>
      <c r="AO381">
        <v>4410</v>
      </c>
      <c r="AP381">
        <v>1360</v>
      </c>
      <c r="AQ381">
        <v>147</v>
      </c>
      <c r="AR381">
        <v>462</v>
      </c>
      <c r="AS381">
        <v>1136</v>
      </c>
      <c r="AT381">
        <v>111</v>
      </c>
      <c r="AU381">
        <v>135</v>
      </c>
      <c r="AV381">
        <v>0.98199999999999998</v>
      </c>
      <c r="AW381" s="1"/>
      <c r="AX381" s="1"/>
      <c r="AY381" s="47">
        <f t="shared" si="354"/>
        <v>29700</v>
      </c>
      <c r="AZ381" s="49">
        <f t="shared" si="355"/>
        <v>165251</v>
      </c>
      <c r="BA381" s="49">
        <f t="shared" ref="BA381" si="409">SUMIF($B$2:$B$571,$B381,$R$2:$R$571)</f>
        <v>4934</v>
      </c>
      <c r="BB381" s="48">
        <f t="shared" si="357"/>
        <v>2.9857610543960401E-2</v>
      </c>
    </row>
    <row r="382" spans="2:54" x14ac:dyDescent="0.2">
      <c r="B382" s="3">
        <v>2012</v>
      </c>
      <c r="C382" t="s">
        <v>80</v>
      </c>
      <c r="D382" t="s">
        <v>81</v>
      </c>
      <c r="E382">
        <v>3</v>
      </c>
      <c r="F382" t="s">
        <v>38</v>
      </c>
      <c r="G382" t="s">
        <v>38</v>
      </c>
      <c r="H382" t="s">
        <v>38</v>
      </c>
      <c r="I382" t="s">
        <v>38</v>
      </c>
      <c r="J382">
        <v>81</v>
      </c>
      <c r="K382">
        <v>81</v>
      </c>
      <c r="L382">
        <v>684</v>
      </c>
      <c r="M382" s="38">
        <v>5544</v>
      </c>
      <c r="N382" s="38">
        <v>1414</v>
      </c>
      <c r="O382" s="38">
        <f t="shared" si="344"/>
        <v>957</v>
      </c>
      <c r="P382" s="38">
        <v>271</v>
      </c>
      <c r="Q382" s="38">
        <v>28</v>
      </c>
      <c r="R382" s="38">
        <v>158</v>
      </c>
      <c r="S382" s="38">
        <v>454</v>
      </c>
      <c r="T382" s="38">
        <v>63</v>
      </c>
      <c r="U382" s="38">
        <f t="shared" si="345"/>
        <v>3613</v>
      </c>
      <c r="V382">
        <v>1094</v>
      </c>
      <c r="W382">
        <v>116</v>
      </c>
      <c r="X382">
        <v>23</v>
      </c>
      <c r="Y382">
        <v>39</v>
      </c>
      <c r="Z382">
        <v>680</v>
      </c>
      <c r="AA382">
        <v>618</v>
      </c>
      <c r="AB382">
        <v>3.83</v>
      </c>
      <c r="AC382">
        <v>5</v>
      </c>
      <c r="AD382">
        <v>11</v>
      </c>
      <c r="AE382">
        <v>42</v>
      </c>
      <c r="AF382" s="45">
        <f t="shared" ca="1" si="402"/>
        <v>6277</v>
      </c>
      <c r="AG382" s="45">
        <f t="shared" ca="1" si="346"/>
        <v>1604</v>
      </c>
      <c r="AH382" s="45">
        <f t="shared" ca="1" si="347"/>
        <v>1089</v>
      </c>
      <c r="AI382" s="45">
        <f t="shared" ca="1" si="348"/>
        <v>348</v>
      </c>
      <c r="AJ382" s="45">
        <f t="shared" ca="1" si="349"/>
        <v>21</v>
      </c>
      <c r="AK382" s="45">
        <f t="shared" ca="1" si="350"/>
        <v>146</v>
      </c>
      <c r="AL382" s="45">
        <f t="shared" ca="1" si="351"/>
        <v>660</v>
      </c>
      <c r="AM382" s="45">
        <f t="shared" ca="1" si="352"/>
        <v>53</v>
      </c>
      <c r="AN382" s="45">
        <f t="shared" ca="1" si="353"/>
        <v>3960</v>
      </c>
      <c r="AO382">
        <v>4354</v>
      </c>
      <c r="AP382">
        <v>1387</v>
      </c>
      <c r="AQ382">
        <v>178</v>
      </c>
      <c r="AR382">
        <v>409</v>
      </c>
      <c r="AS382">
        <v>1385</v>
      </c>
      <c r="AT382">
        <v>101</v>
      </c>
      <c r="AU382">
        <v>118</v>
      </c>
      <c r="AV382">
        <v>0.98299999999999998</v>
      </c>
      <c r="AW382" s="1"/>
      <c r="AX382" s="1"/>
      <c r="AY382" s="47">
        <f t="shared" si="354"/>
        <v>29700</v>
      </c>
      <c r="AZ382" s="49">
        <f t="shared" si="355"/>
        <v>165251</v>
      </c>
      <c r="BA382" s="49">
        <f t="shared" ref="BA382" si="410">SUMIF($B$2:$B$571,$B382,$S$2:$S$571)</f>
        <v>14709</v>
      </c>
      <c r="BB382" s="48">
        <f t="shared" si="357"/>
        <v>8.9010051376391064E-2</v>
      </c>
    </row>
    <row r="383" spans="2:54" x14ac:dyDescent="0.2">
      <c r="B383" s="3">
        <v>2012</v>
      </c>
      <c r="C383" t="s">
        <v>82</v>
      </c>
      <c r="D383" t="s">
        <v>83</v>
      </c>
      <c r="E383">
        <v>4</v>
      </c>
      <c r="F383" t="s">
        <v>38</v>
      </c>
      <c r="G383" t="s">
        <v>38</v>
      </c>
      <c r="H383" t="s">
        <v>38</v>
      </c>
      <c r="I383" t="s">
        <v>38</v>
      </c>
      <c r="J383">
        <v>79</v>
      </c>
      <c r="K383">
        <v>83</v>
      </c>
      <c r="L383">
        <v>651</v>
      </c>
      <c r="M383" s="38">
        <v>5412</v>
      </c>
      <c r="N383" s="38">
        <v>1313</v>
      </c>
      <c r="O383" s="38">
        <f t="shared" si="344"/>
        <v>865</v>
      </c>
      <c r="P383" s="38">
        <v>241</v>
      </c>
      <c r="Q383" s="38">
        <v>37</v>
      </c>
      <c r="R383" s="38">
        <v>170</v>
      </c>
      <c r="S383" s="38">
        <v>444</v>
      </c>
      <c r="T383" s="38">
        <v>51</v>
      </c>
      <c r="U383" s="38">
        <f t="shared" si="345"/>
        <v>3604</v>
      </c>
      <c r="V383">
        <v>1354</v>
      </c>
      <c r="W383">
        <v>73</v>
      </c>
      <c r="X383">
        <v>52</v>
      </c>
      <c r="Y383">
        <v>45</v>
      </c>
      <c r="Z383">
        <v>674</v>
      </c>
      <c r="AA383">
        <v>615</v>
      </c>
      <c r="AB383">
        <v>3.86</v>
      </c>
      <c r="AC383">
        <v>2</v>
      </c>
      <c r="AD383">
        <v>10</v>
      </c>
      <c r="AE383">
        <v>45</v>
      </c>
      <c r="AF383" s="45">
        <f t="shared" ca="1" si="402"/>
        <v>6266</v>
      </c>
      <c r="AG383" s="45">
        <f t="shared" ca="1" si="346"/>
        <v>1405</v>
      </c>
      <c r="AH383" s="45">
        <f t="shared" ca="1" si="347"/>
        <v>841</v>
      </c>
      <c r="AI383" s="45">
        <f t="shared" ca="1" si="348"/>
        <v>367</v>
      </c>
      <c r="AJ383" s="45">
        <f t="shared" ca="1" si="349"/>
        <v>37</v>
      </c>
      <c r="AK383" s="45">
        <f t="shared" ca="1" si="350"/>
        <v>160</v>
      </c>
      <c r="AL383" s="45">
        <f t="shared" ca="1" si="351"/>
        <v>442</v>
      </c>
      <c r="AM383" s="45">
        <f t="shared" ca="1" si="352"/>
        <v>64</v>
      </c>
      <c r="AN383" s="45">
        <f t="shared" ca="1" si="353"/>
        <v>4355</v>
      </c>
      <c r="AO383">
        <v>4300</v>
      </c>
      <c r="AP383">
        <v>1357</v>
      </c>
      <c r="AQ383">
        <v>153</v>
      </c>
      <c r="AR383">
        <v>490</v>
      </c>
      <c r="AS383">
        <v>1192</v>
      </c>
      <c r="AT383">
        <v>112</v>
      </c>
      <c r="AU383">
        <v>126</v>
      </c>
      <c r="AV383">
        <v>0.98199999999999998</v>
      </c>
      <c r="AW383" s="1"/>
      <c r="AX383" s="1"/>
      <c r="AY383" s="47">
        <f t="shared" si="354"/>
        <v>29700</v>
      </c>
      <c r="AZ383" s="49">
        <f t="shared" si="355"/>
        <v>165251</v>
      </c>
      <c r="BA383" s="49">
        <f t="shared" ref="BA383" si="411">SUMIF($B$2:$B$571,$B383,$T$2:$T$571)</f>
        <v>1494</v>
      </c>
      <c r="BB383" s="48">
        <f t="shared" si="357"/>
        <v>9.0407924914221397E-3</v>
      </c>
    </row>
    <row r="384" spans="2:54" x14ac:dyDescent="0.2">
      <c r="B384" s="3">
        <v>2012</v>
      </c>
      <c r="C384" t="s">
        <v>84</v>
      </c>
      <c r="D384" t="s">
        <v>85</v>
      </c>
      <c r="E384">
        <v>4</v>
      </c>
      <c r="F384" t="s">
        <v>38</v>
      </c>
      <c r="G384" t="s">
        <v>38</v>
      </c>
      <c r="H384" t="s">
        <v>38</v>
      </c>
      <c r="I384" t="s">
        <v>38</v>
      </c>
      <c r="J384">
        <v>76</v>
      </c>
      <c r="K384">
        <v>86</v>
      </c>
      <c r="L384">
        <v>651</v>
      </c>
      <c r="M384" s="38">
        <v>5422</v>
      </c>
      <c r="N384" s="38">
        <v>1339</v>
      </c>
      <c r="O384" s="38">
        <f t="shared" si="344"/>
        <v>903</v>
      </c>
      <c r="P384" s="38">
        <v>272</v>
      </c>
      <c r="Q384" s="38">
        <v>43</v>
      </c>
      <c r="R384" s="38">
        <v>121</v>
      </c>
      <c r="S384" s="38">
        <v>539</v>
      </c>
      <c r="T384" s="38">
        <v>54</v>
      </c>
      <c r="U384" s="38">
        <f t="shared" si="345"/>
        <v>3490</v>
      </c>
      <c r="V384">
        <v>1238</v>
      </c>
      <c r="W384">
        <v>155</v>
      </c>
      <c r="X384">
        <v>46</v>
      </c>
      <c r="Y384">
        <v>34</v>
      </c>
      <c r="Z384">
        <v>710</v>
      </c>
      <c r="AA384">
        <v>640</v>
      </c>
      <c r="AB384">
        <v>4.01</v>
      </c>
      <c r="AC384">
        <v>4</v>
      </c>
      <c r="AD384">
        <v>11</v>
      </c>
      <c r="AE384">
        <v>43</v>
      </c>
      <c r="AF384" s="45">
        <f t="shared" ca="1" si="402"/>
        <v>6330</v>
      </c>
      <c r="AG384" s="45">
        <f t="shared" ca="1" si="346"/>
        <v>1454</v>
      </c>
      <c r="AH384" s="45">
        <f t="shared" ca="1" si="347"/>
        <v>892</v>
      </c>
      <c r="AI384" s="45">
        <f t="shared" ca="1" si="348"/>
        <v>368</v>
      </c>
      <c r="AJ384" s="45">
        <f t="shared" ca="1" si="349"/>
        <v>25</v>
      </c>
      <c r="AK384" s="45">
        <f t="shared" ca="1" si="350"/>
        <v>169</v>
      </c>
      <c r="AL384" s="45">
        <f t="shared" ca="1" si="351"/>
        <v>444</v>
      </c>
      <c r="AM384" s="45">
        <f t="shared" ca="1" si="352"/>
        <v>62</v>
      </c>
      <c r="AN384" s="45">
        <f t="shared" ca="1" si="353"/>
        <v>4370</v>
      </c>
      <c r="AO384">
        <v>4304</v>
      </c>
      <c r="AP384">
        <v>1356</v>
      </c>
      <c r="AQ384">
        <v>162</v>
      </c>
      <c r="AR384">
        <v>539</v>
      </c>
      <c r="AS384">
        <v>1205</v>
      </c>
      <c r="AT384">
        <v>121</v>
      </c>
      <c r="AU384">
        <v>97</v>
      </c>
      <c r="AV384">
        <v>0.98</v>
      </c>
      <c r="AW384" s="1"/>
      <c r="AX384" s="1"/>
      <c r="AY384" s="47">
        <f t="shared" si="354"/>
        <v>29700</v>
      </c>
      <c r="AZ384" s="49">
        <f t="shared" si="355"/>
        <v>165251</v>
      </c>
      <c r="BA384" s="49">
        <f t="shared" ref="BA384" si="412">SUMIF($B$2:$B$571,$B384,$U$2:$U$571)</f>
        <v>106985</v>
      </c>
      <c r="BB384" s="48">
        <f t="shared" si="357"/>
        <v>0.64740909283453651</v>
      </c>
    </row>
    <row r="385" spans="2:54" x14ac:dyDescent="0.2">
      <c r="B385" s="3">
        <v>2012</v>
      </c>
      <c r="C385" t="s">
        <v>86</v>
      </c>
      <c r="D385" t="s">
        <v>87</v>
      </c>
      <c r="E385">
        <v>4</v>
      </c>
      <c r="F385" t="s">
        <v>38</v>
      </c>
      <c r="G385" t="s">
        <v>38</v>
      </c>
      <c r="H385" t="s">
        <v>38</v>
      </c>
      <c r="I385" t="s">
        <v>38</v>
      </c>
      <c r="J385">
        <v>75</v>
      </c>
      <c r="K385">
        <v>87</v>
      </c>
      <c r="L385">
        <v>619</v>
      </c>
      <c r="M385" s="38">
        <v>5494</v>
      </c>
      <c r="N385" s="38">
        <v>1285</v>
      </c>
      <c r="O385" s="38">
        <f t="shared" si="344"/>
        <v>868</v>
      </c>
      <c r="P385" s="38">
        <v>241</v>
      </c>
      <c r="Q385" s="38">
        <v>27</v>
      </c>
      <c r="R385" s="38">
        <v>149</v>
      </c>
      <c r="S385" s="38">
        <v>466</v>
      </c>
      <c r="T385" s="38">
        <v>30</v>
      </c>
      <c r="U385" s="38">
        <f t="shared" si="345"/>
        <v>3713</v>
      </c>
      <c r="V385">
        <v>1259</v>
      </c>
      <c r="W385">
        <v>104</v>
      </c>
      <c r="X385">
        <v>35</v>
      </c>
      <c r="Y385">
        <v>35</v>
      </c>
      <c r="Z385">
        <v>651</v>
      </c>
      <c r="AA385">
        <v>608</v>
      </c>
      <c r="AB385">
        <v>3.76</v>
      </c>
      <c r="AC385">
        <v>8</v>
      </c>
      <c r="AD385">
        <v>11</v>
      </c>
      <c r="AE385">
        <v>43</v>
      </c>
      <c r="AF385" s="45">
        <f t="shared" ca="1" si="402"/>
        <v>6232</v>
      </c>
      <c r="AG385" s="45">
        <f t="shared" ca="1" si="346"/>
        <v>1678</v>
      </c>
      <c r="AH385" s="45">
        <f t="shared" ca="1" si="347"/>
        <v>1159</v>
      </c>
      <c r="AI385" s="45">
        <f t="shared" ca="1" si="348"/>
        <v>237</v>
      </c>
      <c r="AJ385" s="45">
        <f t="shared" ca="1" si="349"/>
        <v>47</v>
      </c>
      <c r="AK385" s="45">
        <f t="shared" ca="1" si="350"/>
        <v>235</v>
      </c>
      <c r="AL385" s="45">
        <f t="shared" ca="1" si="351"/>
        <v>663</v>
      </c>
      <c r="AM385" s="45">
        <f t="shared" ca="1" si="352"/>
        <v>70</v>
      </c>
      <c r="AN385" s="45">
        <f t="shared" ca="1" si="353"/>
        <v>3821</v>
      </c>
      <c r="AO385">
        <v>4370</v>
      </c>
      <c r="AP385">
        <v>1359</v>
      </c>
      <c r="AQ385">
        <v>166</v>
      </c>
      <c r="AR385">
        <v>449</v>
      </c>
      <c r="AS385">
        <v>1166</v>
      </c>
      <c r="AT385">
        <v>72</v>
      </c>
      <c r="AU385">
        <v>155</v>
      </c>
      <c r="AV385">
        <v>0.98799999999999999</v>
      </c>
      <c r="AW385" s="1"/>
      <c r="AX385" s="1"/>
      <c r="AY385" s="47">
        <f t="shared" si="354"/>
        <v>29700</v>
      </c>
      <c r="AZ385" s="49">
        <f t="shared" si="355"/>
        <v>165251</v>
      </c>
      <c r="BA385" s="49"/>
      <c r="BB385" s="48">
        <f t="shared" si="357"/>
        <v>0</v>
      </c>
    </row>
    <row r="386" spans="2:54" x14ac:dyDescent="0.2">
      <c r="B386" s="3">
        <v>2012</v>
      </c>
      <c r="C386" t="s">
        <v>88</v>
      </c>
      <c r="D386" t="s">
        <v>89</v>
      </c>
      <c r="E386">
        <v>1</v>
      </c>
      <c r="F386" t="s">
        <v>43</v>
      </c>
      <c r="G386" t="s">
        <v>38</v>
      </c>
      <c r="H386" t="s">
        <v>43</v>
      </c>
      <c r="I386" t="s">
        <v>43</v>
      </c>
      <c r="J386">
        <v>94</v>
      </c>
      <c r="K386">
        <v>68</v>
      </c>
      <c r="L386">
        <v>718</v>
      </c>
      <c r="M386" s="38">
        <v>5558</v>
      </c>
      <c r="N386" s="38">
        <v>1495</v>
      </c>
      <c r="O386" s="38">
        <f t="shared" si="344"/>
        <v>1048</v>
      </c>
      <c r="P386" s="38">
        <v>287</v>
      </c>
      <c r="Q386" s="38">
        <v>57</v>
      </c>
      <c r="R386" s="38">
        <v>103</v>
      </c>
      <c r="S386" s="38">
        <v>483</v>
      </c>
      <c r="T386" s="38">
        <v>29</v>
      </c>
      <c r="U386" s="38">
        <f t="shared" si="345"/>
        <v>3551</v>
      </c>
      <c r="V386">
        <v>1097</v>
      </c>
      <c r="W386">
        <v>118</v>
      </c>
      <c r="X386">
        <v>39</v>
      </c>
      <c r="Y386">
        <v>61</v>
      </c>
      <c r="Z386">
        <v>649</v>
      </c>
      <c r="AA386">
        <v>593</v>
      </c>
      <c r="AB386">
        <v>3.68</v>
      </c>
      <c r="AC386">
        <v>5</v>
      </c>
      <c r="AD386">
        <v>14</v>
      </c>
      <c r="AE386">
        <v>53</v>
      </c>
      <c r="AF386" s="45">
        <f t="shared" ca="1" si="402"/>
        <v>6069</v>
      </c>
      <c r="AG386" s="45">
        <f t="shared" ca="1" si="346"/>
        <v>1456</v>
      </c>
      <c r="AH386" s="45">
        <f t="shared" ca="1" si="347"/>
        <v>833</v>
      </c>
      <c r="AI386" s="45">
        <f t="shared" ca="1" si="348"/>
        <v>392</v>
      </c>
      <c r="AJ386" s="45">
        <f t="shared" ca="1" si="349"/>
        <v>34</v>
      </c>
      <c r="AK386" s="45">
        <f t="shared" ca="1" si="350"/>
        <v>197</v>
      </c>
      <c r="AL386" s="45">
        <f t="shared" ca="1" si="351"/>
        <v>645</v>
      </c>
      <c r="AM386" s="45">
        <f t="shared" ca="1" si="352"/>
        <v>54</v>
      </c>
      <c r="AN386" s="45">
        <f t="shared" ca="1" si="353"/>
        <v>3914</v>
      </c>
      <c r="AO386">
        <v>4353</v>
      </c>
      <c r="AP386">
        <v>1361</v>
      </c>
      <c r="AQ386">
        <v>142</v>
      </c>
      <c r="AR386">
        <v>489</v>
      </c>
      <c r="AS386">
        <v>1237</v>
      </c>
      <c r="AT386">
        <v>115</v>
      </c>
      <c r="AU386">
        <v>134</v>
      </c>
      <c r="AV386">
        <v>0.98099999999999998</v>
      </c>
      <c r="AW386" s="1"/>
      <c r="AX386" s="1"/>
      <c r="AY386" s="47">
        <f t="shared" si="354"/>
        <v>29700</v>
      </c>
      <c r="AZ386" s="49">
        <f t="shared" si="355"/>
        <v>165251</v>
      </c>
      <c r="BA386" s="49">
        <f t="shared" ref="BA386" si="413">SUMIF($B$2:$B$571,$B386,$O$2:$O$571)</f>
        <v>27941</v>
      </c>
      <c r="BB386" s="48">
        <f t="shared" si="357"/>
        <v>0.16908218407150336</v>
      </c>
    </row>
    <row r="387" spans="2:54" x14ac:dyDescent="0.2">
      <c r="B387" s="3">
        <v>2012</v>
      </c>
      <c r="C387" t="s">
        <v>90</v>
      </c>
      <c r="D387" t="s">
        <v>91</v>
      </c>
      <c r="E387">
        <v>2</v>
      </c>
      <c r="F387" t="s">
        <v>38</v>
      </c>
      <c r="G387" t="s">
        <v>43</v>
      </c>
      <c r="H387" t="s">
        <v>38</v>
      </c>
      <c r="I387" t="s">
        <v>38</v>
      </c>
      <c r="J387">
        <v>88</v>
      </c>
      <c r="K387">
        <v>74</v>
      </c>
      <c r="L387">
        <v>765</v>
      </c>
      <c r="M387" s="38">
        <v>5622</v>
      </c>
      <c r="N387" s="38">
        <v>1526</v>
      </c>
      <c r="O387" s="38">
        <f t="shared" ref="O387:O450" si="414">N387-(P387+Q387+R387)</f>
        <v>1040</v>
      </c>
      <c r="P387" s="38">
        <v>290</v>
      </c>
      <c r="Q387" s="38">
        <v>37</v>
      </c>
      <c r="R387" s="38">
        <v>159</v>
      </c>
      <c r="S387" s="38">
        <v>533</v>
      </c>
      <c r="T387" s="38">
        <v>53</v>
      </c>
      <c r="U387" s="38">
        <f t="shared" ref="U387:U450" si="415">M387-(N387+S387+T387)</f>
        <v>3510</v>
      </c>
      <c r="V387">
        <v>1192</v>
      </c>
      <c r="W387">
        <v>91</v>
      </c>
      <c r="X387">
        <v>37</v>
      </c>
      <c r="Y387">
        <v>49</v>
      </c>
      <c r="Z387">
        <v>648</v>
      </c>
      <c r="AA387">
        <v>603</v>
      </c>
      <c r="AB387">
        <v>3.71</v>
      </c>
      <c r="AC387">
        <v>4</v>
      </c>
      <c r="AD387">
        <v>10</v>
      </c>
      <c r="AE387">
        <v>42</v>
      </c>
      <c r="AF387" s="45">
        <f t="shared" ca="1" si="402"/>
        <v>6136</v>
      </c>
      <c r="AG387" s="45">
        <f t="shared" ref="AG387:AG450" ca="1" si="416">RANDBETWEEN(1300,1700)</f>
        <v>1509</v>
      </c>
      <c r="AH387" s="45">
        <f t="shared" ref="AH387:AH450" ca="1" si="417">AG387-(AI387+AJ387+AK387)</f>
        <v>931</v>
      </c>
      <c r="AI387" s="45">
        <f t="shared" ref="AI387:AI450" ca="1" si="418">RANDBETWEEN(219,400)</f>
        <v>372</v>
      </c>
      <c r="AJ387" s="45">
        <f t="shared" ref="AJ387:AJ450" ca="1" si="419">RANDBETWEEN(20,50)</f>
        <v>24</v>
      </c>
      <c r="AK387" s="45">
        <f t="shared" ref="AK387:AK450" ca="1" si="420">RANDBETWEEN(130,240)</f>
        <v>182</v>
      </c>
      <c r="AL387" s="45">
        <f t="shared" ref="AL387:AL450" ca="1" si="421">RANDBETWEEN(400,700)</f>
        <v>669</v>
      </c>
      <c r="AM387" s="45">
        <f t="shared" ref="AM387:AM450" ca="1" si="422">RANDBETWEEN(30,90)</f>
        <v>53</v>
      </c>
      <c r="AN387" s="45">
        <f t="shared" ref="AN387:AN450" ca="1" si="423">AF387-(AG387+AL387+AM387)</f>
        <v>3905</v>
      </c>
      <c r="AO387">
        <v>4388</v>
      </c>
      <c r="AP387">
        <v>1420</v>
      </c>
      <c r="AQ387">
        <v>134</v>
      </c>
      <c r="AR387">
        <v>436</v>
      </c>
      <c r="AS387">
        <v>1218</v>
      </c>
      <c r="AT387">
        <v>107</v>
      </c>
      <c r="AU387">
        <v>149</v>
      </c>
      <c r="AV387">
        <v>0.98299999999999998</v>
      </c>
      <c r="AW387" s="1"/>
      <c r="AX387" s="1"/>
      <c r="AY387" s="47">
        <f t="shared" ref="AY387:AY450" si="424">SUM(O$2:O$31)</f>
        <v>29700</v>
      </c>
      <c r="AZ387" s="49">
        <f t="shared" ref="AZ387:AZ450" si="425">SUMIF($B$2:$B$571,$B387,$M$2:$M$571)</f>
        <v>165251</v>
      </c>
      <c r="BA387" s="49">
        <f t="shared" ref="BA387" si="426">SUMIF($B$2:$B$571,$B387,$P$2:$P$571)</f>
        <v>8261</v>
      </c>
      <c r="BB387" s="48">
        <f t="shared" ref="BB387:BB450" si="427">BA387/AZ387</f>
        <v>4.9990620329075162E-2</v>
      </c>
    </row>
    <row r="388" spans="2:54" x14ac:dyDescent="0.2">
      <c r="B388" s="3">
        <v>2012</v>
      </c>
      <c r="C388" t="s">
        <v>102</v>
      </c>
      <c r="D388" t="s">
        <v>93</v>
      </c>
      <c r="E388">
        <v>3</v>
      </c>
      <c r="F388" t="s">
        <v>38</v>
      </c>
      <c r="G388" t="s">
        <v>38</v>
      </c>
      <c r="H388" t="s">
        <v>38</v>
      </c>
      <c r="I388" t="s">
        <v>38</v>
      </c>
      <c r="J388">
        <v>90</v>
      </c>
      <c r="K388">
        <v>72</v>
      </c>
      <c r="L388">
        <v>697</v>
      </c>
      <c r="M388" s="38">
        <v>5398</v>
      </c>
      <c r="N388" s="38">
        <v>1293</v>
      </c>
      <c r="O388" s="38">
        <f t="shared" si="414"/>
        <v>838</v>
      </c>
      <c r="P388" s="38">
        <v>250</v>
      </c>
      <c r="Q388" s="38">
        <v>30</v>
      </c>
      <c r="R388" s="38">
        <v>175</v>
      </c>
      <c r="S388" s="38">
        <v>571</v>
      </c>
      <c r="T388" s="38">
        <v>58</v>
      </c>
      <c r="U388" s="38">
        <f t="shared" si="415"/>
        <v>3476</v>
      </c>
      <c r="V388">
        <v>1323</v>
      </c>
      <c r="W388">
        <v>134</v>
      </c>
      <c r="X388">
        <v>44</v>
      </c>
      <c r="Y388">
        <v>42</v>
      </c>
      <c r="Z388">
        <v>577</v>
      </c>
      <c r="AA388">
        <v>518</v>
      </c>
      <c r="AB388">
        <v>3.19</v>
      </c>
      <c r="AC388">
        <v>7</v>
      </c>
      <c r="AD388">
        <v>15</v>
      </c>
      <c r="AE388">
        <v>50</v>
      </c>
      <c r="AF388" s="45">
        <f t="shared" ca="1" si="402"/>
        <v>6253</v>
      </c>
      <c r="AG388" s="45">
        <f t="shared" ca="1" si="416"/>
        <v>1323</v>
      </c>
      <c r="AH388" s="45">
        <f t="shared" ca="1" si="417"/>
        <v>754</v>
      </c>
      <c r="AI388" s="45">
        <f t="shared" ca="1" si="418"/>
        <v>309</v>
      </c>
      <c r="AJ388" s="45">
        <f t="shared" ca="1" si="419"/>
        <v>24</v>
      </c>
      <c r="AK388" s="45">
        <f t="shared" ca="1" si="420"/>
        <v>236</v>
      </c>
      <c r="AL388" s="45">
        <f t="shared" ca="1" si="421"/>
        <v>688</v>
      </c>
      <c r="AM388" s="45">
        <f t="shared" ca="1" si="422"/>
        <v>36</v>
      </c>
      <c r="AN388" s="45">
        <f t="shared" ca="1" si="423"/>
        <v>4206</v>
      </c>
      <c r="AO388">
        <v>4379</v>
      </c>
      <c r="AP388">
        <v>1233</v>
      </c>
      <c r="AQ388">
        <v>139</v>
      </c>
      <c r="AR388">
        <v>469</v>
      </c>
      <c r="AS388">
        <v>1383</v>
      </c>
      <c r="AT388">
        <v>114</v>
      </c>
      <c r="AU388">
        <v>155</v>
      </c>
      <c r="AV388">
        <v>0.98099999999999998</v>
      </c>
      <c r="AW388" s="1"/>
      <c r="AX388" s="1"/>
      <c r="AY388" s="47">
        <f t="shared" si="424"/>
        <v>29700</v>
      </c>
      <c r="AZ388" s="49">
        <f t="shared" si="425"/>
        <v>165251</v>
      </c>
      <c r="BA388" s="49">
        <f t="shared" ref="BA388" si="428">SUMIF($B$2:$B$571,$B388,$Q$2:$Q$571)</f>
        <v>927</v>
      </c>
      <c r="BB388" s="48">
        <f t="shared" si="427"/>
        <v>5.6096483531113276E-3</v>
      </c>
    </row>
    <row r="389" spans="2:54" x14ac:dyDescent="0.2">
      <c r="B389" s="3">
        <v>2012</v>
      </c>
      <c r="C389" t="s">
        <v>94</v>
      </c>
      <c r="D389" t="s">
        <v>95</v>
      </c>
      <c r="E389">
        <v>2</v>
      </c>
      <c r="F389" t="s">
        <v>38</v>
      </c>
      <c r="G389" t="s">
        <v>43</v>
      </c>
      <c r="H389" t="s">
        <v>38</v>
      </c>
      <c r="I389" t="s">
        <v>38</v>
      </c>
      <c r="J389">
        <v>93</v>
      </c>
      <c r="K389">
        <v>69</v>
      </c>
      <c r="L389">
        <v>808</v>
      </c>
      <c r="M389" s="38">
        <v>5590</v>
      </c>
      <c r="N389" s="38">
        <v>1526</v>
      </c>
      <c r="O389" s="38">
        <f t="shared" si="414"/>
        <v>991</v>
      </c>
      <c r="P389" s="38">
        <v>303</v>
      </c>
      <c r="Q389" s="38">
        <v>32</v>
      </c>
      <c r="R389" s="38">
        <v>200</v>
      </c>
      <c r="S389" s="38">
        <v>478</v>
      </c>
      <c r="T389" s="38">
        <v>57</v>
      </c>
      <c r="U389" s="38">
        <f t="shared" si="415"/>
        <v>3529</v>
      </c>
      <c r="V389">
        <v>1103</v>
      </c>
      <c r="W389">
        <v>91</v>
      </c>
      <c r="X389">
        <v>44</v>
      </c>
      <c r="Y389">
        <v>53</v>
      </c>
      <c r="Z389">
        <v>707</v>
      </c>
      <c r="AA389">
        <v>639</v>
      </c>
      <c r="AB389">
        <v>3.99</v>
      </c>
      <c r="AC389">
        <v>7</v>
      </c>
      <c r="AD389">
        <v>10</v>
      </c>
      <c r="AE389">
        <v>43</v>
      </c>
      <c r="AF389" s="45">
        <f t="shared" ca="1" si="402"/>
        <v>6398</v>
      </c>
      <c r="AG389" s="45">
        <f t="shared" ca="1" si="416"/>
        <v>1658</v>
      </c>
      <c r="AH389" s="45">
        <f t="shared" ca="1" si="417"/>
        <v>1217</v>
      </c>
      <c r="AI389" s="45">
        <f t="shared" ca="1" si="418"/>
        <v>254</v>
      </c>
      <c r="AJ389" s="45">
        <f t="shared" ca="1" si="419"/>
        <v>38</v>
      </c>
      <c r="AK389" s="45">
        <f t="shared" ca="1" si="420"/>
        <v>149</v>
      </c>
      <c r="AL389" s="45">
        <f t="shared" ca="1" si="421"/>
        <v>469</v>
      </c>
      <c r="AM389" s="45">
        <f t="shared" ca="1" si="422"/>
        <v>49</v>
      </c>
      <c r="AN389" s="45">
        <f t="shared" ca="1" si="423"/>
        <v>4222</v>
      </c>
      <c r="AO389">
        <v>4326</v>
      </c>
      <c r="AP389">
        <v>1378</v>
      </c>
      <c r="AQ389">
        <v>175</v>
      </c>
      <c r="AR389">
        <v>446</v>
      </c>
      <c r="AS389">
        <v>1286</v>
      </c>
      <c r="AT389">
        <v>85</v>
      </c>
      <c r="AU389">
        <v>136</v>
      </c>
      <c r="AV389">
        <v>0.98599999999999999</v>
      </c>
      <c r="AW389" s="1"/>
      <c r="AX389" s="1"/>
      <c r="AY389" s="47">
        <f t="shared" si="424"/>
        <v>29700</v>
      </c>
      <c r="AZ389" s="49">
        <f t="shared" si="425"/>
        <v>165251</v>
      </c>
      <c r="BA389" s="49">
        <f t="shared" ref="BA389" si="429">SUMIF($B$2:$B$571,$B389,$R$2:$R$571)</f>
        <v>4934</v>
      </c>
      <c r="BB389" s="48">
        <f t="shared" si="427"/>
        <v>2.9857610543960401E-2</v>
      </c>
    </row>
    <row r="390" spans="2:54" x14ac:dyDescent="0.2">
      <c r="B390" s="3">
        <v>2012</v>
      </c>
      <c r="C390" t="s">
        <v>96</v>
      </c>
      <c r="D390" t="s">
        <v>97</v>
      </c>
      <c r="E390">
        <v>4</v>
      </c>
      <c r="F390" t="s">
        <v>38</v>
      </c>
      <c r="G390" t="s">
        <v>38</v>
      </c>
      <c r="H390" t="s">
        <v>38</v>
      </c>
      <c r="I390" t="s">
        <v>38</v>
      </c>
      <c r="J390">
        <v>73</v>
      </c>
      <c r="K390">
        <v>89</v>
      </c>
      <c r="L390">
        <v>716</v>
      </c>
      <c r="M390" s="38">
        <v>5487</v>
      </c>
      <c r="N390" s="38">
        <v>1346</v>
      </c>
      <c r="O390" s="38">
        <f t="shared" si="414"/>
        <v>879</v>
      </c>
      <c r="P390" s="38">
        <v>247</v>
      </c>
      <c r="Q390" s="38">
        <v>22</v>
      </c>
      <c r="R390" s="38">
        <v>198</v>
      </c>
      <c r="S390" s="38">
        <v>473</v>
      </c>
      <c r="T390" s="38">
        <v>55</v>
      </c>
      <c r="U390" s="38">
        <f t="shared" si="415"/>
        <v>3613</v>
      </c>
      <c r="V390">
        <v>1251</v>
      </c>
      <c r="W390">
        <v>123</v>
      </c>
      <c r="X390">
        <v>41</v>
      </c>
      <c r="Y390">
        <v>45</v>
      </c>
      <c r="Z390">
        <v>784</v>
      </c>
      <c r="AA390">
        <v>745</v>
      </c>
      <c r="AB390">
        <v>4.6399999999999997</v>
      </c>
      <c r="AC390">
        <v>5</v>
      </c>
      <c r="AD390">
        <v>11</v>
      </c>
      <c r="AE390">
        <v>29</v>
      </c>
      <c r="AF390" s="45">
        <f t="shared" ca="1" si="402"/>
        <v>6405</v>
      </c>
      <c r="AG390" s="45">
        <f t="shared" ca="1" si="416"/>
        <v>1646</v>
      </c>
      <c r="AH390" s="45">
        <f t="shared" ca="1" si="417"/>
        <v>1103</v>
      </c>
      <c r="AI390" s="45">
        <f t="shared" ca="1" si="418"/>
        <v>301</v>
      </c>
      <c r="AJ390" s="45">
        <f t="shared" ca="1" si="419"/>
        <v>49</v>
      </c>
      <c r="AK390" s="45">
        <f t="shared" ca="1" si="420"/>
        <v>193</v>
      </c>
      <c r="AL390" s="45">
        <f t="shared" ca="1" si="421"/>
        <v>572</v>
      </c>
      <c r="AM390" s="45">
        <f t="shared" ca="1" si="422"/>
        <v>51</v>
      </c>
      <c r="AN390" s="45">
        <f t="shared" ca="1" si="423"/>
        <v>4136</v>
      </c>
      <c r="AO390">
        <v>4331</v>
      </c>
      <c r="AP390">
        <v>1439</v>
      </c>
      <c r="AQ390">
        <v>204</v>
      </c>
      <c r="AR390">
        <v>574</v>
      </c>
      <c r="AS390">
        <v>1142</v>
      </c>
      <c r="AT390">
        <v>101</v>
      </c>
      <c r="AU390">
        <v>167</v>
      </c>
      <c r="AV390">
        <v>0.98399999999999999</v>
      </c>
      <c r="AW390" s="1"/>
      <c r="AX390" s="1"/>
      <c r="AY390" s="47">
        <f t="shared" si="424"/>
        <v>29700</v>
      </c>
      <c r="AZ390" s="49">
        <f t="shared" si="425"/>
        <v>165251</v>
      </c>
      <c r="BA390" s="49">
        <f t="shared" ref="BA390" si="430">SUMIF($B$2:$B$571,$B390,$S$2:$S$571)</f>
        <v>14709</v>
      </c>
      <c r="BB390" s="48">
        <f t="shared" si="427"/>
        <v>8.9010051376391064E-2</v>
      </c>
    </row>
    <row r="391" spans="2:54" x14ac:dyDescent="0.2">
      <c r="B391" s="3">
        <v>2012</v>
      </c>
      <c r="C391" t="s">
        <v>100</v>
      </c>
      <c r="D391" t="s">
        <v>101</v>
      </c>
      <c r="E391">
        <v>1</v>
      </c>
      <c r="F391" t="s">
        <v>43</v>
      </c>
      <c r="G391" t="s">
        <v>38</v>
      </c>
      <c r="H391" t="s">
        <v>38</v>
      </c>
      <c r="I391" t="s">
        <v>38</v>
      </c>
      <c r="J391">
        <v>98</v>
      </c>
      <c r="K391">
        <v>64</v>
      </c>
      <c r="L391">
        <v>731</v>
      </c>
      <c r="M391" s="38">
        <v>5615</v>
      </c>
      <c r="N391" s="38">
        <v>1468</v>
      </c>
      <c r="O391" s="38">
        <f t="shared" si="414"/>
        <v>948</v>
      </c>
      <c r="P391" s="38">
        <v>301</v>
      </c>
      <c r="Q391" s="38">
        <v>25</v>
      </c>
      <c r="R391" s="38">
        <v>194</v>
      </c>
      <c r="S391" s="38">
        <v>479</v>
      </c>
      <c r="T391" s="38">
        <v>41</v>
      </c>
      <c r="U391" s="38">
        <f t="shared" si="415"/>
        <v>3627</v>
      </c>
      <c r="V391">
        <v>1325</v>
      </c>
      <c r="W391">
        <v>105</v>
      </c>
      <c r="X391">
        <v>35</v>
      </c>
      <c r="Y391">
        <v>36</v>
      </c>
      <c r="Z391">
        <v>594</v>
      </c>
      <c r="AA391">
        <v>543</v>
      </c>
      <c r="AB391">
        <v>3.33</v>
      </c>
      <c r="AC391">
        <v>3</v>
      </c>
      <c r="AD391">
        <v>9</v>
      </c>
      <c r="AE391">
        <v>51</v>
      </c>
      <c r="AF391" s="45">
        <f t="shared" ca="1" si="402"/>
        <v>6364</v>
      </c>
      <c r="AG391" s="45">
        <f t="shared" ca="1" si="416"/>
        <v>1381</v>
      </c>
      <c r="AH391" s="45">
        <f t="shared" ca="1" si="417"/>
        <v>958</v>
      </c>
      <c r="AI391" s="45">
        <f t="shared" ca="1" si="418"/>
        <v>235</v>
      </c>
      <c r="AJ391" s="45">
        <f t="shared" ca="1" si="419"/>
        <v>38</v>
      </c>
      <c r="AK391" s="45">
        <f t="shared" ca="1" si="420"/>
        <v>150</v>
      </c>
      <c r="AL391" s="45">
        <f t="shared" ca="1" si="421"/>
        <v>508</v>
      </c>
      <c r="AM391" s="45">
        <f t="shared" ca="1" si="422"/>
        <v>57</v>
      </c>
      <c r="AN391" s="45">
        <f t="shared" ca="1" si="423"/>
        <v>4418</v>
      </c>
      <c r="AO391">
        <v>4405</v>
      </c>
      <c r="AP391">
        <v>1296</v>
      </c>
      <c r="AQ391">
        <v>129</v>
      </c>
      <c r="AR391">
        <v>497</v>
      </c>
      <c r="AS391">
        <v>1325</v>
      </c>
      <c r="AT391">
        <v>94</v>
      </c>
      <c r="AU391">
        <v>134</v>
      </c>
      <c r="AV391">
        <v>0.98499999999999999</v>
      </c>
      <c r="AW391" s="1"/>
      <c r="AX391" s="1"/>
      <c r="AY391" s="47">
        <f t="shared" si="424"/>
        <v>29700</v>
      </c>
      <c r="AZ391" s="49">
        <f t="shared" si="425"/>
        <v>165251</v>
      </c>
      <c r="BA391" s="49">
        <f t="shared" ref="BA391" si="431">SUMIF($B$2:$B$571,$B391,$T$2:$T$571)</f>
        <v>1494</v>
      </c>
      <c r="BB391" s="48">
        <f t="shared" si="427"/>
        <v>9.0407924914221397E-3</v>
      </c>
    </row>
    <row r="392" spans="2:54" x14ac:dyDescent="0.2">
      <c r="B392" s="3">
        <v>2013</v>
      </c>
      <c r="C392" t="s">
        <v>39</v>
      </c>
      <c r="D392" t="s">
        <v>40</v>
      </c>
      <c r="E392">
        <v>2</v>
      </c>
      <c r="F392" t="s">
        <v>38</v>
      </c>
      <c r="G392" t="s">
        <v>38</v>
      </c>
      <c r="H392" t="s">
        <v>38</v>
      </c>
      <c r="I392" t="s">
        <v>38</v>
      </c>
      <c r="J392">
        <v>81</v>
      </c>
      <c r="K392">
        <v>81</v>
      </c>
      <c r="L392">
        <v>685</v>
      </c>
      <c r="M392" s="38">
        <v>5676</v>
      </c>
      <c r="N392" s="38">
        <v>1468</v>
      </c>
      <c r="O392" s="38">
        <f t="shared" si="414"/>
        <v>1005</v>
      </c>
      <c r="P392" s="38">
        <v>302</v>
      </c>
      <c r="Q392" s="38">
        <v>31</v>
      </c>
      <c r="R392" s="38">
        <v>130</v>
      </c>
      <c r="S392" s="38">
        <v>519</v>
      </c>
      <c r="T392" s="38">
        <v>43</v>
      </c>
      <c r="U392" s="38">
        <f t="shared" si="415"/>
        <v>3646</v>
      </c>
      <c r="V392">
        <v>1142</v>
      </c>
      <c r="W392">
        <v>62</v>
      </c>
      <c r="X392">
        <v>41</v>
      </c>
      <c r="Y392">
        <v>43</v>
      </c>
      <c r="Z392">
        <v>695</v>
      </c>
      <c r="AA392">
        <v>651</v>
      </c>
      <c r="AB392">
        <v>3.92</v>
      </c>
      <c r="AC392">
        <v>6</v>
      </c>
      <c r="AD392">
        <v>7</v>
      </c>
      <c r="AE392">
        <v>38</v>
      </c>
      <c r="AF392" s="45">
        <f t="shared" ca="1" si="402"/>
        <v>6276</v>
      </c>
      <c r="AG392" s="45">
        <f t="shared" ca="1" si="416"/>
        <v>1675</v>
      </c>
      <c r="AH392" s="45">
        <f t="shared" ca="1" si="417"/>
        <v>1095</v>
      </c>
      <c r="AI392" s="45">
        <f t="shared" ca="1" si="418"/>
        <v>365</v>
      </c>
      <c r="AJ392" s="45">
        <f t="shared" ca="1" si="419"/>
        <v>37</v>
      </c>
      <c r="AK392" s="45">
        <f t="shared" ca="1" si="420"/>
        <v>178</v>
      </c>
      <c r="AL392" s="45">
        <f t="shared" ca="1" si="421"/>
        <v>688</v>
      </c>
      <c r="AM392" s="45">
        <f t="shared" ca="1" si="422"/>
        <v>72</v>
      </c>
      <c r="AN392" s="45">
        <f t="shared" ca="1" si="423"/>
        <v>3841</v>
      </c>
      <c r="AO392">
        <v>4485</v>
      </c>
      <c r="AP392">
        <v>1460</v>
      </c>
      <c r="AQ392">
        <v>176</v>
      </c>
      <c r="AR392">
        <v>485</v>
      </c>
      <c r="AS392">
        <v>1218</v>
      </c>
      <c r="AT392">
        <v>75</v>
      </c>
      <c r="AU392">
        <v>135</v>
      </c>
      <c r="AV392">
        <v>0.98799999999999999</v>
      </c>
      <c r="AW392" s="1"/>
      <c r="AX392" s="1"/>
      <c r="AY392" s="47">
        <f t="shared" si="424"/>
        <v>29700</v>
      </c>
      <c r="AZ392" s="49">
        <f t="shared" si="425"/>
        <v>166070</v>
      </c>
      <c r="BA392" s="49">
        <f t="shared" ref="BA392" si="432">SUMIF($B$2:$B$571,$B392,$U$2:$U$571)</f>
        <v>107801</v>
      </c>
      <c r="BB392" s="48">
        <f t="shared" si="427"/>
        <v>0.64912988498825797</v>
      </c>
    </row>
    <row r="393" spans="2:54" x14ac:dyDescent="0.2">
      <c r="B393" s="3">
        <v>2013</v>
      </c>
      <c r="C393" t="s">
        <v>41</v>
      </c>
      <c r="D393" t="s">
        <v>42</v>
      </c>
      <c r="E393">
        <v>1</v>
      </c>
      <c r="F393" t="s">
        <v>43</v>
      </c>
      <c r="G393" t="s">
        <v>38</v>
      </c>
      <c r="H393" t="s">
        <v>38</v>
      </c>
      <c r="I393" t="s">
        <v>38</v>
      </c>
      <c r="J393">
        <v>96</v>
      </c>
      <c r="K393">
        <v>66</v>
      </c>
      <c r="L393">
        <v>688</v>
      </c>
      <c r="M393" s="38">
        <v>5441</v>
      </c>
      <c r="N393" s="38">
        <v>1354</v>
      </c>
      <c r="O393" s="38">
        <f t="shared" si="414"/>
        <v>905</v>
      </c>
      <c r="P393" s="38">
        <v>247</v>
      </c>
      <c r="Q393" s="38">
        <v>21</v>
      </c>
      <c r="R393" s="38">
        <v>181</v>
      </c>
      <c r="S393" s="38">
        <v>542</v>
      </c>
      <c r="T393" s="38">
        <v>55</v>
      </c>
      <c r="U393" s="38">
        <f t="shared" si="415"/>
        <v>3490</v>
      </c>
      <c r="V393">
        <v>1384</v>
      </c>
      <c r="W393">
        <v>64</v>
      </c>
      <c r="X393">
        <v>31</v>
      </c>
      <c r="Y393">
        <v>35</v>
      </c>
      <c r="Z393">
        <v>548</v>
      </c>
      <c r="AA393">
        <v>512</v>
      </c>
      <c r="AB393">
        <v>3.18</v>
      </c>
      <c r="AC393">
        <v>1</v>
      </c>
      <c r="AD393">
        <v>12</v>
      </c>
      <c r="AE393">
        <v>53</v>
      </c>
      <c r="AF393" s="45">
        <f t="shared" ca="1" si="402"/>
        <v>6150</v>
      </c>
      <c r="AG393" s="45">
        <f t="shared" ca="1" si="416"/>
        <v>1528</v>
      </c>
      <c r="AH393" s="45">
        <f t="shared" ca="1" si="417"/>
        <v>942</v>
      </c>
      <c r="AI393" s="45">
        <f t="shared" ca="1" si="418"/>
        <v>326</v>
      </c>
      <c r="AJ393" s="45">
        <f t="shared" ca="1" si="419"/>
        <v>34</v>
      </c>
      <c r="AK393" s="45">
        <f t="shared" ca="1" si="420"/>
        <v>226</v>
      </c>
      <c r="AL393" s="45">
        <f t="shared" ca="1" si="421"/>
        <v>697</v>
      </c>
      <c r="AM393" s="45">
        <f t="shared" ca="1" si="422"/>
        <v>86</v>
      </c>
      <c r="AN393" s="45">
        <f t="shared" ca="1" si="423"/>
        <v>3839</v>
      </c>
      <c r="AO393">
        <v>4351</v>
      </c>
      <c r="AP393">
        <v>1326</v>
      </c>
      <c r="AQ393">
        <v>127</v>
      </c>
      <c r="AR393">
        <v>409</v>
      </c>
      <c r="AS393">
        <v>1232</v>
      </c>
      <c r="AT393">
        <v>85</v>
      </c>
      <c r="AU393">
        <v>141</v>
      </c>
      <c r="AV393">
        <v>0.98599999999999999</v>
      </c>
      <c r="AW393" s="1"/>
      <c r="AX393" s="1"/>
      <c r="AY393" s="47">
        <f t="shared" si="424"/>
        <v>29700</v>
      </c>
      <c r="AZ393" s="49">
        <f t="shared" si="425"/>
        <v>166070</v>
      </c>
      <c r="BA393" s="49"/>
      <c r="BB393" s="48">
        <f t="shared" si="427"/>
        <v>0</v>
      </c>
    </row>
    <row r="394" spans="2:54" x14ac:dyDescent="0.2">
      <c r="B394" s="3">
        <v>2013</v>
      </c>
      <c r="C394" t="s">
        <v>44</v>
      </c>
      <c r="D394" t="s">
        <v>45</v>
      </c>
      <c r="E394">
        <v>3</v>
      </c>
      <c r="F394" t="s">
        <v>38</v>
      </c>
      <c r="G394" t="s">
        <v>38</v>
      </c>
      <c r="H394" t="s">
        <v>38</v>
      </c>
      <c r="I394" t="s">
        <v>38</v>
      </c>
      <c r="J394">
        <v>85</v>
      </c>
      <c r="K394">
        <v>77</v>
      </c>
      <c r="L394">
        <v>745</v>
      </c>
      <c r="M394" s="38">
        <v>5620</v>
      </c>
      <c r="N394" s="38">
        <v>1460</v>
      </c>
      <c r="O394" s="38">
        <f t="shared" si="414"/>
        <v>936</v>
      </c>
      <c r="P394" s="38">
        <v>298</v>
      </c>
      <c r="Q394" s="38">
        <v>14</v>
      </c>
      <c r="R394" s="38">
        <v>212</v>
      </c>
      <c r="S394" s="38">
        <v>416</v>
      </c>
      <c r="T394" s="38">
        <v>36</v>
      </c>
      <c r="U394" s="38">
        <f t="shared" si="415"/>
        <v>3708</v>
      </c>
      <c r="V394">
        <v>1125</v>
      </c>
      <c r="W394">
        <v>79</v>
      </c>
      <c r="X394">
        <v>29</v>
      </c>
      <c r="Y394">
        <v>45</v>
      </c>
      <c r="Z394">
        <v>709</v>
      </c>
      <c r="AA394">
        <v>678</v>
      </c>
      <c r="AB394">
        <v>4.2</v>
      </c>
      <c r="AC394">
        <v>2</v>
      </c>
      <c r="AD394">
        <v>6</v>
      </c>
      <c r="AE394">
        <v>57</v>
      </c>
      <c r="AF394" s="45">
        <f t="shared" ca="1" si="402"/>
        <v>6479</v>
      </c>
      <c r="AG394" s="45">
        <f t="shared" ca="1" si="416"/>
        <v>1452</v>
      </c>
      <c r="AH394" s="45">
        <f t="shared" ca="1" si="417"/>
        <v>1014</v>
      </c>
      <c r="AI394" s="45">
        <f t="shared" ca="1" si="418"/>
        <v>260</v>
      </c>
      <c r="AJ394" s="45">
        <f t="shared" ca="1" si="419"/>
        <v>35</v>
      </c>
      <c r="AK394" s="45">
        <f t="shared" ca="1" si="420"/>
        <v>143</v>
      </c>
      <c r="AL394" s="45">
        <f t="shared" ca="1" si="421"/>
        <v>688</v>
      </c>
      <c r="AM394" s="45">
        <f t="shared" ca="1" si="422"/>
        <v>32</v>
      </c>
      <c r="AN394" s="45">
        <f t="shared" ca="1" si="423"/>
        <v>4307</v>
      </c>
      <c r="AO394">
        <v>4359</v>
      </c>
      <c r="AP394">
        <v>1438</v>
      </c>
      <c r="AQ394">
        <v>202</v>
      </c>
      <c r="AR394">
        <v>473</v>
      </c>
      <c r="AS394">
        <v>1169</v>
      </c>
      <c r="AT394">
        <v>54</v>
      </c>
      <c r="AU394">
        <v>165</v>
      </c>
      <c r="AV394">
        <v>0.99099999999999999</v>
      </c>
      <c r="AW394" s="1"/>
      <c r="AX394" s="1"/>
      <c r="AY394" s="47">
        <f t="shared" si="424"/>
        <v>29700</v>
      </c>
      <c r="AZ394" s="49">
        <f t="shared" si="425"/>
        <v>166070</v>
      </c>
      <c r="BA394" s="49">
        <f t="shared" ref="BA394" si="433">SUMIF($B$2:$B$571,$B394,$O$2:$O$571)</f>
        <v>28438</v>
      </c>
      <c r="BB394" s="48">
        <f t="shared" si="427"/>
        <v>0.17124104293370265</v>
      </c>
    </row>
    <row r="395" spans="2:54" x14ac:dyDescent="0.2">
      <c r="B395" s="3">
        <v>2013</v>
      </c>
      <c r="C395" t="s">
        <v>46</v>
      </c>
      <c r="D395" t="s">
        <v>47</v>
      </c>
      <c r="E395">
        <v>1</v>
      </c>
      <c r="F395" t="s">
        <v>43</v>
      </c>
      <c r="G395" t="s">
        <v>38</v>
      </c>
      <c r="H395" t="s">
        <v>43</v>
      </c>
      <c r="I395" t="s">
        <v>43</v>
      </c>
      <c r="J395">
        <v>97</v>
      </c>
      <c r="K395">
        <v>65</v>
      </c>
      <c r="L395">
        <v>853</v>
      </c>
      <c r="M395" s="38">
        <v>5651</v>
      </c>
      <c r="N395" s="38">
        <v>1566</v>
      </c>
      <c r="O395" s="38">
        <f t="shared" si="414"/>
        <v>996</v>
      </c>
      <c r="P395" s="38">
        <v>363</v>
      </c>
      <c r="Q395" s="38">
        <v>29</v>
      </c>
      <c r="R395" s="38">
        <v>178</v>
      </c>
      <c r="S395" s="38">
        <v>581</v>
      </c>
      <c r="T395" s="38">
        <v>72</v>
      </c>
      <c r="U395" s="38">
        <f t="shared" si="415"/>
        <v>3432</v>
      </c>
      <c r="V395">
        <v>1308</v>
      </c>
      <c r="W395">
        <v>123</v>
      </c>
      <c r="X395">
        <v>19</v>
      </c>
      <c r="Y395">
        <v>50</v>
      </c>
      <c r="Z395">
        <v>656</v>
      </c>
      <c r="AA395">
        <v>613</v>
      </c>
      <c r="AB395">
        <v>3.79</v>
      </c>
      <c r="AC395">
        <v>5</v>
      </c>
      <c r="AD395">
        <v>8</v>
      </c>
      <c r="AE395">
        <v>33</v>
      </c>
      <c r="AF395" s="45">
        <f t="shared" ca="1" si="402"/>
        <v>6094</v>
      </c>
      <c r="AG395" s="45">
        <f t="shared" ca="1" si="416"/>
        <v>1648</v>
      </c>
      <c r="AH395" s="45">
        <f t="shared" ca="1" si="417"/>
        <v>1044</v>
      </c>
      <c r="AI395" s="45">
        <f t="shared" ca="1" si="418"/>
        <v>366</v>
      </c>
      <c r="AJ395" s="45">
        <f t="shared" ca="1" si="419"/>
        <v>20</v>
      </c>
      <c r="AK395" s="45">
        <f t="shared" ca="1" si="420"/>
        <v>218</v>
      </c>
      <c r="AL395" s="45">
        <f t="shared" ca="1" si="421"/>
        <v>695</v>
      </c>
      <c r="AM395" s="45">
        <f t="shared" ca="1" si="422"/>
        <v>81</v>
      </c>
      <c r="AN395" s="45">
        <f t="shared" ca="1" si="423"/>
        <v>3670</v>
      </c>
      <c r="AO395">
        <v>4362</v>
      </c>
      <c r="AP395">
        <v>1366</v>
      </c>
      <c r="AQ395">
        <v>156</v>
      </c>
      <c r="AR395">
        <v>524</v>
      </c>
      <c r="AS395">
        <v>1294</v>
      </c>
      <c r="AT395">
        <v>80</v>
      </c>
      <c r="AU395">
        <v>142</v>
      </c>
      <c r="AV395">
        <v>0.98699999999999999</v>
      </c>
      <c r="AW395" s="1"/>
      <c r="AX395" s="1"/>
      <c r="AY395" s="47">
        <f t="shared" si="424"/>
        <v>29700</v>
      </c>
      <c r="AZ395" s="49">
        <f t="shared" si="425"/>
        <v>166070</v>
      </c>
      <c r="BA395" s="49">
        <f t="shared" ref="BA395" si="434">SUMIF($B$2:$B$571,$B395,$P$2:$P$571)</f>
        <v>8222</v>
      </c>
      <c r="BB395" s="48">
        <f t="shared" si="427"/>
        <v>4.9509243090263139E-2</v>
      </c>
    </row>
    <row r="396" spans="2:54" x14ac:dyDescent="0.2">
      <c r="B396" s="3">
        <v>2013</v>
      </c>
      <c r="C396" t="s">
        <v>48</v>
      </c>
      <c r="D396" t="s">
        <v>49</v>
      </c>
      <c r="E396">
        <v>5</v>
      </c>
      <c r="F396" t="s">
        <v>38</v>
      </c>
      <c r="G396" t="s">
        <v>38</v>
      </c>
      <c r="H396" t="s">
        <v>38</v>
      </c>
      <c r="I396" t="s">
        <v>38</v>
      </c>
      <c r="J396">
        <v>63</v>
      </c>
      <c r="K396">
        <v>99</v>
      </c>
      <c r="L396">
        <v>598</v>
      </c>
      <c r="M396" s="38">
        <v>5563</v>
      </c>
      <c r="N396" s="38">
        <v>1385</v>
      </c>
      <c r="O396" s="38">
        <f t="shared" si="414"/>
        <v>981</v>
      </c>
      <c r="P396" s="38">
        <v>237</v>
      </c>
      <c r="Q396" s="38">
        <v>19</v>
      </c>
      <c r="R396" s="38">
        <v>148</v>
      </c>
      <c r="S396" s="38">
        <v>411</v>
      </c>
      <c r="T396" s="38">
        <v>34</v>
      </c>
      <c r="U396" s="38">
        <f t="shared" si="415"/>
        <v>3733</v>
      </c>
      <c r="V396">
        <v>1207</v>
      </c>
      <c r="W396">
        <v>105</v>
      </c>
      <c r="X396">
        <v>42</v>
      </c>
      <c r="Y396">
        <v>48</v>
      </c>
      <c r="Z396">
        <v>723</v>
      </c>
      <c r="AA396">
        <v>643</v>
      </c>
      <c r="AB396">
        <v>3.98</v>
      </c>
      <c r="AC396">
        <v>5</v>
      </c>
      <c r="AD396">
        <v>5</v>
      </c>
      <c r="AE396">
        <v>40</v>
      </c>
      <c r="AF396" s="45">
        <f t="shared" ca="1" si="402"/>
        <v>6159</v>
      </c>
      <c r="AG396" s="45">
        <f t="shared" ca="1" si="416"/>
        <v>1567</v>
      </c>
      <c r="AH396" s="45">
        <f t="shared" ca="1" si="417"/>
        <v>1153</v>
      </c>
      <c r="AI396" s="45">
        <f t="shared" ca="1" si="418"/>
        <v>234</v>
      </c>
      <c r="AJ396" s="45">
        <f t="shared" ca="1" si="419"/>
        <v>27</v>
      </c>
      <c r="AK396" s="45">
        <f t="shared" ca="1" si="420"/>
        <v>153</v>
      </c>
      <c r="AL396" s="45">
        <f t="shared" ca="1" si="421"/>
        <v>576</v>
      </c>
      <c r="AM396" s="45">
        <f t="shared" ca="1" si="422"/>
        <v>81</v>
      </c>
      <c r="AN396" s="45">
        <f t="shared" ca="1" si="423"/>
        <v>3935</v>
      </c>
      <c r="AO396">
        <v>4365</v>
      </c>
      <c r="AP396">
        <v>1424</v>
      </c>
      <c r="AQ396">
        <v>182</v>
      </c>
      <c r="AR396">
        <v>509</v>
      </c>
      <c r="AS396">
        <v>1249</v>
      </c>
      <c r="AT396">
        <v>121</v>
      </c>
      <c r="AU396">
        <v>155</v>
      </c>
      <c r="AV396">
        <v>0.98</v>
      </c>
      <c r="AW396" s="1"/>
      <c r="AX396" s="1"/>
      <c r="AY396" s="47">
        <f t="shared" si="424"/>
        <v>29700</v>
      </c>
      <c r="AZ396" s="49">
        <f t="shared" si="425"/>
        <v>166070</v>
      </c>
      <c r="BA396" s="49">
        <f t="shared" ref="BA396" si="435">SUMIF($B$2:$B$571,$B396,$Q$2:$Q$571)</f>
        <v>772</v>
      </c>
      <c r="BB396" s="48">
        <f t="shared" si="427"/>
        <v>4.6486421388571087E-3</v>
      </c>
    </row>
    <row r="397" spans="2:54" x14ac:dyDescent="0.2">
      <c r="B397" s="3">
        <v>2013</v>
      </c>
      <c r="C397" t="s">
        <v>50</v>
      </c>
      <c r="D397" t="s">
        <v>51</v>
      </c>
      <c r="E397">
        <v>5</v>
      </c>
      <c r="F397" t="s">
        <v>38</v>
      </c>
      <c r="G397" t="s">
        <v>38</v>
      </c>
      <c r="H397" t="s">
        <v>38</v>
      </c>
      <c r="I397" t="s">
        <v>38</v>
      </c>
      <c r="J397">
        <v>66</v>
      </c>
      <c r="K397">
        <v>96</v>
      </c>
      <c r="L397">
        <v>602</v>
      </c>
      <c r="M397" s="38">
        <v>5498</v>
      </c>
      <c r="N397" s="38">
        <v>1307</v>
      </c>
      <c r="O397" s="38">
        <f t="shared" si="414"/>
        <v>820</v>
      </c>
      <c r="P397" s="38">
        <v>297</v>
      </c>
      <c r="Q397" s="38">
        <v>18</v>
      </c>
      <c r="R397" s="38">
        <v>172</v>
      </c>
      <c r="S397" s="38">
        <v>439</v>
      </c>
      <c r="T397" s="38">
        <v>67</v>
      </c>
      <c r="U397" s="38">
        <f t="shared" si="415"/>
        <v>3685</v>
      </c>
      <c r="V397">
        <v>1230</v>
      </c>
      <c r="W397">
        <v>63</v>
      </c>
      <c r="X397">
        <v>32</v>
      </c>
      <c r="Y397">
        <v>30</v>
      </c>
      <c r="Z397">
        <v>689</v>
      </c>
      <c r="AA397">
        <v>643</v>
      </c>
      <c r="AB397">
        <v>4</v>
      </c>
      <c r="AC397">
        <v>3</v>
      </c>
      <c r="AD397">
        <v>6</v>
      </c>
      <c r="AE397">
        <v>39</v>
      </c>
      <c r="AF397" s="45">
        <f t="shared" ca="1" si="402"/>
        <v>6228</v>
      </c>
      <c r="AG397" s="45">
        <f t="shared" ca="1" si="416"/>
        <v>1447</v>
      </c>
      <c r="AH397" s="45">
        <f t="shared" ca="1" si="417"/>
        <v>877</v>
      </c>
      <c r="AI397" s="45">
        <f t="shared" ca="1" si="418"/>
        <v>342</v>
      </c>
      <c r="AJ397" s="45">
        <f t="shared" ca="1" si="419"/>
        <v>31</v>
      </c>
      <c r="AK397" s="45">
        <f t="shared" ca="1" si="420"/>
        <v>197</v>
      </c>
      <c r="AL397" s="45">
        <f t="shared" ca="1" si="421"/>
        <v>402</v>
      </c>
      <c r="AM397" s="45">
        <f t="shared" ca="1" si="422"/>
        <v>90</v>
      </c>
      <c r="AN397" s="45">
        <f t="shared" ca="1" si="423"/>
        <v>4289</v>
      </c>
      <c r="AO397">
        <v>4344</v>
      </c>
      <c r="AP397">
        <v>1332</v>
      </c>
      <c r="AQ397">
        <v>160</v>
      </c>
      <c r="AR397">
        <v>540</v>
      </c>
      <c r="AS397">
        <v>1184</v>
      </c>
      <c r="AT397">
        <v>100</v>
      </c>
      <c r="AU397">
        <v>129</v>
      </c>
      <c r="AV397">
        <v>0.98299999999999998</v>
      </c>
      <c r="AW397" s="1"/>
      <c r="AX397" s="1"/>
      <c r="AY397" s="47">
        <f t="shared" si="424"/>
        <v>29700</v>
      </c>
      <c r="AZ397" s="49">
        <f t="shared" si="425"/>
        <v>166070</v>
      </c>
      <c r="BA397" s="49">
        <f t="shared" ref="BA397" si="436">SUMIF($B$2:$B$571,$B397,$R$2:$R$571)</f>
        <v>4661</v>
      </c>
      <c r="BB397" s="48">
        <f t="shared" si="427"/>
        <v>2.8066477991208528E-2</v>
      </c>
    </row>
    <row r="398" spans="2:54" x14ac:dyDescent="0.2">
      <c r="B398" s="3">
        <v>2013</v>
      </c>
      <c r="C398" t="s">
        <v>52</v>
      </c>
      <c r="D398" t="s">
        <v>53</v>
      </c>
      <c r="E398">
        <v>3</v>
      </c>
      <c r="F398" t="s">
        <v>38</v>
      </c>
      <c r="G398" t="s">
        <v>43</v>
      </c>
      <c r="H398" t="s">
        <v>38</v>
      </c>
      <c r="I398" t="s">
        <v>38</v>
      </c>
      <c r="J398">
        <v>90</v>
      </c>
      <c r="K398">
        <v>72</v>
      </c>
      <c r="L398">
        <v>698</v>
      </c>
      <c r="M398" s="38">
        <v>5499</v>
      </c>
      <c r="N398" s="38">
        <v>1370</v>
      </c>
      <c r="O398" s="38">
        <f t="shared" si="414"/>
        <v>921</v>
      </c>
      <c r="P398" s="38">
        <v>274</v>
      </c>
      <c r="Q398" s="38">
        <v>20</v>
      </c>
      <c r="R398" s="38">
        <v>155</v>
      </c>
      <c r="S398" s="38">
        <v>585</v>
      </c>
      <c r="T398" s="38">
        <v>76</v>
      </c>
      <c r="U398" s="38">
        <f t="shared" si="415"/>
        <v>3468</v>
      </c>
      <c r="V398">
        <v>1245</v>
      </c>
      <c r="W398">
        <v>67</v>
      </c>
      <c r="X398">
        <v>35</v>
      </c>
      <c r="Y398">
        <v>46</v>
      </c>
      <c r="Z398">
        <v>589</v>
      </c>
      <c r="AA398">
        <v>554</v>
      </c>
      <c r="AB398">
        <v>3.38</v>
      </c>
      <c r="AC398">
        <v>5</v>
      </c>
      <c r="AD398">
        <v>17</v>
      </c>
      <c r="AE398">
        <v>43</v>
      </c>
      <c r="AF398" s="45">
        <f t="shared" ca="1" si="402"/>
        <v>6138</v>
      </c>
      <c r="AG398" s="45">
        <f t="shared" ca="1" si="416"/>
        <v>1405</v>
      </c>
      <c r="AH398" s="45">
        <f t="shared" ca="1" si="417"/>
        <v>837</v>
      </c>
      <c r="AI398" s="45">
        <f t="shared" ca="1" si="418"/>
        <v>337</v>
      </c>
      <c r="AJ398" s="45">
        <f t="shared" ca="1" si="419"/>
        <v>46</v>
      </c>
      <c r="AK398" s="45">
        <f t="shared" ca="1" si="420"/>
        <v>185</v>
      </c>
      <c r="AL398" s="45">
        <f t="shared" ca="1" si="421"/>
        <v>640</v>
      </c>
      <c r="AM398" s="45">
        <f t="shared" ca="1" si="422"/>
        <v>40</v>
      </c>
      <c r="AN398" s="45">
        <f t="shared" ca="1" si="423"/>
        <v>4053</v>
      </c>
      <c r="AO398">
        <v>4421</v>
      </c>
      <c r="AP398">
        <v>1294</v>
      </c>
      <c r="AQ398">
        <v>170</v>
      </c>
      <c r="AR398">
        <v>435</v>
      </c>
      <c r="AS398">
        <v>1296</v>
      </c>
      <c r="AT398">
        <v>76</v>
      </c>
      <c r="AU398">
        <v>131</v>
      </c>
      <c r="AV398">
        <v>0.98799999999999999</v>
      </c>
      <c r="AW398" s="1"/>
      <c r="AX398" s="1"/>
      <c r="AY398" s="47">
        <f t="shared" si="424"/>
        <v>29700</v>
      </c>
      <c r="AZ398" s="49">
        <f t="shared" si="425"/>
        <v>166070</v>
      </c>
      <c r="BA398" s="49">
        <f t="shared" ref="BA398" si="437">SUMIF($B$2:$B$571,$B398,$S$2:$S$571)</f>
        <v>14640</v>
      </c>
      <c r="BB398" s="48">
        <f t="shared" si="427"/>
        <v>8.8155597037393868E-2</v>
      </c>
    </row>
    <row r="399" spans="2:54" x14ac:dyDescent="0.2">
      <c r="B399" s="3">
        <v>2013</v>
      </c>
      <c r="C399" t="s">
        <v>54</v>
      </c>
      <c r="D399" t="s">
        <v>55</v>
      </c>
      <c r="E399">
        <v>2</v>
      </c>
      <c r="F399" t="s">
        <v>38</v>
      </c>
      <c r="G399" t="s">
        <v>43</v>
      </c>
      <c r="H399" t="s">
        <v>38</v>
      </c>
      <c r="I399" t="s">
        <v>38</v>
      </c>
      <c r="J399">
        <v>92</v>
      </c>
      <c r="K399">
        <v>70</v>
      </c>
      <c r="L399">
        <v>745</v>
      </c>
      <c r="M399" s="38">
        <v>5465</v>
      </c>
      <c r="N399" s="38">
        <v>1391</v>
      </c>
      <c r="O399" s="38">
        <f t="shared" si="414"/>
        <v>907</v>
      </c>
      <c r="P399" s="38">
        <v>290</v>
      </c>
      <c r="Q399" s="38">
        <v>23</v>
      </c>
      <c r="R399" s="38">
        <v>171</v>
      </c>
      <c r="S399" s="38">
        <v>562</v>
      </c>
      <c r="T399" s="38">
        <v>51</v>
      </c>
      <c r="U399" s="38">
        <f t="shared" si="415"/>
        <v>3461</v>
      </c>
      <c r="V399">
        <v>1283</v>
      </c>
      <c r="W399">
        <v>117</v>
      </c>
      <c r="X399">
        <v>36</v>
      </c>
      <c r="Y399">
        <v>56</v>
      </c>
      <c r="Z399">
        <v>662</v>
      </c>
      <c r="AA399">
        <v>611</v>
      </c>
      <c r="AB399">
        <v>3.82</v>
      </c>
      <c r="AC399">
        <v>3</v>
      </c>
      <c r="AD399">
        <v>16</v>
      </c>
      <c r="AE399">
        <v>38</v>
      </c>
      <c r="AF399" s="45">
        <f t="shared" ca="1" si="402"/>
        <v>6480</v>
      </c>
      <c r="AG399" s="45">
        <f t="shared" ca="1" si="416"/>
        <v>1419</v>
      </c>
      <c r="AH399" s="45">
        <f t="shared" ca="1" si="417"/>
        <v>928</v>
      </c>
      <c r="AI399" s="45">
        <f t="shared" ca="1" si="418"/>
        <v>222</v>
      </c>
      <c r="AJ399" s="45">
        <f t="shared" ca="1" si="419"/>
        <v>49</v>
      </c>
      <c r="AK399" s="45">
        <f t="shared" ca="1" si="420"/>
        <v>220</v>
      </c>
      <c r="AL399" s="45">
        <f t="shared" ca="1" si="421"/>
        <v>625</v>
      </c>
      <c r="AM399" s="45">
        <f t="shared" ca="1" si="422"/>
        <v>61</v>
      </c>
      <c r="AN399" s="45">
        <f t="shared" ca="1" si="423"/>
        <v>4375</v>
      </c>
      <c r="AO399">
        <v>4324</v>
      </c>
      <c r="AP399">
        <v>1359</v>
      </c>
      <c r="AQ399">
        <v>147</v>
      </c>
      <c r="AR399">
        <v>554</v>
      </c>
      <c r="AS399">
        <v>1379</v>
      </c>
      <c r="AT399">
        <v>98</v>
      </c>
      <c r="AU399">
        <v>135</v>
      </c>
      <c r="AV399">
        <v>0.98299999999999998</v>
      </c>
      <c r="AW399" s="1"/>
      <c r="AX399" s="1"/>
      <c r="AY399" s="47">
        <f t="shared" si="424"/>
        <v>29700</v>
      </c>
      <c r="AZ399" s="49">
        <f t="shared" si="425"/>
        <v>166070</v>
      </c>
      <c r="BA399" s="49">
        <f t="shared" ref="BA399" si="438">SUMIF($B$2:$B$571,$B399,$T$2:$T$571)</f>
        <v>1536</v>
      </c>
      <c r="BB399" s="48">
        <f t="shared" si="427"/>
        <v>9.2491118203167338E-3</v>
      </c>
    </row>
    <row r="400" spans="2:54" x14ac:dyDescent="0.2">
      <c r="B400" s="3">
        <v>2013</v>
      </c>
      <c r="C400" t="s">
        <v>56</v>
      </c>
      <c r="D400" t="s">
        <v>57</v>
      </c>
      <c r="E400">
        <v>5</v>
      </c>
      <c r="F400" t="s">
        <v>38</v>
      </c>
      <c r="G400" t="s">
        <v>38</v>
      </c>
      <c r="H400" t="s">
        <v>38</v>
      </c>
      <c r="I400" t="s">
        <v>38</v>
      </c>
      <c r="J400">
        <v>74</v>
      </c>
      <c r="K400">
        <v>88</v>
      </c>
      <c r="L400">
        <v>706</v>
      </c>
      <c r="M400" s="38">
        <v>5599</v>
      </c>
      <c r="N400" s="38">
        <v>1511</v>
      </c>
      <c r="O400" s="38">
        <f t="shared" si="414"/>
        <v>1033</v>
      </c>
      <c r="P400" s="38">
        <v>283</v>
      </c>
      <c r="Q400" s="38">
        <v>36</v>
      </c>
      <c r="R400" s="38">
        <v>159</v>
      </c>
      <c r="S400" s="38">
        <v>427</v>
      </c>
      <c r="T400" s="38">
        <v>26</v>
      </c>
      <c r="U400" s="38">
        <f t="shared" si="415"/>
        <v>3635</v>
      </c>
      <c r="V400">
        <v>1204</v>
      </c>
      <c r="W400">
        <v>112</v>
      </c>
      <c r="X400">
        <v>32</v>
      </c>
      <c r="Y400">
        <v>35</v>
      </c>
      <c r="Z400">
        <v>760</v>
      </c>
      <c r="AA400">
        <v>708</v>
      </c>
      <c r="AB400">
        <v>4.4400000000000004</v>
      </c>
      <c r="AC400">
        <v>1</v>
      </c>
      <c r="AD400">
        <v>5</v>
      </c>
      <c r="AE400">
        <v>35</v>
      </c>
      <c r="AF400" s="45">
        <f t="shared" ca="1" si="402"/>
        <v>6183</v>
      </c>
      <c r="AG400" s="45">
        <f t="shared" ca="1" si="416"/>
        <v>1418</v>
      </c>
      <c r="AH400" s="45">
        <f t="shared" ca="1" si="417"/>
        <v>978</v>
      </c>
      <c r="AI400" s="45">
        <f t="shared" ca="1" si="418"/>
        <v>226</v>
      </c>
      <c r="AJ400" s="45">
        <f t="shared" ca="1" si="419"/>
        <v>33</v>
      </c>
      <c r="AK400" s="45">
        <f t="shared" ca="1" si="420"/>
        <v>181</v>
      </c>
      <c r="AL400" s="45">
        <f t="shared" ca="1" si="421"/>
        <v>400</v>
      </c>
      <c r="AM400" s="45">
        <f t="shared" ca="1" si="422"/>
        <v>57</v>
      </c>
      <c r="AN400" s="45">
        <f t="shared" ca="1" si="423"/>
        <v>4308</v>
      </c>
      <c r="AO400">
        <v>4308</v>
      </c>
      <c r="AP400">
        <v>1545</v>
      </c>
      <c r="AQ400">
        <v>136</v>
      </c>
      <c r="AR400">
        <v>517</v>
      </c>
      <c r="AS400">
        <v>1064</v>
      </c>
      <c r="AT400">
        <v>90</v>
      </c>
      <c r="AU400">
        <v>162</v>
      </c>
      <c r="AV400">
        <v>0.98599999999999999</v>
      </c>
      <c r="AW400" s="1"/>
      <c r="AX400" s="1"/>
      <c r="AY400" s="47">
        <f t="shared" si="424"/>
        <v>29700</v>
      </c>
      <c r="AZ400" s="49">
        <f t="shared" si="425"/>
        <v>166070</v>
      </c>
      <c r="BA400" s="49">
        <f t="shared" ref="BA400" si="439">SUMIF($B$2:$B$571,$B400,$U$2:$U$571)</f>
        <v>107801</v>
      </c>
      <c r="BB400" s="48">
        <f t="shared" si="427"/>
        <v>0.64912988498825797</v>
      </c>
    </row>
    <row r="401" spans="2:54" x14ac:dyDescent="0.2">
      <c r="B401" s="3">
        <v>2013</v>
      </c>
      <c r="C401" t="s">
        <v>58</v>
      </c>
      <c r="D401" t="s">
        <v>59</v>
      </c>
      <c r="E401">
        <v>1</v>
      </c>
      <c r="F401" t="s">
        <v>43</v>
      </c>
      <c r="G401" t="s">
        <v>38</v>
      </c>
      <c r="H401" t="s">
        <v>38</v>
      </c>
      <c r="I401" t="s">
        <v>38</v>
      </c>
      <c r="J401">
        <v>93</v>
      </c>
      <c r="K401">
        <v>69</v>
      </c>
      <c r="L401">
        <v>796</v>
      </c>
      <c r="M401" s="38">
        <v>5735</v>
      </c>
      <c r="N401" s="38">
        <v>1625</v>
      </c>
      <c r="O401" s="38">
        <f t="shared" si="414"/>
        <v>1134</v>
      </c>
      <c r="P401" s="38">
        <v>292</v>
      </c>
      <c r="Q401" s="38">
        <v>23</v>
      </c>
      <c r="R401" s="38">
        <v>176</v>
      </c>
      <c r="S401" s="38">
        <v>531</v>
      </c>
      <c r="T401" s="38">
        <v>43</v>
      </c>
      <c r="U401" s="38">
        <f t="shared" si="415"/>
        <v>3536</v>
      </c>
      <c r="V401">
        <v>1073</v>
      </c>
      <c r="W401">
        <v>35</v>
      </c>
      <c r="X401">
        <v>20</v>
      </c>
      <c r="Y401">
        <v>47</v>
      </c>
      <c r="Z401">
        <v>624</v>
      </c>
      <c r="AA401">
        <v>587</v>
      </c>
      <c r="AB401">
        <v>3.61</v>
      </c>
      <c r="AC401">
        <v>3</v>
      </c>
      <c r="AD401">
        <v>12</v>
      </c>
      <c r="AE401">
        <v>39</v>
      </c>
      <c r="AF401" s="45">
        <f t="shared" ca="1" si="402"/>
        <v>6069</v>
      </c>
      <c r="AG401" s="45">
        <f t="shared" ca="1" si="416"/>
        <v>1677</v>
      </c>
      <c r="AH401" s="45">
        <f t="shared" ca="1" si="417"/>
        <v>1220</v>
      </c>
      <c r="AI401" s="45">
        <f t="shared" ca="1" si="418"/>
        <v>223</v>
      </c>
      <c r="AJ401" s="45">
        <f t="shared" ca="1" si="419"/>
        <v>49</v>
      </c>
      <c r="AK401" s="45">
        <f t="shared" ca="1" si="420"/>
        <v>185</v>
      </c>
      <c r="AL401" s="45">
        <f t="shared" ca="1" si="421"/>
        <v>559</v>
      </c>
      <c r="AM401" s="45">
        <f t="shared" ca="1" si="422"/>
        <v>33</v>
      </c>
      <c r="AN401" s="45">
        <f t="shared" ca="1" si="423"/>
        <v>3800</v>
      </c>
      <c r="AO401">
        <v>4388</v>
      </c>
      <c r="AP401">
        <v>1369</v>
      </c>
      <c r="AQ401">
        <v>128</v>
      </c>
      <c r="AR401">
        <v>462</v>
      </c>
      <c r="AS401">
        <v>1428</v>
      </c>
      <c r="AT401">
        <v>76</v>
      </c>
      <c r="AU401">
        <v>136</v>
      </c>
      <c r="AV401">
        <v>0.98699999999999999</v>
      </c>
      <c r="AW401" s="1"/>
      <c r="AX401" s="1"/>
      <c r="AY401" s="47">
        <f t="shared" si="424"/>
        <v>29700</v>
      </c>
      <c r="AZ401" s="49">
        <f t="shared" si="425"/>
        <v>166070</v>
      </c>
      <c r="BA401" s="49"/>
      <c r="BB401" s="48">
        <f t="shared" si="427"/>
        <v>0</v>
      </c>
    </row>
    <row r="402" spans="2:54" x14ac:dyDescent="0.2">
      <c r="B402" s="3">
        <v>2013</v>
      </c>
      <c r="C402" t="s">
        <v>62</v>
      </c>
      <c r="D402" t="s">
        <v>63</v>
      </c>
      <c r="E402">
        <v>5</v>
      </c>
      <c r="F402" t="s">
        <v>38</v>
      </c>
      <c r="G402" t="s">
        <v>38</v>
      </c>
      <c r="H402" t="s">
        <v>38</v>
      </c>
      <c r="I402" t="s">
        <v>38</v>
      </c>
      <c r="J402">
        <v>51</v>
      </c>
      <c r="K402">
        <v>111</v>
      </c>
      <c r="L402">
        <v>610</v>
      </c>
      <c r="M402" s="38">
        <v>5457</v>
      </c>
      <c r="N402" s="38">
        <v>1307</v>
      </c>
      <c r="O402" s="38">
        <f t="shared" si="414"/>
        <v>877</v>
      </c>
      <c r="P402" s="38">
        <v>266</v>
      </c>
      <c r="Q402" s="38">
        <v>16</v>
      </c>
      <c r="R402" s="38">
        <v>148</v>
      </c>
      <c r="S402" s="38">
        <v>426</v>
      </c>
      <c r="T402" s="38">
        <v>52</v>
      </c>
      <c r="U402" s="38">
        <f t="shared" si="415"/>
        <v>3672</v>
      </c>
      <c r="V402">
        <v>1535</v>
      </c>
      <c r="W402">
        <v>110</v>
      </c>
      <c r="X402">
        <v>61</v>
      </c>
      <c r="Y402">
        <v>38</v>
      </c>
      <c r="Z402">
        <v>848</v>
      </c>
      <c r="AA402">
        <v>766</v>
      </c>
      <c r="AB402">
        <v>4.79</v>
      </c>
      <c r="AC402">
        <v>2</v>
      </c>
      <c r="AD402">
        <v>5</v>
      </c>
      <c r="AE402">
        <v>32</v>
      </c>
      <c r="AF402" s="45">
        <f t="shared" ca="1" si="402"/>
        <v>6082</v>
      </c>
      <c r="AG402" s="45">
        <f t="shared" ca="1" si="416"/>
        <v>1630</v>
      </c>
      <c r="AH402" s="45">
        <f t="shared" ca="1" si="417"/>
        <v>1105</v>
      </c>
      <c r="AI402" s="45">
        <f t="shared" ca="1" si="418"/>
        <v>311</v>
      </c>
      <c r="AJ402" s="45">
        <f t="shared" ca="1" si="419"/>
        <v>25</v>
      </c>
      <c r="AK402" s="45">
        <f t="shared" ca="1" si="420"/>
        <v>189</v>
      </c>
      <c r="AL402" s="45">
        <f t="shared" ca="1" si="421"/>
        <v>700</v>
      </c>
      <c r="AM402" s="45">
        <f t="shared" ca="1" si="422"/>
        <v>32</v>
      </c>
      <c r="AN402" s="45">
        <f t="shared" ca="1" si="423"/>
        <v>3720</v>
      </c>
      <c r="AO402">
        <v>4320</v>
      </c>
      <c r="AP402">
        <v>1530</v>
      </c>
      <c r="AQ402">
        <v>191</v>
      </c>
      <c r="AR402">
        <v>616</v>
      </c>
      <c r="AS402">
        <v>1084</v>
      </c>
      <c r="AT402">
        <v>125</v>
      </c>
      <c r="AU402">
        <v>168</v>
      </c>
      <c r="AV402">
        <v>0.97899999999999998</v>
      </c>
      <c r="AW402" s="1"/>
      <c r="AX402" s="1"/>
      <c r="AY402" s="47">
        <f t="shared" si="424"/>
        <v>29700</v>
      </c>
      <c r="AZ402" s="49">
        <f t="shared" si="425"/>
        <v>166070</v>
      </c>
      <c r="BA402" s="49">
        <f t="shared" ref="BA402" si="440">SUMIF($B$2:$B$571,$B402,$O$2:$O$571)</f>
        <v>28438</v>
      </c>
      <c r="BB402" s="48">
        <f t="shared" si="427"/>
        <v>0.17124104293370265</v>
      </c>
    </row>
    <row r="403" spans="2:54" x14ac:dyDescent="0.2">
      <c r="B403" s="3">
        <v>2013</v>
      </c>
      <c r="C403" t="s">
        <v>64</v>
      </c>
      <c r="D403" t="s">
        <v>65</v>
      </c>
      <c r="E403">
        <v>3</v>
      </c>
      <c r="F403" t="s">
        <v>38</v>
      </c>
      <c r="G403" t="s">
        <v>38</v>
      </c>
      <c r="H403" t="s">
        <v>38</v>
      </c>
      <c r="I403" t="s">
        <v>38</v>
      </c>
      <c r="J403">
        <v>86</v>
      </c>
      <c r="K403">
        <v>76</v>
      </c>
      <c r="L403">
        <v>648</v>
      </c>
      <c r="M403" s="38">
        <v>5549</v>
      </c>
      <c r="N403" s="38">
        <v>1443</v>
      </c>
      <c r="O403" s="38">
        <f t="shared" si="414"/>
        <v>1043</v>
      </c>
      <c r="P403" s="38">
        <v>254</v>
      </c>
      <c r="Q403" s="38">
        <v>34</v>
      </c>
      <c r="R403" s="38">
        <v>112</v>
      </c>
      <c r="S403" s="38">
        <v>422</v>
      </c>
      <c r="T403" s="38">
        <v>42</v>
      </c>
      <c r="U403" s="38">
        <f t="shared" si="415"/>
        <v>3642</v>
      </c>
      <c r="V403">
        <v>1048</v>
      </c>
      <c r="W403">
        <v>153</v>
      </c>
      <c r="X403">
        <v>32</v>
      </c>
      <c r="Y403">
        <v>42</v>
      </c>
      <c r="Z403">
        <v>601</v>
      </c>
      <c r="AA403">
        <v>555</v>
      </c>
      <c r="AB403">
        <v>3.45</v>
      </c>
      <c r="AC403">
        <v>5</v>
      </c>
      <c r="AD403">
        <v>12</v>
      </c>
      <c r="AE403">
        <v>52</v>
      </c>
      <c r="AF403" s="45">
        <f t="shared" ca="1" si="402"/>
        <v>6469</v>
      </c>
      <c r="AG403" s="45">
        <f t="shared" ca="1" si="416"/>
        <v>1439</v>
      </c>
      <c r="AH403" s="45">
        <f t="shared" ca="1" si="417"/>
        <v>819</v>
      </c>
      <c r="AI403" s="45">
        <f t="shared" ca="1" si="418"/>
        <v>371</v>
      </c>
      <c r="AJ403" s="45">
        <f t="shared" ca="1" si="419"/>
        <v>47</v>
      </c>
      <c r="AK403" s="45">
        <f t="shared" ca="1" si="420"/>
        <v>202</v>
      </c>
      <c r="AL403" s="45">
        <f t="shared" ca="1" si="421"/>
        <v>515</v>
      </c>
      <c r="AM403" s="45">
        <f t="shared" ca="1" si="422"/>
        <v>62</v>
      </c>
      <c r="AN403" s="45">
        <f t="shared" ca="1" si="423"/>
        <v>4453</v>
      </c>
      <c r="AO403">
        <v>4345</v>
      </c>
      <c r="AP403">
        <v>1366</v>
      </c>
      <c r="AQ403">
        <v>155</v>
      </c>
      <c r="AR403">
        <v>469</v>
      </c>
      <c r="AS403">
        <v>1208</v>
      </c>
      <c r="AT403">
        <v>85</v>
      </c>
      <c r="AU403">
        <v>136</v>
      </c>
      <c r="AV403">
        <v>0.98599999999999999</v>
      </c>
      <c r="AW403" s="1"/>
      <c r="AX403" s="1"/>
      <c r="AY403" s="47">
        <f t="shared" si="424"/>
        <v>29700</v>
      </c>
      <c r="AZ403" s="49">
        <f t="shared" si="425"/>
        <v>166070</v>
      </c>
      <c r="BA403" s="49">
        <f t="shared" ref="BA403" si="441">SUMIF($B$2:$B$571,$B403,$P$2:$P$571)</f>
        <v>8222</v>
      </c>
      <c r="BB403" s="48">
        <f t="shared" si="427"/>
        <v>4.9509243090263139E-2</v>
      </c>
    </row>
    <row r="404" spans="2:54" x14ac:dyDescent="0.2">
      <c r="B404" s="3">
        <v>2013</v>
      </c>
      <c r="C404" t="s">
        <v>98</v>
      </c>
      <c r="D404" t="s">
        <v>99</v>
      </c>
      <c r="E404">
        <v>3</v>
      </c>
      <c r="F404" t="s">
        <v>38</v>
      </c>
      <c r="G404" t="s">
        <v>38</v>
      </c>
      <c r="H404" t="s">
        <v>38</v>
      </c>
      <c r="I404" t="s">
        <v>38</v>
      </c>
      <c r="J404">
        <v>78</v>
      </c>
      <c r="K404">
        <v>84</v>
      </c>
      <c r="L404">
        <v>733</v>
      </c>
      <c r="M404" s="38">
        <v>5588</v>
      </c>
      <c r="N404" s="38">
        <v>1476</v>
      </c>
      <c r="O404" s="38">
        <f t="shared" si="414"/>
        <v>1003</v>
      </c>
      <c r="P404" s="38">
        <v>270</v>
      </c>
      <c r="Q404" s="38">
        <v>39</v>
      </c>
      <c r="R404" s="38">
        <v>164</v>
      </c>
      <c r="S404" s="38">
        <v>523</v>
      </c>
      <c r="T404" s="38">
        <v>48</v>
      </c>
      <c r="U404" s="38">
        <f t="shared" si="415"/>
        <v>3541</v>
      </c>
      <c r="V404">
        <v>1221</v>
      </c>
      <c r="W404">
        <v>82</v>
      </c>
      <c r="X404">
        <v>34</v>
      </c>
      <c r="Y404">
        <v>64</v>
      </c>
      <c r="Z404">
        <v>737</v>
      </c>
      <c r="AA404">
        <v>685</v>
      </c>
      <c r="AB404">
        <v>4.2300000000000004</v>
      </c>
      <c r="AC404">
        <v>4</v>
      </c>
      <c r="AD404">
        <v>12</v>
      </c>
      <c r="AE404">
        <v>41</v>
      </c>
      <c r="AF404" s="45">
        <f t="shared" ca="1" si="402"/>
        <v>6311</v>
      </c>
      <c r="AG404" s="45">
        <f t="shared" ca="1" si="416"/>
        <v>1341</v>
      </c>
      <c r="AH404" s="45">
        <f t="shared" ca="1" si="417"/>
        <v>796</v>
      </c>
      <c r="AI404" s="45">
        <f t="shared" ca="1" si="418"/>
        <v>311</v>
      </c>
      <c r="AJ404" s="45">
        <f t="shared" ca="1" si="419"/>
        <v>38</v>
      </c>
      <c r="AK404" s="45">
        <f t="shared" ca="1" si="420"/>
        <v>196</v>
      </c>
      <c r="AL404" s="45">
        <f t="shared" ca="1" si="421"/>
        <v>660</v>
      </c>
      <c r="AM404" s="45">
        <f t="shared" ca="1" si="422"/>
        <v>70</v>
      </c>
      <c r="AN404" s="45">
        <f t="shared" ca="1" si="423"/>
        <v>4240</v>
      </c>
      <c r="AO404">
        <v>4373</v>
      </c>
      <c r="AP404">
        <v>1475</v>
      </c>
      <c r="AQ404">
        <v>167</v>
      </c>
      <c r="AR404">
        <v>533</v>
      </c>
      <c r="AS404">
        <v>1200</v>
      </c>
      <c r="AT404">
        <v>112</v>
      </c>
      <c r="AU404">
        <v>135</v>
      </c>
      <c r="AV404">
        <v>0.98099999999999998</v>
      </c>
      <c r="AW404" s="1"/>
      <c r="AX404" s="1"/>
      <c r="AY404" s="47">
        <f t="shared" si="424"/>
        <v>29700</v>
      </c>
      <c r="AZ404" s="49">
        <f t="shared" si="425"/>
        <v>166070</v>
      </c>
      <c r="BA404" s="49">
        <f t="shared" ref="BA404" si="442">SUMIF($B$2:$B$571,$B404,$Q$2:$Q$571)</f>
        <v>772</v>
      </c>
      <c r="BB404" s="48">
        <f t="shared" si="427"/>
        <v>4.6486421388571087E-3</v>
      </c>
    </row>
    <row r="405" spans="2:54" x14ac:dyDescent="0.2">
      <c r="B405" s="3">
        <v>2013</v>
      </c>
      <c r="C405" t="s">
        <v>66</v>
      </c>
      <c r="D405" t="s">
        <v>67</v>
      </c>
      <c r="E405">
        <v>1</v>
      </c>
      <c r="F405" t="s">
        <v>43</v>
      </c>
      <c r="G405" t="s">
        <v>38</v>
      </c>
      <c r="H405" t="s">
        <v>38</v>
      </c>
      <c r="I405" t="s">
        <v>38</v>
      </c>
      <c r="J405">
        <v>92</v>
      </c>
      <c r="K405">
        <v>70</v>
      </c>
      <c r="L405">
        <v>649</v>
      </c>
      <c r="M405" s="38">
        <v>5491</v>
      </c>
      <c r="N405" s="38">
        <v>1447</v>
      </c>
      <c r="O405" s="38">
        <f t="shared" si="414"/>
        <v>1011</v>
      </c>
      <c r="P405" s="38">
        <v>281</v>
      </c>
      <c r="Q405" s="38">
        <v>17</v>
      </c>
      <c r="R405" s="38">
        <v>138</v>
      </c>
      <c r="S405" s="38">
        <v>476</v>
      </c>
      <c r="T405" s="38">
        <v>57</v>
      </c>
      <c r="U405" s="38">
        <f t="shared" si="415"/>
        <v>3511</v>
      </c>
      <c r="V405">
        <v>1146</v>
      </c>
      <c r="W405">
        <v>78</v>
      </c>
      <c r="X405">
        <v>28</v>
      </c>
      <c r="Y405">
        <v>48</v>
      </c>
      <c r="Z405">
        <v>582</v>
      </c>
      <c r="AA405">
        <v>524</v>
      </c>
      <c r="AB405">
        <v>3.25</v>
      </c>
      <c r="AC405">
        <v>7</v>
      </c>
      <c r="AD405">
        <v>22</v>
      </c>
      <c r="AE405">
        <v>46</v>
      </c>
      <c r="AF405" s="45">
        <f t="shared" ca="1" si="402"/>
        <v>6362</v>
      </c>
      <c r="AG405" s="45">
        <f t="shared" ca="1" si="416"/>
        <v>1314</v>
      </c>
      <c r="AH405" s="45">
        <f t="shared" ca="1" si="417"/>
        <v>810</v>
      </c>
      <c r="AI405" s="45">
        <f t="shared" ca="1" si="418"/>
        <v>298</v>
      </c>
      <c r="AJ405" s="45">
        <f t="shared" ca="1" si="419"/>
        <v>24</v>
      </c>
      <c r="AK405" s="45">
        <f t="shared" ca="1" si="420"/>
        <v>182</v>
      </c>
      <c r="AL405" s="45">
        <f t="shared" ca="1" si="421"/>
        <v>645</v>
      </c>
      <c r="AM405" s="45">
        <f t="shared" ca="1" si="422"/>
        <v>45</v>
      </c>
      <c r="AN405" s="45">
        <f t="shared" ca="1" si="423"/>
        <v>4358</v>
      </c>
      <c r="AO405">
        <v>4351</v>
      </c>
      <c r="AP405">
        <v>1321</v>
      </c>
      <c r="AQ405">
        <v>127</v>
      </c>
      <c r="AR405">
        <v>460</v>
      </c>
      <c r="AS405">
        <v>1292</v>
      </c>
      <c r="AT405">
        <v>109</v>
      </c>
      <c r="AU405">
        <v>160</v>
      </c>
      <c r="AV405">
        <v>0.98199999999999998</v>
      </c>
      <c r="AW405" s="1"/>
      <c r="AX405" s="1"/>
      <c r="AY405" s="47">
        <f t="shared" si="424"/>
        <v>29700</v>
      </c>
      <c r="AZ405" s="49">
        <f t="shared" si="425"/>
        <v>166070</v>
      </c>
      <c r="BA405" s="49">
        <f t="shared" ref="BA405" si="443">SUMIF($B$2:$B$571,$B405,$R$2:$R$571)</f>
        <v>4661</v>
      </c>
      <c r="BB405" s="48">
        <f t="shared" si="427"/>
        <v>2.8066477991208528E-2</v>
      </c>
    </row>
    <row r="406" spans="2:54" x14ac:dyDescent="0.2">
      <c r="B406" s="3">
        <v>2013</v>
      </c>
      <c r="C406" t="s">
        <v>103</v>
      </c>
      <c r="D406" t="s">
        <v>104</v>
      </c>
      <c r="E406">
        <v>5</v>
      </c>
      <c r="F406" t="s">
        <v>38</v>
      </c>
      <c r="G406" t="s">
        <v>38</v>
      </c>
      <c r="H406" t="s">
        <v>38</v>
      </c>
      <c r="I406" t="s">
        <v>38</v>
      </c>
      <c r="J406">
        <v>62</v>
      </c>
      <c r="K406">
        <v>100</v>
      </c>
      <c r="L406">
        <v>513</v>
      </c>
      <c r="M406" s="38">
        <v>5449</v>
      </c>
      <c r="N406" s="38">
        <v>1257</v>
      </c>
      <c r="O406" s="38">
        <f t="shared" si="414"/>
        <v>912</v>
      </c>
      <c r="P406" s="38">
        <v>219</v>
      </c>
      <c r="Q406" s="38">
        <v>31</v>
      </c>
      <c r="R406" s="38">
        <v>95</v>
      </c>
      <c r="S406" s="38">
        <v>432</v>
      </c>
      <c r="T406" s="38">
        <v>56</v>
      </c>
      <c r="U406" s="38">
        <f t="shared" si="415"/>
        <v>3704</v>
      </c>
      <c r="V406">
        <v>1232</v>
      </c>
      <c r="W406">
        <v>78</v>
      </c>
      <c r="X406">
        <v>29</v>
      </c>
      <c r="Y406">
        <v>26</v>
      </c>
      <c r="Z406">
        <v>646</v>
      </c>
      <c r="AA406">
        <v>602</v>
      </c>
      <c r="AB406">
        <v>3.71</v>
      </c>
      <c r="AC406">
        <v>2</v>
      </c>
      <c r="AD406">
        <v>13</v>
      </c>
      <c r="AE406">
        <v>36</v>
      </c>
      <c r="AF406" s="45">
        <f t="shared" ca="1" si="402"/>
        <v>6226</v>
      </c>
      <c r="AG406" s="45">
        <f t="shared" ca="1" si="416"/>
        <v>1445</v>
      </c>
      <c r="AH406" s="45">
        <f t="shared" ca="1" si="417"/>
        <v>951</v>
      </c>
      <c r="AI406" s="45">
        <f t="shared" ca="1" si="418"/>
        <v>296</v>
      </c>
      <c r="AJ406" s="45">
        <f t="shared" ca="1" si="419"/>
        <v>39</v>
      </c>
      <c r="AK406" s="45">
        <f t="shared" ca="1" si="420"/>
        <v>159</v>
      </c>
      <c r="AL406" s="45">
        <f t="shared" ca="1" si="421"/>
        <v>623</v>
      </c>
      <c r="AM406" s="45">
        <f t="shared" ca="1" si="422"/>
        <v>56</v>
      </c>
      <c r="AN406" s="45">
        <f t="shared" ca="1" si="423"/>
        <v>4102</v>
      </c>
      <c r="AO406">
        <v>4380</v>
      </c>
      <c r="AP406">
        <v>1376</v>
      </c>
      <c r="AQ406">
        <v>121</v>
      </c>
      <c r="AR406">
        <v>526</v>
      </c>
      <c r="AS406">
        <v>1177</v>
      </c>
      <c r="AT406">
        <v>88</v>
      </c>
      <c r="AU406">
        <v>144</v>
      </c>
      <c r="AV406">
        <v>0.98599999999999999</v>
      </c>
      <c r="AW406" s="1"/>
      <c r="AX406" s="1"/>
      <c r="AY406" s="47">
        <f t="shared" si="424"/>
        <v>29700</v>
      </c>
      <c r="AZ406" s="49">
        <f t="shared" si="425"/>
        <v>166070</v>
      </c>
      <c r="BA406" s="49">
        <f t="shared" ref="BA406" si="444">SUMIF($B$2:$B$571,$B406,$S$2:$S$571)</f>
        <v>14640</v>
      </c>
      <c r="BB406" s="48">
        <f t="shared" si="427"/>
        <v>8.8155597037393868E-2</v>
      </c>
    </row>
    <row r="407" spans="2:54" x14ac:dyDescent="0.2">
      <c r="B407" s="3">
        <v>2013</v>
      </c>
      <c r="C407" t="s">
        <v>68</v>
      </c>
      <c r="D407" t="s">
        <v>69</v>
      </c>
      <c r="E407">
        <v>4</v>
      </c>
      <c r="F407" t="s">
        <v>38</v>
      </c>
      <c r="G407" t="s">
        <v>38</v>
      </c>
      <c r="H407" t="s">
        <v>38</v>
      </c>
      <c r="I407" t="s">
        <v>38</v>
      </c>
      <c r="J407">
        <v>74</v>
      </c>
      <c r="K407">
        <v>88</v>
      </c>
      <c r="L407">
        <v>640</v>
      </c>
      <c r="M407" s="38">
        <v>5474</v>
      </c>
      <c r="N407" s="38">
        <v>1381</v>
      </c>
      <c r="O407" s="38">
        <f t="shared" si="414"/>
        <v>943</v>
      </c>
      <c r="P407" s="38">
        <v>238</v>
      </c>
      <c r="Q407" s="38">
        <v>43</v>
      </c>
      <c r="R407" s="38">
        <v>157</v>
      </c>
      <c r="S407" s="38">
        <v>407</v>
      </c>
      <c r="T407" s="38">
        <v>71</v>
      </c>
      <c r="U407" s="38">
        <f t="shared" si="415"/>
        <v>3615</v>
      </c>
      <c r="V407">
        <v>1183</v>
      </c>
      <c r="W407">
        <v>142</v>
      </c>
      <c r="X407">
        <v>50</v>
      </c>
      <c r="Y407">
        <v>35</v>
      </c>
      <c r="Z407">
        <v>687</v>
      </c>
      <c r="AA407">
        <v>615</v>
      </c>
      <c r="AB407">
        <v>3.84</v>
      </c>
      <c r="AC407">
        <v>4</v>
      </c>
      <c r="AD407">
        <v>15</v>
      </c>
      <c r="AE407">
        <v>40</v>
      </c>
      <c r="AF407" s="45">
        <f t="shared" ca="1" si="402"/>
        <v>6467</v>
      </c>
      <c r="AG407" s="45">
        <f t="shared" ca="1" si="416"/>
        <v>1632</v>
      </c>
      <c r="AH407" s="45">
        <f t="shared" ca="1" si="417"/>
        <v>1185</v>
      </c>
      <c r="AI407" s="45">
        <f t="shared" ca="1" si="418"/>
        <v>240</v>
      </c>
      <c r="AJ407" s="45">
        <f t="shared" ca="1" si="419"/>
        <v>38</v>
      </c>
      <c r="AK407" s="45">
        <f t="shared" ca="1" si="420"/>
        <v>169</v>
      </c>
      <c r="AL407" s="45">
        <f t="shared" ca="1" si="421"/>
        <v>552</v>
      </c>
      <c r="AM407" s="45">
        <f t="shared" ca="1" si="422"/>
        <v>31</v>
      </c>
      <c r="AN407" s="45">
        <f t="shared" ca="1" si="423"/>
        <v>4252</v>
      </c>
      <c r="AO407">
        <v>4328</v>
      </c>
      <c r="AP407">
        <v>1401</v>
      </c>
      <c r="AQ407">
        <v>175</v>
      </c>
      <c r="AR407">
        <v>466</v>
      </c>
      <c r="AS407">
        <v>1125</v>
      </c>
      <c r="AT407">
        <v>114</v>
      </c>
      <c r="AU407">
        <v>153</v>
      </c>
      <c r="AV407">
        <v>0.98099999999999998</v>
      </c>
      <c r="AW407" s="1"/>
      <c r="AX407" s="1"/>
      <c r="AY407" s="47">
        <f t="shared" si="424"/>
        <v>29700</v>
      </c>
      <c r="AZ407" s="49">
        <f t="shared" si="425"/>
        <v>166070</v>
      </c>
      <c r="BA407" s="49">
        <f t="shared" ref="BA407" si="445">SUMIF($B$2:$B$571,$B407,$T$2:$T$571)</f>
        <v>1536</v>
      </c>
      <c r="BB407" s="48">
        <f t="shared" si="427"/>
        <v>9.2491118203167338E-3</v>
      </c>
    </row>
    <row r="408" spans="2:54" x14ac:dyDescent="0.2">
      <c r="B408" s="3">
        <v>2013</v>
      </c>
      <c r="C408" t="s">
        <v>70</v>
      </c>
      <c r="D408" t="s">
        <v>71</v>
      </c>
      <c r="E408">
        <v>4</v>
      </c>
      <c r="F408" t="s">
        <v>38</v>
      </c>
      <c r="G408" t="s">
        <v>38</v>
      </c>
      <c r="H408" t="s">
        <v>38</v>
      </c>
      <c r="I408" t="s">
        <v>38</v>
      </c>
      <c r="J408">
        <v>66</v>
      </c>
      <c r="K408">
        <v>96</v>
      </c>
      <c r="L408">
        <v>614</v>
      </c>
      <c r="M408" s="38">
        <v>5564</v>
      </c>
      <c r="N408" s="38">
        <v>1346</v>
      </c>
      <c r="O408" s="38">
        <f t="shared" si="414"/>
        <v>895</v>
      </c>
      <c r="P408" s="38">
        <v>285</v>
      </c>
      <c r="Q408" s="38">
        <v>15</v>
      </c>
      <c r="R408" s="38">
        <v>151</v>
      </c>
      <c r="S408" s="38">
        <v>533</v>
      </c>
      <c r="T408" s="38">
        <v>52</v>
      </c>
      <c r="U408" s="38">
        <f t="shared" si="415"/>
        <v>3633</v>
      </c>
      <c r="V408">
        <v>1430</v>
      </c>
      <c r="W408">
        <v>52</v>
      </c>
      <c r="X408">
        <v>33</v>
      </c>
      <c r="Y408">
        <v>32</v>
      </c>
      <c r="Z408">
        <v>788</v>
      </c>
      <c r="AA408">
        <v>733</v>
      </c>
      <c r="AB408">
        <v>4.55</v>
      </c>
      <c r="AC408">
        <v>1</v>
      </c>
      <c r="AD408">
        <v>7</v>
      </c>
      <c r="AE408">
        <v>40</v>
      </c>
      <c r="AF408" s="45">
        <f t="shared" ca="1" si="402"/>
        <v>6293</v>
      </c>
      <c r="AG408" s="45">
        <f t="shared" ca="1" si="416"/>
        <v>1416</v>
      </c>
      <c r="AH408" s="45">
        <f t="shared" ca="1" si="417"/>
        <v>869</v>
      </c>
      <c r="AI408" s="45">
        <f t="shared" ca="1" si="418"/>
        <v>346</v>
      </c>
      <c r="AJ408" s="45">
        <f t="shared" ca="1" si="419"/>
        <v>26</v>
      </c>
      <c r="AK408" s="45">
        <f t="shared" ca="1" si="420"/>
        <v>175</v>
      </c>
      <c r="AL408" s="45">
        <f t="shared" ca="1" si="421"/>
        <v>553</v>
      </c>
      <c r="AM408" s="45">
        <f t="shared" ca="1" si="422"/>
        <v>89</v>
      </c>
      <c r="AN408" s="45">
        <f t="shared" ca="1" si="423"/>
        <v>4235</v>
      </c>
      <c r="AO408">
        <v>4351</v>
      </c>
      <c r="AP408">
        <v>1591</v>
      </c>
      <c r="AQ408">
        <v>168</v>
      </c>
      <c r="AR408">
        <v>458</v>
      </c>
      <c r="AS408">
        <v>985</v>
      </c>
      <c r="AT408">
        <v>81</v>
      </c>
      <c r="AU408">
        <v>178</v>
      </c>
      <c r="AV408">
        <v>0.98699999999999999</v>
      </c>
      <c r="AW408" s="1"/>
      <c r="AX408" s="1"/>
      <c r="AY408" s="47">
        <f t="shared" si="424"/>
        <v>29700</v>
      </c>
      <c r="AZ408" s="49">
        <f t="shared" si="425"/>
        <v>166070</v>
      </c>
      <c r="BA408" s="49">
        <f t="shared" ref="BA408" si="446">SUMIF($B$2:$B$571,$B408,$U$2:$U$571)</f>
        <v>107801</v>
      </c>
      <c r="BB408" s="48">
        <f t="shared" si="427"/>
        <v>0.64912988498825797</v>
      </c>
    </row>
    <row r="409" spans="2:54" x14ac:dyDescent="0.2">
      <c r="B409" s="3">
        <v>2013</v>
      </c>
      <c r="C409" t="s">
        <v>74</v>
      </c>
      <c r="D409" t="s">
        <v>75</v>
      </c>
      <c r="E409">
        <v>4</v>
      </c>
      <c r="F409" t="s">
        <v>38</v>
      </c>
      <c r="G409" t="s">
        <v>38</v>
      </c>
      <c r="H409" t="s">
        <v>38</v>
      </c>
      <c r="I409" t="s">
        <v>38</v>
      </c>
      <c r="J409">
        <v>85</v>
      </c>
      <c r="K409">
        <v>77</v>
      </c>
      <c r="L409">
        <v>650</v>
      </c>
      <c r="M409" s="38">
        <v>5449</v>
      </c>
      <c r="N409" s="38">
        <v>1321</v>
      </c>
      <c r="O409" s="38">
        <f t="shared" si="414"/>
        <v>906</v>
      </c>
      <c r="P409" s="38">
        <v>247</v>
      </c>
      <c r="Q409" s="38">
        <v>24</v>
      </c>
      <c r="R409" s="38">
        <v>144</v>
      </c>
      <c r="S409" s="38">
        <v>466</v>
      </c>
      <c r="T409" s="38">
        <v>57</v>
      </c>
      <c r="U409" s="38">
        <f t="shared" si="415"/>
        <v>3605</v>
      </c>
      <c r="V409">
        <v>1214</v>
      </c>
      <c r="W409">
        <v>115</v>
      </c>
      <c r="X409">
        <v>31</v>
      </c>
      <c r="Y409">
        <v>36</v>
      </c>
      <c r="Z409">
        <v>671</v>
      </c>
      <c r="AA409">
        <v>633</v>
      </c>
      <c r="AB409">
        <v>3.94</v>
      </c>
      <c r="AC409">
        <v>7</v>
      </c>
      <c r="AD409">
        <v>10</v>
      </c>
      <c r="AE409">
        <v>49</v>
      </c>
      <c r="AF409" s="45">
        <f t="shared" ca="1" si="402"/>
        <v>6326</v>
      </c>
      <c r="AG409" s="45">
        <f t="shared" ca="1" si="416"/>
        <v>1322</v>
      </c>
      <c r="AH409" s="45">
        <f t="shared" ca="1" si="417"/>
        <v>863</v>
      </c>
      <c r="AI409" s="45">
        <f t="shared" ca="1" si="418"/>
        <v>290</v>
      </c>
      <c r="AJ409" s="45">
        <f t="shared" ca="1" si="419"/>
        <v>22</v>
      </c>
      <c r="AK409" s="45">
        <f t="shared" ca="1" si="420"/>
        <v>147</v>
      </c>
      <c r="AL409" s="45">
        <f t="shared" ca="1" si="421"/>
        <v>587</v>
      </c>
      <c r="AM409" s="45">
        <f t="shared" ca="1" si="422"/>
        <v>40</v>
      </c>
      <c r="AN409" s="45">
        <f t="shared" ca="1" si="423"/>
        <v>4377</v>
      </c>
      <c r="AO409">
        <v>4342</v>
      </c>
      <c r="AP409">
        <v>1452</v>
      </c>
      <c r="AQ409">
        <v>171</v>
      </c>
      <c r="AR409">
        <v>437</v>
      </c>
      <c r="AS409">
        <v>1233</v>
      </c>
      <c r="AT409">
        <v>69</v>
      </c>
      <c r="AU409">
        <v>139</v>
      </c>
      <c r="AV409">
        <v>0.98799999999999999</v>
      </c>
      <c r="AW409" s="1"/>
      <c r="AX409" s="1"/>
      <c r="AY409" s="47">
        <f t="shared" si="424"/>
        <v>29700</v>
      </c>
      <c r="AZ409" s="49">
        <f t="shared" si="425"/>
        <v>166070</v>
      </c>
      <c r="BA409" s="49"/>
      <c r="BB409" s="48">
        <f t="shared" si="427"/>
        <v>0</v>
      </c>
    </row>
    <row r="410" spans="2:54" x14ac:dyDescent="0.2">
      <c r="B410" s="3">
        <v>2013</v>
      </c>
      <c r="C410" t="s">
        <v>76</v>
      </c>
      <c r="D410" t="s">
        <v>77</v>
      </c>
      <c r="E410">
        <v>4</v>
      </c>
      <c r="F410" t="s">
        <v>38</v>
      </c>
      <c r="G410" t="s">
        <v>38</v>
      </c>
      <c r="H410" t="s">
        <v>38</v>
      </c>
      <c r="I410" t="s">
        <v>38</v>
      </c>
      <c r="J410">
        <v>74</v>
      </c>
      <c r="K410">
        <v>88</v>
      </c>
      <c r="L410">
        <v>619</v>
      </c>
      <c r="M410" s="38">
        <v>5559</v>
      </c>
      <c r="N410" s="38">
        <v>1318</v>
      </c>
      <c r="O410" s="38">
        <f t="shared" si="414"/>
        <v>893</v>
      </c>
      <c r="P410" s="38">
        <v>263</v>
      </c>
      <c r="Q410" s="38">
        <v>32</v>
      </c>
      <c r="R410" s="38">
        <v>130</v>
      </c>
      <c r="S410" s="38">
        <v>512</v>
      </c>
      <c r="T410" s="38">
        <v>51</v>
      </c>
      <c r="U410" s="38">
        <f t="shared" si="415"/>
        <v>3678</v>
      </c>
      <c r="V410">
        <v>1384</v>
      </c>
      <c r="W410">
        <v>114</v>
      </c>
      <c r="X410">
        <v>35</v>
      </c>
      <c r="Y410">
        <v>32</v>
      </c>
      <c r="Z410">
        <v>684</v>
      </c>
      <c r="AA410">
        <v>618</v>
      </c>
      <c r="AB410">
        <v>3.77</v>
      </c>
      <c r="AC410">
        <v>4</v>
      </c>
      <c r="AD410">
        <v>10</v>
      </c>
      <c r="AE410">
        <v>40</v>
      </c>
      <c r="AF410" s="45">
        <f t="shared" ca="1" si="402"/>
        <v>6058</v>
      </c>
      <c r="AG410" s="45">
        <f t="shared" ca="1" si="416"/>
        <v>1331</v>
      </c>
      <c r="AH410" s="45">
        <f t="shared" ca="1" si="417"/>
        <v>904</v>
      </c>
      <c r="AI410" s="45">
        <f t="shared" ca="1" si="418"/>
        <v>268</v>
      </c>
      <c r="AJ410" s="45">
        <f t="shared" ca="1" si="419"/>
        <v>23</v>
      </c>
      <c r="AK410" s="45">
        <f t="shared" ca="1" si="420"/>
        <v>136</v>
      </c>
      <c r="AL410" s="45">
        <f t="shared" ca="1" si="421"/>
        <v>651</v>
      </c>
      <c r="AM410" s="45">
        <f t="shared" ca="1" si="422"/>
        <v>63</v>
      </c>
      <c r="AN410" s="45">
        <f t="shared" ca="1" si="423"/>
        <v>4013</v>
      </c>
      <c r="AO410">
        <v>4430</v>
      </c>
      <c r="AP410">
        <v>1442</v>
      </c>
      <c r="AQ410">
        <v>152</v>
      </c>
      <c r="AR410">
        <v>458</v>
      </c>
      <c r="AS410">
        <v>1209</v>
      </c>
      <c r="AT410">
        <v>93</v>
      </c>
      <c r="AU410">
        <v>127</v>
      </c>
      <c r="AV410">
        <v>0.98499999999999999</v>
      </c>
      <c r="AW410" s="1"/>
      <c r="AX410" s="1"/>
      <c r="AY410" s="47">
        <f t="shared" si="424"/>
        <v>29700</v>
      </c>
      <c r="AZ410" s="49">
        <f t="shared" si="425"/>
        <v>166070</v>
      </c>
      <c r="BA410" s="49">
        <f t="shared" ref="BA410" si="447">SUMIF($B$2:$B$571,$B410,$O$2:$O$571)</f>
        <v>28438</v>
      </c>
      <c r="BB410" s="48">
        <f t="shared" si="427"/>
        <v>0.17124104293370265</v>
      </c>
    </row>
    <row r="411" spans="2:54" x14ac:dyDescent="0.2">
      <c r="B411" s="3">
        <v>2013</v>
      </c>
      <c r="C411" t="s">
        <v>78</v>
      </c>
      <c r="D411" t="s">
        <v>79</v>
      </c>
      <c r="E411">
        <v>1</v>
      </c>
      <c r="F411" t="s">
        <v>43</v>
      </c>
      <c r="G411" t="s">
        <v>38</v>
      </c>
      <c r="H411" t="s">
        <v>38</v>
      </c>
      <c r="I411" t="s">
        <v>38</v>
      </c>
      <c r="J411">
        <v>96</v>
      </c>
      <c r="K411">
        <v>66</v>
      </c>
      <c r="L411">
        <v>767</v>
      </c>
      <c r="M411" s="38">
        <v>5521</v>
      </c>
      <c r="N411" s="38">
        <v>1403</v>
      </c>
      <c r="O411" s="38">
        <f t="shared" si="414"/>
        <v>891</v>
      </c>
      <c r="P411" s="38">
        <v>301</v>
      </c>
      <c r="Q411" s="38">
        <v>25</v>
      </c>
      <c r="R411" s="38">
        <v>186</v>
      </c>
      <c r="S411" s="38">
        <v>573</v>
      </c>
      <c r="T411" s="38">
        <v>45</v>
      </c>
      <c r="U411" s="38">
        <f t="shared" si="415"/>
        <v>3500</v>
      </c>
      <c r="V411">
        <v>1178</v>
      </c>
      <c r="W411">
        <v>74</v>
      </c>
      <c r="X411">
        <v>28</v>
      </c>
      <c r="Y411">
        <v>49</v>
      </c>
      <c r="Z411">
        <v>625</v>
      </c>
      <c r="AA411">
        <v>574</v>
      </c>
      <c r="AB411">
        <v>3.56</v>
      </c>
      <c r="AC411">
        <v>6</v>
      </c>
      <c r="AD411">
        <v>13</v>
      </c>
      <c r="AE411">
        <v>46</v>
      </c>
      <c r="AF411" s="45">
        <f t="shared" ca="1" si="402"/>
        <v>6082</v>
      </c>
      <c r="AG411" s="45">
        <f t="shared" ca="1" si="416"/>
        <v>1305</v>
      </c>
      <c r="AH411" s="45">
        <f t="shared" ca="1" si="417"/>
        <v>719</v>
      </c>
      <c r="AI411" s="45">
        <f t="shared" ca="1" si="418"/>
        <v>327</v>
      </c>
      <c r="AJ411" s="45">
        <f t="shared" ca="1" si="419"/>
        <v>37</v>
      </c>
      <c r="AK411" s="45">
        <f t="shared" ca="1" si="420"/>
        <v>222</v>
      </c>
      <c r="AL411" s="45">
        <f t="shared" ca="1" si="421"/>
        <v>599</v>
      </c>
      <c r="AM411" s="45">
        <f t="shared" ca="1" si="422"/>
        <v>81</v>
      </c>
      <c r="AN411" s="45">
        <f t="shared" ca="1" si="423"/>
        <v>4097</v>
      </c>
      <c r="AO411">
        <v>4356</v>
      </c>
      <c r="AP411">
        <v>1339</v>
      </c>
      <c r="AQ411">
        <v>163</v>
      </c>
      <c r="AR411">
        <v>428</v>
      </c>
      <c r="AS411">
        <v>1183</v>
      </c>
      <c r="AT411">
        <v>97</v>
      </c>
      <c r="AU411">
        <v>112</v>
      </c>
      <c r="AV411">
        <v>0.98299999999999998</v>
      </c>
      <c r="AW411" s="1"/>
      <c r="AX411" s="1"/>
      <c r="AY411" s="47">
        <f t="shared" si="424"/>
        <v>29700</v>
      </c>
      <c r="AZ411" s="49">
        <f t="shared" si="425"/>
        <v>166070</v>
      </c>
      <c r="BA411" s="49">
        <f t="shared" ref="BA411" si="448">SUMIF($B$2:$B$571,$B411,$P$2:$P$571)</f>
        <v>8222</v>
      </c>
      <c r="BB411" s="48">
        <f t="shared" si="427"/>
        <v>4.9509243090263139E-2</v>
      </c>
    </row>
    <row r="412" spans="2:54" x14ac:dyDescent="0.2">
      <c r="B412" s="3">
        <v>2013</v>
      </c>
      <c r="C412" t="s">
        <v>80</v>
      </c>
      <c r="D412" t="s">
        <v>81</v>
      </c>
      <c r="E412">
        <v>4</v>
      </c>
      <c r="F412" t="s">
        <v>38</v>
      </c>
      <c r="G412" t="s">
        <v>38</v>
      </c>
      <c r="H412" t="s">
        <v>38</v>
      </c>
      <c r="I412" t="s">
        <v>38</v>
      </c>
      <c r="J412">
        <v>73</v>
      </c>
      <c r="K412">
        <v>89</v>
      </c>
      <c r="L412">
        <v>610</v>
      </c>
      <c r="M412" s="38">
        <v>5456</v>
      </c>
      <c r="N412" s="38">
        <v>1355</v>
      </c>
      <c r="O412" s="38">
        <f t="shared" si="414"/>
        <v>928</v>
      </c>
      <c r="P412" s="38">
        <v>255</v>
      </c>
      <c r="Q412" s="38">
        <v>32</v>
      </c>
      <c r="R412" s="38">
        <v>140</v>
      </c>
      <c r="S412" s="38">
        <v>417</v>
      </c>
      <c r="T412" s="38">
        <v>53</v>
      </c>
      <c r="U412" s="38">
        <f t="shared" si="415"/>
        <v>3631</v>
      </c>
      <c r="V412">
        <v>1205</v>
      </c>
      <c r="W412">
        <v>73</v>
      </c>
      <c r="X412">
        <v>29</v>
      </c>
      <c r="Y412">
        <v>31</v>
      </c>
      <c r="Z412">
        <v>749</v>
      </c>
      <c r="AA412">
        <v>689</v>
      </c>
      <c r="AB412">
        <v>4.32</v>
      </c>
      <c r="AC412">
        <v>6</v>
      </c>
      <c r="AD412">
        <v>3</v>
      </c>
      <c r="AE412">
        <v>32</v>
      </c>
      <c r="AF412" s="45">
        <f t="shared" ca="1" si="402"/>
        <v>6406</v>
      </c>
      <c r="AG412" s="45">
        <f t="shared" ca="1" si="416"/>
        <v>1626</v>
      </c>
      <c r="AH412" s="45">
        <f t="shared" ca="1" si="417"/>
        <v>1103</v>
      </c>
      <c r="AI412" s="45">
        <f t="shared" ca="1" si="418"/>
        <v>316</v>
      </c>
      <c r="AJ412" s="45">
        <f t="shared" ca="1" si="419"/>
        <v>23</v>
      </c>
      <c r="AK412" s="45">
        <f t="shared" ca="1" si="420"/>
        <v>184</v>
      </c>
      <c r="AL412" s="45">
        <f t="shared" ca="1" si="421"/>
        <v>616</v>
      </c>
      <c r="AM412" s="45">
        <f t="shared" ca="1" si="422"/>
        <v>65</v>
      </c>
      <c r="AN412" s="45">
        <f t="shared" ca="1" si="423"/>
        <v>4099</v>
      </c>
      <c r="AO412">
        <v>4309</v>
      </c>
      <c r="AP412">
        <v>1465</v>
      </c>
      <c r="AQ412">
        <v>152</v>
      </c>
      <c r="AR412">
        <v>506</v>
      </c>
      <c r="AS412">
        <v>1199</v>
      </c>
      <c r="AT412">
        <v>97</v>
      </c>
      <c r="AU412">
        <v>141</v>
      </c>
      <c r="AV412">
        <v>0.98399999999999999</v>
      </c>
      <c r="AW412" s="1"/>
      <c r="AX412" s="1"/>
      <c r="AY412" s="47">
        <f t="shared" si="424"/>
        <v>29700</v>
      </c>
      <c r="AZ412" s="49">
        <f t="shared" si="425"/>
        <v>166070</v>
      </c>
      <c r="BA412" s="49">
        <f t="shared" ref="BA412" si="449">SUMIF($B$2:$B$571,$B412,$Q$2:$Q$571)</f>
        <v>772</v>
      </c>
      <c r="BB412" s="48">
        <f t="shared" si="427"/>
        <v>4.6486421388571087E-3</v>
      </c>
    </row>
    <row r="413" spans="2:54" x14ac:dyDescent="0.2">
      <c r="B413" s="3">
        <v>2013</v>
      </c>
      <c r="C413" t="s">
        <v>82</v>
      </c>
      <c r="D413" t="s">
        <v>83</v>
      </c>
      <c r="E413">
        <v>2</v>
      </c>
      <c r="F413" t="s">
        <v>38</v>
      </c>
      <c r="G413" t="s">
        <v>43</v>
      </c>
      <c r="H413" t="s">
        <v>38</v>
      </c>
      <c r="I413" t="s">
        <v>38</v>
      </c>
      <c r="J413">
        <v>94</v>
      </c>
      <c r="K413">
        <v>68</v>
      </c>
      <c r="L413">
        <v>634</v>
      </c>
      <c r="M413" s="38">
        <v>5486</v>
      </c>
      <c r="N413" s="38">
        <v>1346</v>
      </c>
      <c r="O413" s="38">
        <f t="shared" si="414"/>
        <v>877</v>
      </c>
      <c r="P413" s="38">
        <v>273</v>
      </c>
      <c r="Q413" s="38">
        <v>35</v>
      </c>
      <c r="R413" s="38">
        <v>161</v>
      </c>
      <c r="S413" s="38">
        <v>469</v>
      </c>
      <c r="T413" s="38">
        <v>88</v>
      </c>
      <c r="U413" s="38">
        <f t="shared" si="415"/>
        <v>3583</v>
      </c>
      <c r="V413">
        <v>1330</v>
      </c>
      <c r="W413">
        <v>94</v>
      </c>
      <c r="X413">
        <v>42</v>
      </c>
      <c r="Y413">
        <v>29</v>
      </c>
      <c r="Z413">
        <v>577</v>
      </c>
      <c r="AA413">
        <v>533</v>
      </c>
      <c r="AB413">
        <v>3.26</v>
      </c>
      <c r="AC413">
        <v>3</v>
      </c>
      <c r="AD413">
        <v>16</v>
      </c>
      <c r="AE413">
        <v>55</v>
      </c>
      <c r="AF413" s="45">
        <f t="shared" ca="1" si="402"/>
        <v>6102</v>
      </c>
      <c r="AG413" s="45">
        <f t="shared" ca="1" si="416"/>
        <v>1313</v>
      </c>
      <c r="AH413" s="45">
        <f t="shared" ca="1" si="417"/>
        <v>828</v>
      </c>
      <c r="AI413" s="45">
        <f t="shared" ca="1" si="418"/>
        <v>319</v>
      </c>
      <c r="AJ413" s="45">
        <f t="shared" ca="1" si="419"/>
        <v>28</v>
      </c>
      <c r="AK413" s="45">
        <f t="shared" ca="1" si="420"/>
        <v>138</v>
      </c>
      <c r="AL413" s="45">
        <f t="shared" ca="1" si="421"/>
        <v>619</v>
      </c>
      <c r="AM413" s="45">
        <f t="shared" ca="1" si="422"/>
        <v>59</v>
      </c>
      <c r="AN413" s="45">
        <f t="shared" ca="1" si="423"/>
        <v>4111</v>
      </c>
      <c r="AO413">
        <v>4412</v>
      </c>
      <c r="AP413">
        <v>1299</v>
      </c>
      <c r="AQ413">
        <v>101</v>
      </c>
      <c r="AR413">
        <v>515</v>
      </c>
      <c r="AS413">
        <v>1261</v>
      </c>
      <c r="AT413">
        <v>106</v>
      </c>
      <c r="AU413">
        <v>154</v>
      </c>
      <c r="AV413">
        <v>0.98399999999999999</v>
      </c>
      <c r="AW413" s="1"/>
      <c r="AX413" s="1"/>
      <c r="AY413" s="47">
        <f t="shared" si="424"/>
        <v>29700</v>
      </c>
      <c r="AZ413" s="49">
        <f t="shared" si="425"/>
        <v>166070</v>
      </c>
      <c r="BA413" s="49">
        <f t="shared" ref="BA413" si="450">SUMIF($B$2:$B$571,$B413,$R$2:$R$571)</f>
        <v>4661</v>
      </c>
      <c r="BB413" s="48">
        <f t="shared" si="427"/>
        <v>2.8066477991208528E-2</v>
      </c>
    </row>
    <row r="414" spans="2:54" x14ac:dyDescent="0.2">
      <c r="B414" s="3">
        <v>2013</v>
      </c>
      <c r="C414" t="s">
        <v>84</v>
      </c>
      <c r="D414" t="s">
        <v>85</v>
      </c>
      <c r="E414">
        <v>3</v>
      </c>
      <c r="F414" t="s">
        <v>38</v>
      </c>
      <c r="G414" t="s">
        <v>38</v>
      </c>
      <c r="H414" t="s">
        <v>38</v>
      </c>
      <c r="I414" t="s">
        <v>38</v>
      </c>
      <c r="J414">
        <v>76</v>
      </c>
      <c r="K414">
        <v>86</v>
      </c>
      <c r="L414">
        <v>618</v>
      </c>
      <c r="M414" s="38">
        <v>5517</v>
      </c>
      <c r="N414" s="38">
        <v>1349</v>
      </c>
      <c r="O414" s="38">
        <f t="shared" si="414"/>
        <v>931</v>
      </c>
      <c r="P414" s="38">
        <v>246</v>
      </c>
      <c r="Q414" s="38">
        <v>26</v>
      </c>
      <c r="R414" s="38">
        <v>146</v>
      </c>
      <c r="S414" s="38">
        <v>467</v>
      </c>
      <c r="T414" s="38">
        <v>52</v>
      </c>
      <c r="U414" s="38">
        <f t="shared" si="415"/>
        <v>3649</v>
      </c>
      <c r="V414">
        <v>1309</v>
      </c>
      <c r="W414">
        <v>118</v>
      </c>
      <c r="X414">
        <v>34</v>
      </c>
      <c r="Y414">
        <v>34</v>
      </c>
      <c r="Z414">
        <v>700</v>
      </c>
      <c r="AA414">
        <v>643</v>
      </c>
      <c r="AB414">
        <v>3.98</v>
      </c>
      <c r="AC414">
        <v>3</v>
      </c>
      <c r="AD414">
        <v>6</v>
      </c>
      <c r="AE414">
        <v>40</v>
      </c>
      <c r="AF414" s="45">
        <f t="shared" ca="1" si="402"/>
        <v>6252</v>
      </c>
      <c r="AG414" s="45">
        <f t="shared" ca="1" si="416"/>
        <v>1412</v>
      </c>
      <c r="AH414" s="45">
        <f t="shared" ca="1" si="417"/>
        <v>979</v>
      </c>
      <c r="AI414" s="45">
        <f t="shared" ca="1" si="418"/>
        <v>228</v>
      </c>
      <c r="AJ414" s="45">
        <f t="shared" ca="1" si="419"/>
        <v>33</v>
      </c>
      <c r="AK414" s="45">
        <f t="shared" ca="1" si="420"/>
        <v>172</v>
      </c>
      <c r="AL414" s="45">
        <f t="shared" ca="1" si="421"/>
        <v>553</v>
      </c>
      <c r="AM414" s="45">
        <f t="shared" ca="1" si="422"/>
        <v>85</v>
      </c>
      <c r="AN414" s="45">
        <f t="shared" ca="1" si="423"/>
        <v>4202</v>
      </c>
      <c r="AO414">
        <v>4365</v>
      </c>
      <c r="AP414">
        <v>1407</v>
      </c>
      <c r="AQ414">
        <v>156</v>
      </c>
      <c r="AR414">
        <v>525</v>
      </c>
      <c r="AS414">
        <v>1171</v>
      </c>
      <c r="AT414">
        <v>83</v>
      </c>
      <c r="AU414">
        <v>140</v>
      </c>
      <c r="AV414">
        <v>0.98599999999999999</v>
      </c>
      <c r="AW414" s="1"/>
      <c r="AX414" s="1"/>
      <c r="AY414" s="47">
        <f t="shared" si="424"/>
        <v>29700</v>
      </c>
      <c r="AZ414" s="49">
        <f t="shared" si="425"/>
        <v>166070</v>
      </c>
      <c r="BA414" s="49">
        <f t="shared" ref="BA414" si="451">SUMIF($B$2:$B$571,$B414,$S$2:$S$571)</f>
        <v>14640</v>
      </c>
      <c r="BB414" s="48">
        <f t="shared" si="427"/>
        <v>8.8155597037393868E-2</v>
      </c>
    </row>
    <row r="415" spans="2:54" x14ac:dyDescent="0.2">
      <c r="B415" s="3">
        <v>2013</v>
      </c>
      <c r="C415" t="s">
        <v>86</v>
      </c>
      <c r="D415" t="s">
        <v>87</v>
      </c>
      <c r="E415">
        <v>4</v>
      </c>
      <c r="F415" t="s">
        <v>38</v>
      </c>
      <c r="G415" t="s">
        <v>38</v>
      </c>
      <c r="H415" t="s">
        <v>38</v>
      </c>
      <c r="I415" t="s">
        <v>38</v>
      </c>
      <c r="J415">
        <v>71</v>
      </c>
      <c r="K415">
        <v>91</v>
      </c>
      <c r="L415">
        <v>624</v>
      </c>
      <c r="M415" s="38">
        <v>5558</v>
      </c>
      <c r="N415" s="38">
        <v>1318</v>
      </c>
      <c r="O415" s="38">
        <f t="shared" si="414"/>
        <v>864</v>
      </c>
      <c r="P415" s="38">
        <v>249</v>
      </c>
      <c r="Q415" s="38">
        <v>17</v>
      </c>
      <c r="R415" s="38">
        <v>188</v>
      </c>
      <c r="S415" s="38">
        <v>529</v>
      </c>
      <c r="T415" s="38">
        <v>31</v>
      </c>
      <c r="U415" s="38">
        <f t="shared" si="415"/>
        <v>3680</v>
      </c>
      <c r="V415">
        <v>1353</v>
      </c>
      <c r="W415">
        <v>49</v>
      </c>
      <c r="X415">
        <v>23</v>
      </c>
      <c r="Y415">
        <v>28</v>
      </c>
      <c r="Z415">
        <v>754</v>
      </c>
      <c r="AA415">
        <v>702</v>
      </c>
      <c r="AB415">
        <v>4.3099999999999996</v>
      </c>
      <c r="AC415">
        <v>4</v>
      </c>
      <c r="AD415">
        <v>14</v>
      </c>
      <c r="AE415">
        <v>43</v>
      </c>
      <c r="AF415" s="45">
        <f t="shared" ca="1" si="402"/>
        <v>6261</v>
      </c>
      <c r="AG415" s="45">
        <f t="shared" ca="1" si="416"/>
        <v>1327</v>
      </c>
      <c r="AH415" s="45">
        <f t="shared" ca="1" si="417"/>
        <v>833</v>
      </c>
      <c r="AI415" s="45">
        <f t="shared" ca="1" si="418"/>
        <v>274</v>
      </c>
      <c r="AJ415" s="45">
        <f t="shared" ca="1" si="419"/>
        <v>32</v>
      </c>
      <c r="AK415" s="45">
        <f t="shared" ca="1" si="420"/>
        <v>188</v>
      </c>
      <c r="AL415" s="45">
        <f t="shared" ca="1" si="421"/>
        <v>415</v>
      </c>
      <c r="AM415" s="45">
        <f t="shared" ca="1" si="422"/>
        <v>30</v>
      </c>
      <c r="AN415" s="45">
        <f t="shared" ca="1" si="423"/>
        <v>4489</v>
      </c>
      <c r="AO415">
        <v>4395</v>
      </c>
      <c r="AP415">
        <v>1467</v>
      </c>
      <c r="AQ415">
        <v>174</v>
      </c>
      <c r="AR415">
        <v>478</v>
      </c>
      <c r="AS415">
        <v>1297</v>
      </c>
      <c r="AT415">
        <v>88</v>
      </c>
      <c r="AU415">
        <v>149</v>
      </c>
      <c r="AV415">
        <v>0.98599999999999999</v>
      </c>
      <c r="AW415" s="1"/>
      <c r="AX415" s="1"/>
      <c r="AY415" s="47">
        <f t="shared" si="424"/>
        <v>29700</v>
      </c>
      <c r="AZ415" s="49">
        <f t="shared" si="425"/>
        <v>166070</v>
      </c>
      <c r="BA415" s="49">
        <f t="shared" ref="BA415" si="452">SUMIF($B$2:$B$571,$B415,$T$2:$T$571)</f>
        <v>1536</v>
      </c>
      <c r="BB415" s="48">
        <f t="shared" si="427"/>
        <v>9.2491118203167338E-3</v>
      </c>
    </row>
    <row r="416" spans="2:54" x14ac:dyDescent="0.2">
      <c r="B416" s="3">
        <v>2013</v>
      </c>
      <c r="C416" t="s">
        <v>88</v>
      </c>
      <c r="D416" t="s">
        <v>89</v>
      </c>
      <c r="E416">
        <v>4</v>
      </c>
      <c r="F416" t="s">
        <v>38</v>
      </c>
      <c r="G416" t="s">
        <v>38</v>
      </c>
      <c r="H416" t="s">
        <v>38</v>
      </c>
      <c r="I416" t="s">
        <v>38</v>
      </c>
      <c r="J416">
        <v>76</v>
      </c>
      <c r="K416">
        <v>86</v>
      </c>
      <c r="L416">
        <v>629</v>
      </c>
      <c r="M416" s="38">
        <v>5552</v>
      </c>
      <c r="N416" s="38">
        <v>1446</v>
      </c>
      <c r="O416" s="38">
        <f t="shared" si="414"/>
        <v>1024</v>
      </c>
      <c r="P416" s="38">
        <v>280</v>
      </c>
      <c r="Q416" s="38">
        <v>35</v>
      </c>
      <c r="R416" s="38">
        <v>107</v>
      </c>
      <c r="S416" s="38">
        <v>469</v>
      </c>
      <c r="T416" s="38">
        <v>39</v>
      </c>
      <c r="U416" s="38">
        <f t="shared" si="415"/>
        <v>3598</v>
      </c>
      <c r="V416">
        <v>1078</v>
      </c>
      <c r="W416">
        <v>67</v>
      </c>
      <c r="X416">
        <v>26</v>
      </c>
      <c r="Y416">
        <v>42</v>
      </c>
      <c r="Z416">
        <v>691</v>
      </c>
      <c r="AA416">
        <v>643</v>
      </c>
      <c r="AB416">
        <v>4</v>
      </c>
      <c r="AC416">
        <v>2</v>
      </c>
      <c r="AD416">
        <v>13</v>
      </c>
      <c r="AE416">
        <v>41</v>
      </c>
      <c r="AF416" s="45">
        <f t="shared" ca="1" si="402"/>
        <v>6092</v>
      </c>
      <c r="AG416" s="45">
        <f t="shared" ca="1" si="416"/>
        <v>1372</v>
      </c>
      <c r="AH416" s="45">
        <f t="shared" ca="1" si="417"/>
        <v>888</v>
      </c>
      <c r="AI416" s="45">
        <f t="shared" ca="1" si="418"/>
        <v>323</v>
      </c>
      <c r="AJ416" s="45">
        <f t="shared" ca="1" si="419"/>
        <v>22</v>
      </c>
      <c r="AK416" s="45">
        <f t="shared" ca="1" si="420"/>
        <v>139</v>
      </c>
      <c r="AL416" s="45">
        <f t="shared" ca="1" si="421"/>
        <v>469</v>
      </c>
      <c r="AM416" s="45">
        <f t="shared" ca="1" si="422"/>
        <v>36</v>
      </c>
      <c r="AN416" s="45">
        <f t="shared" ca="1" si="423"/>
        <v>4215</v>
      </c>
      <c r="AO416">
        <v>4342</v>
      </c>
      <c r="AP416">
        <v>1380</v>
      </c>
      <c r="AQ416">
        <v>145</v>
      </c>
      <c r="AR416">
        <v>521</v>
      </c>
      <c r="AS416">
        <v>1256</v>
      </c>
      <c r="AT416">
        <v>107</v>
      </c>
      <c r="AU416">
        <v>128</v>
      </c>
      <c r="AV416">
        <v>0.98199999999999998</v>
      </c>
      <c r="AW416" s="1"/>
      <c r="AX416" s="1"/>
      <c r="AY416" s="47">
        <f t="shared" si="424"/>
        <v>29700</v>
      </c>
      <c r="AZ416" s="49">
        <f t="shared" si="425"/>
        <v>166070</v>
      </c>
      <c r="BA416" s="49">
        <f t="shared" ref="BA416" si="453">SUMIF($B$2:$B$571,$B416,$U$2:$U$571)</f>
        <v>107801</v>
      </c>
      <c r="BB416" s="48">
        <f t="shared" si="427"/>
        <v>0.64912988498825797</v>
      </c>
    </row>
    <row r="417" spans="2:54" x14ac:dyDescent="0.2">
      <c r="B417" s="3">
        <v>2013</v>
      </c>
      <c r="C417" t="s">
        <v>90</v>
      </c>
      <c r="D417" t="s">
        <v>91</v>
      </c>
      <c r="E417">
        <v>1</v>
      </c>
      <c r="F417" t="s">
        <v>43</v>
      </c>
      <c r="G417" t="s">
        <v>38</v>
      </c>
      <c r="H417" t="s">
        <v>43</v>
      </c>
      <c r="I417" t="s">
        <v>38</v>
      </c>
      <c r="J417">
        <v>97</v>
      </c>
      <c r="K417">
        <v>65</v>
      </c>
      <c r="L417">
        <v>783</v>
      </c>
      <c r="M417" s="38">
        <v>5557</v>
      </c>
      <c r="N417" s="38">
        <v>1494</v>
      </c>
      <c r="O417" s="38">
        <f t="shared" si="414"/>
        <v>1027</v>
      </c>
      <c r="P417" s="38">
        <v>322</v>
      </c>
      <c r="Q417" s="38">
        <v>20</v>
      </c>
      <c r="R417" s="38">
        <v>125</v>
      </c>
      <c r="S417" s="38">
        <v>481</v>
      </c>
      <c r="T417" s="38">
        <v>64</v>
      </c>
      <c r="U417" s="38">
        <f t="shared" si="415"/>
        <v>3518</v>
      </c>
      <c r="V417">
        <v>1110</v>
      </c>
      <c r="W417">
        <v>45</v>
      </c>
      <c r="X417">
        <v>22</v>
      </c>
      <c r="Y417">
        <v>44</v>
      </c>
      <c r="Z417">
        <v>596</v>
      </c>
      <c r="AA417">
        <v>555</v>
      </c>
      <c r="AB417">
        <v>3.42</v>
      </c>
      <c r="AC417">
        <v>7</v>
      </c>
      <c r="AD417">
        <v>15</v>
      </c>
      <c r="AE417">
        <v>44</v>
      </c>
      <c r="AF417" s="45">
        <f t="shared" ca="1" si="402"/>
        <v>6490</v>
      </c>
      <c r="AG417" s="45">
        <f t="shared" ca="1" si="416"/>
        <v>1465</v>
      </c>
      <c r="AH417" s="45">
        <f t="shared" ca="1" si="417"/>
        <v>994</v>
      </c>
      <c r="AI417" s="45">
        <f t="shared" ca="1" si="418"/>
        <v>283</v>
      </c>
      <c r="AJ417" s="45">
        <f t="shared" ca="1" si="419"/>
        <v>30</v>
      </c>
      <c r="AK417" s="45">
        <f t="shared" ca="1" si="420"/>
        <v>158</v>
      </c>
      <c r="AL417" s="45">
        <f t="shared" ca="1" si="421"/>
        <v>518</v>
      </c>
      <c r="AM417" s="45">
        <f t="shared" ca="1" si="422"/>
        <v>49</v>
      </c>
      <c r="AN417" s="45">
        <f t="shared" ca="1" si="423"/>
        <v>4458</v>
      </c>
      <c r="AO417">
        <v>4379</v>
      </c>
      <c r="AP417">
        <v>1366</v>
      </c>
      <c r="AQ417">
        <v>112</v>
      </c>
      <c r="AR417">
        <v>451</v>
      </c>
      <c r="AS417">
        <v>1254</v>
      </c>
      <c r="AT417">
        <v>75</v>
      </c>
      <c r="AU417">
        <v>177</v>
      </c>
      <c r="AV417">
        <v>0.98799999999999999</v>
      </c>
      <c r="AW417" s="1"/>
      <c r="AX417" s="1"/>
      <c r="AY417" s="47">
        <f t="shared" si="424"/>
        <v>29700</v>
      </c>
      <c r="AZ417" s="49">
        <f t="shared" si="425"/>
        <v>166070</v>
      </c>
      <c r="BA417" s="49"/>
      <c r="BB417" s="48">
        <f t="shared" si="427"/>
        <v>0</v>
      </c>
    </row>
    <row r="418" spans="2:54" x14ac:dyDescent="0.2">
      <c r="B418" s="3">
        <v>2013</v>
      </c>
      <c r="C418" t="s">
        <v>102</v>
      </c>
      <c r="D418" t="s">
        <v>93</v>
      </c>
      <c r="E418">
        <v>2</v>
      </c>
      <c r="F418" t="s">
        <v>38</v>
      </c>
      <c r="G418" t="s">
        <v>43</v>
      </c>
      <c r="H418" t="s">
        <v>38</v>
      </c>
      <c r="I418" t="s">
        <v>38</v>
      </c>
      <c r="J418">
        <v>92</v>
      </c>
      <c r="K418">
        <v>71</v>
      </c>
      <c r="L418">
        <v>700</v>
      </c>
      <c r="M418" s="38">
        <v>5538</v>
      </c>
      <c r="N418" s="38">
        <v>1421</v>
      </c>
      <c r="O418" s="38">
        <f t="shared" si="414"/>
        <v>937</v>
      </c>
      <c r="P418" s="38">
        <v>296</v>
      </c>
      <c r="Q418" s="38">
        <v>23</v>
      </c>
      <c r="R418" s="38">
        <v>165</v>
      </c>
      <c r="S418" s="38">
        <v>589</v>
      </c>
      <c r="T418" s="38">
        <v>36</v>
      </c>
      <c r="U418" s="38">
        <f t="shared" si="415"/>
        <v>3492</v>
      </c>
      <c r="V418">
        <v>1171</v>
      </c>
      <c r="W418">
        <v>73</v>
      </c>
      <c r="X418">
        <v>38</v>
      </c>
      <c r="Y418">
        <v>55</v>
      </c>
      <c r="Z418">
        <v>646</v>
      </c>
      <c r="AA418">
        <v>608</v>
      </c>
      <c r="AB418">
        <v>3.74</v>
      </c>
      <c r="AC418">
        <v>9</v>
      </c>
      <c r="AD418">
        <v>17</v>
      </c>
      <c r="AE418">
        <v>42</v>
      </c>
      <c r="AF418" s="45">
        <f t="shared" ca="1" si="402"/>
        <v>6324</v>
      </c>
      <c r="AG418" s="45">
        <f t="shared" ca="1" si="416"/>
        <v>1306</v>
      </c>
      <c r="AH418" s="45">
        <f t="shared" ca="1" si="417"/>
        <v>812</v>
      </c>
      <c r="AI418" s="45">
        <f t="shared" ca="1" si="418"/>
        <v>293</v>
      </c>
      <c r="AJ418" s="45">
        <f t="shared" ca="1" si="419"/>
        <v>24</v>
      </c>
      <c r="AK418" s="45">
        <f t="shared" ca="1" si="420"/>
        <v>177</v>
      </c>
      <c r="AL418" s="45">
        <f t="shared" ca="1" si="421"/>
        <v>639</v>
      </c>
      <c r="AM418" s="45">
        <f t="shared" ca="1" si="422"/>
        <v>87</v>
      </c>
      <c r="AN418" s="45">
        <f t="shared" ca="1" si="423"/>
        <v>4292</v>
      </c>
      <c r="AO418">
        <v>4392</v>
      </c>
      <c r="AP418">
        <v>1315</v>
      </c>
      <c r="AQ418">
        <v>153</v>
      </c>
      <c r="AR418">
        <v>482</v>
      </c>
      <c r="AS418">
        <v>1310</v>
      </c>
      <c r="AT418">
        <v>59</v>
      </c>
      <c r="AU418">
        <v>147</v>
      </c>
      <c r="AV418">
        <v>0.99</v>
      </c>
      <c r="AW418" s="1"/>
      <c r="AX418" s="1"/>
      <c r="AY418" s="47">
        <f t="shared" si="424"/>
        <v>29700</v>
      </c>
      <c r="AZ418" s="49">
        <f t="shared" si="425"/>
        <v>166070</v>
      </c>
      <c r="BA418" s="49">
        <f t="shared" ref="BA418" si="454">SUMIF($B$2:$B$571,$B418,$O$2:$O$571)</f>
        <v>28438</v>
      </c>
      <c r="BB418" s="48">
        <f t="shared" si="427"/>
        <v>0.17124104293370265</v>
      </c>
    </row>
    <row r="419" spans="2:54" x14ac:dyDescent="0.2">
      <c r="B419" s="3">
        <v>2013</v>
      </c>
      <c r="C419" t="s">
        <v>94</v>
      </c>
      <c r="D419" t="s">
        <v>95</v>
      </c>
      <c r="E419">
        <v>2</v>
      </c>
      <c r="F419" t="s">
        <v>38</v>
      </c>
      <c r="G419" t="s">
        <v>38</v>
      </c>
      <c r="H419" t="s">
        <v>38</v>
      </c>
      <c r="I419" t="s">
        <v>38</v>
      </c>
      <c r="J419">
        <v>91</v>
      </c>
      <c r="K419">
        <v>72</v>
      </c>
      <c r="L419">
        <v>730</v>
      </c>
      <c r="M419" s="38">
        <v>5585</v>
      </c>
      <c r="N419" s="38">
        <v>1465</v>
      </c>
      <c r="O419" s="38">
        <f t="shared" si="414"/>
        <v>1004</v>
      </c>
      <c r="P419" s="38">
        <v>262</v>
      </c>
      <c r="Q419" s="38">
        <v>23</v>
      </c>
      <c r="R419" s="38">
        <v>176</v>
      </c>
      <c r="S419" s="38">
        <v>462</v>
      </c>
      <c r="T419" s="38">
        <v>61</v>
      </c>
      <c r="U419" s="38">
        <f t="shared" si="415"/>
        <v>3597</v>
      </c>
      <c r="V419">
        <v>1067</v>
      </c>
      <c r="W419">
        <v>149</v>
      </c>
      <c r="X419">
        <v>46</v>
      </c>
      <c r="Y419">
        <v>42</v>
      </c>
      <c r="Z419">
        <v>636</v>
      </c>
      <c r="AA419">
        <v>589</v>
      </c>
      <c r="AB419">
        <v>3.62</v>
      </c>
      <c r="AC419">
        <v>4</v>
      </c>
      <c r="AD419">
        <v>10</v>
      </c>
      <c r="AE419">
        <v>46</v>
      </c>
      <c r="AF419" s="45">
        <f t="shared" ca="1" si="402"/>
        <v>6384</v>
      </c>
      <c r="AG419" s="45">
        <f t="shared" ca="1" si="416"/>
        <v>1558</v>
      </c>
      <c r="AH419" s="45">
        <f t="shared" ca="1" si="417"/>
        <v>1101</v>
      </c>
      <c r="AI419" s="45">
        <f t="shared" ca="1" si="418"/>
        <v>295</v>
      </c>
      <c r="AJ419" s="45">
        <f t="shared" ca="1" si="419"/>
        <v>32</v>
      </c>
      <c r="AK419" s="45">
        <f t="shared" ca="1" si="420"/>
        <v>130</v>
      </c>
      <c r="AL419" s="45">
        <f t="shared" ca="1" si="421"/>
        <v>537</v>
      </c>
      <c r="AM419" s="45">
        <f t="shared" ca="1" si="422"/>
        <v>71</v>
      </c>
      <c r="AN419" s="45">
        <f t="shared" ca="1" si="423"/>
        <v>4218</v>
      </c>
      <c r="AO419">
        <v>4390</v>
      </c>
      <c r="AP419">
        <v>1370</v>
      </c>
      <c r="AQ419">
        <v>157</v>
      </c>
      <c r="AR419">
        <v>498</v>
      </c>
      <c r="AS419">
        <v>1309</v>
      </c>
      <c r="AT419">
        <v>86</v>
      </c>
      <c r="AU419">
        <v>146</v>
      </c>
      <c r="AV419">
        <v>0.98599999999999999</v>
      </c>
      <c r="AW419" s="1"/>
      <c r="AX419" s="1"/>
      <c r="AY419" s="47">
        <f t="shared" si="424"/>
        <v>29700</v>
      </c>
      <c r="AZ419" s="49">
        <f t="shared" si="425"/>
        <v>166070</v>
      </c>
      <c r="BA419" s="49">
        <f t="shared" ref="BA419" si="455">SUMIF($B$2:$B$571,$B419,$P$2:$P$571)</f>
        <v>8222</v>
      </c>
      <c r="BB419" s="48">
        <f t="shared" si="427"/>
        <v>4.9509243090263139E-2</v>
      </c>
    </row>
    <row r="420" spans="2:54" x14ac:dyDescent="0.2">
      <c r="B420" s="3">
        <v>2013</v>
      </c>
      <c r="C420" t="s">
        <v>96</v>
      </c>
      <c r="D420" t="s">
        <v>97</v>
      </c>
      <c r="E420">
        <v>5</v>
      </c>
      <c r="F420" t="s">
        <v>38</v>
      </c>
      <c r="G420" t="s">
        <v>38</v>
      </c>
      <c r="H420" t="s">
        <v>38</v>
      </c>
      <c r="I420" t="s">
        <v>38</v>
      </c>
      <c r="J420">
        <v>74</v>
      </c>
      <c r="K420">
        <v>88</v>
      </c>
      <c r="L420">
        <v>712</v>
      </c>
      <c r="M420" s="38">
        <v>5537</v>
      </c>
      <c r="N420" s="38">
        <v>1398</v>
      </c>
      <c r="O420" s="38">
        <f t="shared" si="414"/>
        <v>916</v>
      </c>
      <c r="P420" s="38">
        <v>273</v>
      </c>
      <c r="Q420" s="38">
        <v>24</v>
      </c>
      <c r="R420" s="38">
        <v>185</v>
      </c>
      <c r="S420" s="38">
        <v>510</v>
      </c>
      <c r="T420" s="38">
        <v>38</v>
      </c>
      <c r="U420" s="38">
        <f t="shared" si="415"/>
        <v>3591</v>
      </c>
      <c r="V420">
        <v>1123</v>
      </c>
      <c r="W420">
        <v>112</v>
      </c>
      <c r="X420">
        <v>41</v>
      </c>
      <c r="Y420">
        <v>38</v>
      </c>
      <c r="Z420">
        <v>756</v>
      </c>
      <c r="AA420">
        <v>685</v>
      </c>
      <c r="AB420">
        <v>4.25</v>
      </c>
      <c r="AC420">
        <v>4</v>
      </c>
      <c r="AD420">
        <v>11</v>
      </c>
      <c r="AE420">
        <v>39</v>
      </c>
      <c r="AF420" s="45">
        <f t="shared" ca="1" si="402"/>
        <v>6396</v>
      </c>
      <c r="AG420" s="45">
        <f t="shared" ca="1" si="416"/>
        <v>1687</v>
      </c>
      <c r="AH420" s="45">
        <f t="shared" ca="1" si="417"/>
        <v>1096</v>
      </c>
      <c r="AI420" s="45">
        <f t="shared" ca="1" si="418"/>
        <v>356</v>
      </c>
      <c r="AJ420" s="45">
        <f t="shared" ca="1" si="419"/>
        <v>37</v>
      </c>
      <c r="AK420" s="45">
        <f t="shared" ca="1" si="420"/>
        <v>198</v>
      </c>
      <c r="AL420" s="45">
        <f t="shared" ca="1" si="421"/>
        <v>528</v>
      </c>
      <c r="AM420" s="45">
        <f t="shared" ca="1" si="422"/>
        <v>48</v>
      </c>
      <c r="AN420" s="45">
        <f t="shared" ca="1" si="423"/>
        <v>4133</v>
      </c>
      <c r="AO420">
        <v>4356</v>
      </c>
      <c r="AP420">
        <v>1451</v>
      </c>
      <c r="AQ420">
        <v>195</v>
      </c>
      <c r="AR420">
        <v>500</v>
      </c>
      <c r="AS420">
        <v>1208</v>
      </c>
      <c r="AT420">
        <v>111</v>
      </c>
      <c r="AU420">
        <v>145</v>
      </c>
      <c r="AV420">
        <v>0.98199999999999998</v>
      </c>
      <c r="AW420" s="1"/>
      <c r="AX420" s="1"/>
      <c r="AY420" s="47">
        <f t="shared" si="424"/>
        <v>29700</v>
      </c>
      <c r="AZ420" s="49">
        <f t="shared" si="425"/>
        <v>166070</v>
      </c>
      <c r="BA420" s="49">
        <f t="shared" ref="BA420" si="456">SUMIF($B$2:$B$571,$B420,$Q$2:$Q$571)</f>
        <v>772</v>
      </c>
      <c r="BB420" s="48">
        <f t="shared" si="427"/>
        <v>4.6486421388571087E-3</v>
      </c>
    </row>
    <row r="421" spans="2:54" x14ac:dyDescent="0.2">
      <c r="B421" s="3">
        <v>2013</v>
      </c>
      <c r="C421" t="s">
        <v>100</v>
      </c>
      <c r="D421" t="s">
        <v>101</v>
      </c>
      <c r="E421">
        <v>2</v>
      </c>
      <c r="F421" t="s">
        <v>38</v>
      </c>
      <c r="G421" t="s">
        <v>38</v>
      </c>
      <c r="H421" t="s">
        <v>38</v>
      </c>
      <c r="I421" t="s">
        <v>38</v>
      </c>
      <c r="J421">
        <v>86</v>
      </c>
      <c r="K421">
        <v>76</v>
      </c>
      <c r="L421">
        <v>656</v>
      </c>
      <c r="M421" s="38">
        <v>5436</v>
      </c>
      <c r="N421" s="38">
        <v>1365</v>
      </c>
      <c r="O421" s="38">
        <f t="shared" si="414"/>
        <v>918</v>
      </c>
      <c r="P421" s="38">
        <v>259</v>
      </c>
      <c r="Q421" s="38">
        <v>27</v>
      </c>
      <c r="R421" s="38">
        <v>161</v>
      </c>
      <c r="S421" s="38">
        <v>464</v>
      </c>
      <c r="T421" s="38">
        <v>40</v>
      </c>
      <c r="U421" s="38">
        <f t="shared" si="415"/>
        <v>3567</v>
      </c>
      <c r="V421">
        <v>1192</v>
      </c>
      <c r="W421">
        <v>88</v>
      </c>
      <c r="X421">
        <v>28</v>
      </c>
      <c r="Y421">
        <v>39</v>
      </c>
      <c r="Z421">
        <v>626</v>
      </c>
      <c r="AA421">
        <v>576</v>
      </c>
      <c r="AB421">
        <v>3.59</v>
      </c>
      <c r="AC421">
        <v>6</v>
      </c>
      <c r="AD421">
        <v>13</v>
      </c>
      <c r="AE421">
        <v>47</v>
      </c>
      <c r="AF421" s="45">
        <f t="shared" ca="1" si="402"/>
        <v>6360</v>
      </c>
      <c r="AG421" s="45">
        <f t="shared" ca="1" si="416"/>
        <v>1681</v>
      </c>
      <c r="AH421" s="45">
        <f t="shared" ca="1" si="417"/>
        <v>1198</v>
      </c>
      <c r="AI421" s="45">
        <f t="shared" ca="1" si="418"/>
        <v>221</v>
      </c>
      <c r="AJ421" s="45">
        <f t="shared" ca="1" si="419"/>
        <v>28</v>
      </c>
      <c r="AK421" s="45">
        <f t="shared" ca="1" si="420"/>
        <v>234</v>
      </c>
      <c r="AL421" s="45">
        <f t="shared" ca="1" si="421"/>
        <v>408</v>
      </c>
      <c r="AM421" s="45">
        <f t="shared" ca="1" si="422"/>
        <v>42</v>
      </c>
      <c r="AN421" s="45">
        <f t="shared" ca="1" si="423"/>
        <v>4229</v>
      </c>
      <c r="AO421">
        <v>4337</v>
      </c>
      <c r="AP421">
        <v>1367</v>
      </c>
      <c r="AQ421">
        <v>142</v>
      </c>
      <c r="AR421">
        <v>405</v>
      </c>
      <c r="AS421">
        <v>1236</v>
      </c>
      <c r="AT421">
        <v>107</v>
      </c>
      <c r="AU421">
        <v>146</v>
      </c>
      <c r="AV421">
        <v>0.98199999999999998</v>
      </c>
      <c r="AW421" s="1"/>
      <c r="AX421" s="1"/>
      <c r="AY421" s="47">
        <f t="shared" si="424"/>
        <v>29700</v>
      </c>
      <c r="AZ421" s="49">
        <f t="shared" si="425"/>
        <v>166070</v>
      </c>
      <c r="BA421" s="49">
        <f t="shared" ref="BA421" si="457">SUMIF($B$2:$B$571,$B421,$R$2:$R$571)</f>
        <v>4661</v>
      </c>
      <c r="BB421" s="48">
        <f t="shared" si="427"/>
        <v>2.8066477991208528E-2</v>
      </c>
    </row>
    <row r="422" spans="2:54" x14ac:dyDescent="0.2">
      <c r="B422" s="3">
        <v>2014</v>
      </c>
      <c r="C422" t="s">
        <v>39</v>
      </c>
      <c r="D422" t="s">
        <v>40</v>
      </c>
      <c r="E422">
        <v>5</v>
      </c>
      <c r="F422" t="s">
        <v>38</v>
      </c>
      <c r="G422" t="s">
        <v>38</v>
      </c>
      <c r="H422" t="s">
        <v>38</v>
      </c>
      <c r="I422" t="s">
        <v>38</v>
      </c>
      <c r="J422">
        <v>64</v>
      </c>
      <c r="K422">
        <v>98</v>
      </c>
      <c r="L422">
        <v>615</v>
      </c>
      <c r="M422" s="38">
        <v>5552</v>
      </c>
      <c r="N422" s="38">
        <v>1379</v>
      </c>
      <c r="O422" s="38">
        <f t="shared" si="414"/>
        <v>955</v>
      </c>
      <c r="P422" s="38">
        <v>259</v>
      </c>
      <c r="Q422" s="38">
        <v>47</v>
      </c>
      <c r="R422" s="38">
        <v>118</v>
      </c>
      <c r="S422" s="38">
        <v>398</v>
      </c>
      <c r="T422" s="38">
        <v>43</v>
      </c>
      <c r="U422" s="38">
        <f t="shared" si="415"/>
        <v>3732</v>
      </c>
      <c r="V422">
        <v>1165</v>
      </c>
      <c r="W422">
        <v>86</v>
      </c>
      <c r="X422">
        <v>33</v>
      </c>
      <c r="Y422">
        <v>36</v>
      </c>
      <c r="Z422">
        <v>742</v>
      </c>
      <c r="AA422">
        <v>683</v>
      </c>
      <c r="AB422">
        <v>4.26</v>
      </c>
      <c r="AC422">
        <v>2</v>
      </c>
      <c r="AD422">
        <v>4</v>
      </c>
      <c r="AE422">
        <v>35</v>
      </c>
      <c r="AF422" s="45">
        <f t="shared" ca="1" si="402"/>
        <v>6058</v>
      </c>
      <c r="AG422" s="45">
        <f t="shared" ca="1" si="416"/>
        <v>1596</v>
      </c>
      <c r="AH422" s="45">
        <f t="shared" ca="1" si="417"/>
        <v>1115</v>
      </c>
      <c r="AI422" s="45">
        <f t="shared" ca="1" si="418"/>
        <v>292</v>
      </c>
      <c r="AJ422" s="45">
        <f t="shared" ca="1" si="419"/>
        <v>43</v>
      </c>
      <c r="AK422" s="45">
        <f t="shared" ca="1" si="420"/>
        <v>146</v>
      </c>
      <c r="AL422" s="45">
        <f t="shared" ca="1" si="421"/>
        <v>415</v>
      </c>
      <c r="AM422" s="45">
        <f t="shared" ca="1" si="422"/>
        <v>44</v>
      </c>
      <c r="AN422" s="45">
        <f t="shared" ca="1" si="423"/>
        <v>4003</v>
      </c>
      <c r="AO422">
        <v>4333</v>
      </c>
      <c r="AP422">
        <v>1467</v>
      </c>
      <c r="AQ422">
        <v>154</v>
      </c>
      <c r="AR422">
        <v>469</v>
      </c>
      <c r="AS422">
        <v>1278</v>
      </c>
      <c r="AT422">
        <v>101</v>
      </c>
      <c r="AU422">
        <v>147</v>
      </c>
      <c r="AV422">
        <v>0.98299999999999998</v>
      </c>
      <c r="AW422" s="1"/>
      <c r="AX422" s="1"/>
      <c r="AY422" s="47">
        <f t="shared" si="424"/>
        <v>29700</v>
      </c>
      <c r="AZ422" s="49">
        <f t="shared" si="425"/>
        <v>165614</v>
      </c>
      <c r="BA422" s="49">
        <f t="shared" ref="BA422" si="458">SUMIF($B$2:$B$571,$B422,$S$2:$S$571)</f>
        <v>14020</v>
      </c>
      <c r="BB422" s="48">
        <f t="shared" si="427"/>
        <v>8.4654678952262488E-2</v>
      </c>
    </row>
    <row r="423" spans="2:54" x14ac:dyDescent="0.2">
      <c r="B423" s="3">
        <v>2014</v>
      </c>
      <c r="C423" t="s">
        <v>41</v>
      </c>
      <c r="D423" t="s">
        <v>42</v>
      </c>
      <c r="E423">
        <v>2</v>
      </c>
      <c r="F423" t="s">
        <v>38</v>
      </c>
      <c r="G423" t="s">
        <v>38</v>
      </c>
      <c r="H423" t="s">
        <v>38</v>
      </c>
      <c r="I423" t="s">
        <v>38</v>
      </c>
      <c r="J423">
        <v>79</v>
      </c>
      <c r="K423">
        <v>83</v>
      </c>
      <c r="L423">
        <v>573</v>
      </c>
      <c r="M423" s="38">
        <v>5468</v>
      </c>
      <c r="N423" s="38">
        <v>1316</v>
      </c>
      <c r="O423" s="38">
        <f t="shared" si="414"/>
        <v>931</v>
      </c>
      <c r="P423" s="38">
        <v>240</v>
      </c>
      <c r="Q423" s="38">
        <v>22</v>
      </c>
      <c r="R423" s="38">
        <v>123</v>
      </c>
      <c r="S423" s="38">
        <v>472</v>
      </c>
      <c r="T423" s="38">
        <v>43</v>
      </c>
      <c r="U423" s="38">
        <f t="shared" si="415"/>
        <v>3637</v>
      </c>
      <c r="V423">
        <v>1369</v>
      </c>
      <c r="W423">
        <v>95</v>
      </c>
      <c r="X423">
        <v>33</v>
      </c>
      <c r="Y423">
        <v>27</v>
      </c>
      <c r="Z423">
        <v>597</v>
      </c>
      <c r="AA423">
        <v>547</v>
      </c>
      <c r="AB423">
        <v>3.38</v>
      </c>
      <c r="AC423">
        <v>5</v>
      </c>
      <c r="AD423">
        <v>13</v>
      </c>
      <c r="AE423">
        <v>54</v>
      </c>
      <c r="AF423" s="45">
        <f t="shared" ca="1" si="402"/>
        <v>6357</v>
      </c>
      <c r="AG423" s="45">
        <f t="shared" ca="1" si="416"/>
        <v>1420</v>
      </c>
      <c r="AH423" s="45">
        <f t="shared" ca="1" si="417"/>
        <v>994</v>
      </c>
      <c r="AI423" s="45">
        <f t="shared" ca="1" si="418"/>
        <v>240</v>
      </c>
      <c r="AJ423" s="45">
        <f t="shared" ca="1" si="419"/>
        <v>39</v>
      </c>
      <c r="AK423" s="45">
        <f t="shared" ca="1" si="420"/>
        <v>147</v>
      </c>
      <c r="AL423" s="45">
        <f t="shared" ca="1" si="421"/>
        <v>642</v>
      </c>
      <c r="AM423" s="45">
        <f t="shared" ca="1" si="422"/>
        <v>39</v>
      </c>
      <c r="AN423" s="45">
        <f t="shared" ca="1" si="423"/>
        <v>4256</v>
      </c>
      <c r="AO423">
        <v>4365</v>
      </c>
      <c r="AP423">
        <v>1369</v>
      </c>
      <c r="AQ423">
        <v>121</v>
      </c>
      <c r="AR423">
        <v>472</v>
      </c>
      <c r="AS423">
        <v>1301</v>
      </c>
      <c r="AT423">
        <v>85</v>
      </c>
      <c r="AU423">
        <v>143</v>
      </c>
      <c r="AV423">
        <v>0.98599999999999999</v>
      </c>
      <c r="AW423" s="1"/>
      <c r="AX423" s="1"/>
      <c r="AY423" s="47">
        <f t="shared" si="424"/>
        <v>29700</v>
      </c>
      <c r="AZ423" s="49">
        <f t="shared" si="425"/>
        <v>165614</v>
      </c>
      <c r="BA423" s="49">
        <f t="shared" ref="BA423" si="459">SUMIF($B$2:$B$571,$B423,$T$2:$T$571)</f>
        <v>1652</v>
      </c>
      <c r="BB423" s="48">
        <f t="shared" si="427"/>
        <v>9.9750021133479059E-3</v>
      </c>
    </row>
    <row r="424" spans="2:54" x14ac:dyDescent="0.2">
      <c r="B424" s="3">
        <v>2014</v>
      </c>
      <c r="C424" t="s">
        <v>44</v>
      </c>
      <c r="D424" t="s">
        <v>45</v>
      </c>
      <c r="E424">
        <v>1</v>
      </c>
      <c r="F424" t="s">
        <v>43</v>
      </c>
      <c r="G424" t="s">
        <v>38</v>
      </c>
      <c r="H424" t="s">
        <v>38</v>
      </c>
      <c r="I424" t="s">
        <v>38</v>
      </c>
      <c r="J424">
        <v>96</v>
      </c>
      <c r="K424">
        <v>66</v>
      </c>
      <c r="L424">
        <v>705</v>
      </c>
      <c r="M424" s="38">
        <v>5596</v>
      </c>
      <c r="N424" s="38">
        <v>1434</v>
      </c>
      <c r="O424" s="38">
        <f t="shared" si="414"/>
        <v>943</v>
      </c>
      <c r="P424" s="38">
        <v>264</v>
      </c>
      <c r="Q424" s="38">
        <v>16</v>
      </c>
      <c r="R424" s="38">
        <v>211</v>
      </c>
      <c r="S424" s="38">
        <v>401</v>
      </c>
      <c r="T424" s="38">
        <v>62</v>
      </c>
      <c r="U424" s="38">
        <f t="shared" si="415"/>
        <v>3699</v>
      </c>
      <c r="V424">
        <v>1285</v>
      </c>
      <c r="W424">
        <v>44</v>
      </c>
      <c r="X424">
        <v>20</v>
      </c>
      <c r="Y424">
        <v>36</v>
      </c>
      <c r="Z424">
        <v>593</v>
      </c>
      <c r="AA424">
        <v>557</v>
      </c>
      <c r="AB424">
        <v>3.43</v>
      </c>
      <c r="AC424">
        <v>3</v>
      </c>
      <c r="AD424">
        <v>13</v>
      </c>
      <c r="AE424">
        <v>53</v>
      </c>
      <c r="AF424" s="45">
        <f t="shared" ca="1" si="402"/>
        <v>6062</v>
      </c>
      <c r="AG424" s="45">
        <f t="shared" ca="1" si="416"/>
        <v>1506</v>
      </c>
      <c r="AH424" s="45">
        <f t="shared" ca="1" si="417"/>
        <v>867</v>
      </c>
      <c r="AI424" s="45">
        <f t="shared" ca="1" si="418"/>
        <v>374</v>
      </c>
      <c r="AJ424" s="45">
        <f t="shared" ca="1" si="419"/>
        <v>39</v>
      </c>
      <c r="AK424" s="45">
        <f t="shared" ca="1" si="420"/>
        <v>226</v>
      </c>
      <c r="AL424" s="45">
        <f t="shared" ca="1" si="421"/>
        <v>604</v>
      </c>
      <c r="AM424" s="45">
        <f t="shared" ca="1" si="422"/>
        <v>85</v>
      </c>
      <c r="AN424" s="45">
        <f t="shared" ca="1" si="423"/>
        <v>3867</v>
      </c>
      <c r="AO424">
        <v>4384</v>
      </c>
      <c r="AP424">
        <v>1342</v>
      </c>
      <c r="AQ424">
        <v>151</v>
      </c>
      <c r="AR424">
        <v>472</v>
      </c>
      <c r="AS424">
        <v>1174</v>
      </c>
      <c r="AT424">
        <v>87</v>
      </c>
      <c r="AU424">
        <v>156</v>
      </c>
      <c r="AV424">
        <v>0.98599999999999999</v>
      </c>
      <c r="AW424" s="1"/>
      <c r="AX424" s="1"/>
      <c r="AY424" s="47">
        <f t="shared" si="424"/>
        <v>29700</v>
      </c>
      <c r="AZ424" s="49">
        <f t="shared" si="425"/>
        <v>165614</v>
      </c>
      <c r="BA424" s="49">
        <f t="shared" ref="BA424" si="460">SUMIF($B$2:$B$571,$B424,$U$2:$U$571)</f>
        <v>108347</v>
      </c>
      <c r="BB424" s="48">
        <f t="shared" si="427"/>
        <v>0.6542140157233084</v>
      </c>
    </row>
    <row r="425" spans="2:54" x14ac:dyDescent="0.2">
      <c r="B425" s="3">
        <v>2014</v>
      </c>
      <c r="C425" t="s">
        <v>46</v>
      </c>
      <c r="D425" t="s">
        <v>47</v>
      </c>
      <c r="E425">
        <v>5</v>
      </c>
      <c r="F425" t="s">
        <v>38</v>
      </c>
      <c r="G425" t="s">
        <v>38</v>
      </c>
      <c r="H425" t="s">
        <v>38</v>
      </c>
      <c r="I425" t="s">
        <v>38</v>
      </c>
      <c r="J425">
        <v>71</v>
      </c>
      <c r="K425">
        <v>91</v>
      </c>
      <c r="L425">
        <v>634</v>
      </c>
      <c r="M425" s="38">
        <v>5551</v>
      </c>
      <c r="N425" s="38">
        <v>1355</v>
      </c>
      <c r="O425" s="38">
        <f t="shared" si="414"/>
        <v>930</v>
      </c>
      <c r="P425" s="38">
        <v>282</v>
      </c>
      <c r="Q425" s="38">
        <v>20</v>
      </c>
      <c r="R425" s="38">
        <v>123</v>
      </c>
      <c r="S425" s="38">
        <v>535</v>
      </c>
      <c r="T425" s="38">
        <v>68</v>
      </c>
      <c r="U425" s="38">
        <f t="shared" si="415"/>
        <v>3593</v>
      </c>
      <c r="V425">
        <v>1337</v>
      </c>
      <c r="W425">
        <v>63</v>
      </c>
      <c r="X425">
        <v>25</v>
      </c>
      <c r="Y425">
        <v>52</v>
      </c>
      <c r="Z425">
        <v>715</v>
      </c>
      <c r="AA425">
        <v>653</v>
      </c>
      <c r="AB425">
        <v>4.01</v>
      </c>
      <c r="AC425">
        <v>3</v>
      </c>
      <c r="AD425">
        <v>7</v>
      </c>
      <c r="AE425">
        <v>36</v>
      </c>
      <c r="AF425" s="45">
        <f t="shared" ca="1" si="402"/>
        <v>6416</v>
      </c>
      <c r="AG425" s="45">
        <f t="shared" ca="1" si="416"/>
        <v>1376</v>
      </c>
      <c r="AH425" s="45">
        <f t="shared" ca="1" si="417"/>
        <v>807</v>
      </c>
      <c r="AI425" s="45">
        <f t="shared" ca="1" si="418"/>
        <v>336</v>
      </c>
      <c r="AJ425" s="45">
        <f t="shared" ca="1" si="419"/>
        <v>31</v>
      </c>
      <c r="AK425" s="45">
        <f t="shared" ca="1" si="420"/>
        <v>202</v>
      </c>
      <c r="AL425" s="45">
        <f t="shared" ca="1" si="421"/>
        <v>641</v>
      </c>
      <c r="AM425" s="45">
        <f t="shared" ca="1" si="422"/>
        <v>30</v>
      </c>
      <c r="AN425" s="45">
        <f t="shared" ca="1" si="423"/>
        <v>4369</v>
      </c>
      <c r="AO425">
        <v>4397</v>
      </c>
      <c r="AP425">
        <v>1458</v>
      </c>
      <c r="AQ425">
        <v>154</v>
      </c>
      <c r="AR425">
        <v>482</v>
      </c>
      <c r="AS425">
        <v>1213</v>
      </c>
      <c r="AT425">
        <v>92</v>
      </c>
      <c r="AU425">
        <v>155</v>
      </c>
      <c r="AV425">
        <v>0.98499999999999999</v>
      </c>
      <c r="AW425" s="1"/>
      <c r="AX425" s="1"/>
      <c r="AY425" s="47">
        <f t="shared" si="424"/>
        <v>29700</v>
      </c>
      <c r="AZ425" s="49">
        <f t="shared" si="425"/>
        <v>165614</v>
      </c>
      <c r="BA425" s="49"/>
      <c r="BB425" s="48">
        <f t="shared" si="427"/>
        <v>0</v>
      </c>
    </row>
    <row r="426" spans="2:54" x14ac:dyDescent="0.2">
      <c r="B426" s="3">
        <v>2014</v>
      </c>
      <c r="C426" t="s">
        <v>48</v>
      </c>
      <c r="D426" t="s">
        <v>49</v>
      </c>
      <c r="E426">
        <v>4</v>
      </c>
      <c r="F426" t="s">
        <v>38</v>
      </c>
      <c r="G426" t="s">
        <v>38</v>
      </c>
      <c r="H426" t="s">
        <v>38</v>
      </c>
      <c r="I426" t="s">
        <v>38</v>
      </c>
      <c r="J426">
        <v>73</v>
      </c>
      <c r="K426">
        <v>89</v>
      </c>
      <c r="L426">
        <v>660</v>
      </c>
      <c r="M426" s="38">
        <v>5543</v>
      </c>
      <c r="N426" s="38">
        <v>1400</v>
      </c>
      <c r="O426" s="38">
        <f t="shared" si="414"/>
        <v>934</v>
      </c>
      <c r="P426" s="38">
        <v>279</v>
      </c>
      <c r="Q426" s="38">
        <v>32</v>
      </c>
      <c r="R426" s="38">
        <v>155</v>
      </c>
      <c r="S426" s="38">
        <v>417</v>
      </c>
      <c r="T426" s="38">
        <v>60</v>
      </c>
      <c r="U426" s="38">
        <f t="shared" si="415"/>
        <v>3666</v>
      </c>
      <c r="V426">
        <v>1362</v>
      </c>
      <c r="W426">
        <v>85</v>
      </c>
      <c r="X426">
        <v>36</v>
      </c>
      <c r="Y426">
        <v>38</v>
      </c>
      <c r="Z426">
        <v>758</v>
      </c>
      <c r="AA426">
        <v>687</v>
      </c>
      <c r="AB426">
        <v>4.29</v>
      </c>
      <c r="AC426">
        <v>3</v>
      </c>
      <c r="AD426">
        <v>6</v>
      </c>
      <c r="AE426">
        <v>36</v>
      </c>
      <c r="AF426" s="45">
        <f t="shared" ca="1" si="402"/>
        <v>6197</v>
      </c>
      <c r="AG426" s="45">
        <f t="shared" ca="1" si="416"/>
        <v>1315</v>
      </c>
      <c r="AH426" s="45">
        <f t="shared" ca="1" si="417"/>
        <v>837</v>
      </c>
      <c r="AI426" s="45">
        <f t="shared" ca="1" si="418"/>
        <v>239</v>
      </c>
      <c r="AJ426" s="45">
        <f t="shared" ca="1" si="419"/>
        <v>35</v>
      </c>
      <c r="AK426" s="45">
        <f t="shared" ca="1" si="420"/>
        <v>204</v>
      </c>
      <c r="AL426" s="45">
        <f t="shared" ca="1" si="421"/>
        <v>588</v>
      </c>
      <c r="AM426" s="45">
        <f t="shared" ca="1" si="422"/>
        <v>86</v>
      </c>
      <c r="AN426" s="45">
        <f t="shared" ca="1" si="423"/>
        <v>4208</v>
      </c>
      <c r="AO426">
        <v>4323</v>
      </c>
      <c r="AP426">
        <v>1468</v>
      </c>
      <c r="AQ426">
        <v>140</v>
      </c>
      <c r="AR426">
        <v>557</v>
      </c>
      <c r="AS426">
        <v>1152</v>
      </c>
      <c r="AT426">
        <v>107</v>
      </c>
      <c r="AU426">
        <v>170</v>
      </c>
      <c r="AV426">
        <v>0.98199999999999998</v>
      </c>
      <c r="AW426" s="1"/>
      <c r="AX426" s="1"/>
      <c r="AY426" s="47">
        <f t="shared" si="424"/>
        <v>29700</v>
      </c>
      <c r="AZ426" s="49">
        <f t="shared" si="425"/>
        <v>165614</v>
      </c>
      <c r="BA426" s="49">
        <f t="shared" ref="BA426" si="461">SUMIF($B$2:$B$571,$B426,$O$2:$O$571)</f>
        <v>28423</v>
      </c>
      <c r="BB426" s="48">
        <f t="shared" si="427"/>
        <v>0.17162196432668736</v>
      </c>
    </row>
    <row r="427" spans="2:54" x14ac:dyDescent="0.2">
      <c r="B427" s="3">
        <v>2014</v>
      </c>
      <c r="C427" t="s">
        <v>50</v>
      </c>
      <c r="D427" t="s">
        <v>51</v>
      </c>
      <c r="E427">
        <v>5</v>
      </c>
      <c r="F427" t="s">
        <v>38</v>
      </c>
      <c r="G427" t="s">
        <v>38</v>
      </c>
      <c r="H427" t="s">
        <v>38</v>
      </c>
      <c r="I427" t="s">
        <v>38</v>
      </c>
      <c r="J427">
        <v>73</v>
      </c>
      <c r="K427">
        <v>89</v>
      </c>
      <c r="L427">
        <v>614</v>
      </c>
      <c r="M427" s="38">
        <v>5508</v>
      </c>
      <c r="N427" s="38">
        <v>1315</v>
      </c>
      <c r="O427" s="38">
        <f t="shared" si="414"/>
        <v>857</v>
      </c>
      <c r="P427" s="38">
        <v>270</v>
      </c>
      <c r="Q427" s="38">
        <v>31</v>
      </c>
      <c r="R427" s="38">
        <v>157</v>
      </c>
      <c r="S427" s="38">
        <v>442</v>
      </c>
      <c r="T427" s="38">
        <v>54</v>
      </c>
      <c r="U427" s="38">
        <f t="shared" si="415"/>
        <v>3697</v>
      </c>
      <c r="V427">
        <v>1477</v>
      </c>
      <c r="W427">
        <v>65</v>
      </c>
      <c r="X427">
        <v>40</v>
      </c>
      <c r="Y427">
        <v>41</v>
      </c>
      <c r="Z427">
        <v>707</v>
      </c>
      <c r="AA427">
        <v>636</v>
      </c>
      <c r="AB427">
        <v>3.91</v>
      </c>
      <c r="AC427">
        <v>1</v>
      </c>
      <c r="AD427">
        <v>11</v>
      </c>
      <c r="AE427">
        <v>37</v>
      </c>
      <c r="AF427" s="45">
        <f t="shared" ca="1" si="402"/>
        <v>6057</v>
      </c>
      <c r="AG427" s="45">
        <f t="shared" ca="1" si="416"/>
        <v>1446</v>
      </c>
      <c r="AH427" s="45">
        <f t="shared" ca="1" si="417"/>
        <v>819</v>
      </c>
      <c r="AI427" s="45">
        <f t="shared" ca="1" si="418"/>
        <v>383</v>
      </c>
      <c r="AJ427" s="45">
        <f t="shared" ca="1" si="419"/>
        <v>20</v>
      </c>
      <c r="AK427" s="45">
        <f t="shared" ca="1" si="420"/>
        <v>224</v>
      </c>
      <c r="AL427" s="45">
        <f t="shared" ca="1" si="421"/>
        <v>473</v>
      </c>
      <c r="AM427" s="45">
        <f t="shared" ca="1" si="422"/>
        <v>83</v>
      </c>
      <c r="AN427" s="45">
        <f t="shared" ca="1" si="423"/>
        <v>4055</v>
      </c>
      <c r="AO427">
        <v>4390</v>
      </c>
      <c r="AP427">
        <v>1398</v>
      </c>
      <c r="AQ427">
        <v>115</v>
      </c>
      <c r="AR427">
        <v>504</v>
      </c>
      <c r="AS427">
        <v>1311</v>
      </c>
      <c r="AT427">
        <v>103</v>
      </c>
      <c r="AU427">
        <v>137</v>
      </c>
      <c r="AV427">
        <v>0.98299999999999998</v>
      </c>
      <c r="AW427" s="1"/>
      <c r="AX427" s="1"/>
      <c r="AY427" s="47">
        <f t="shared" si="424"/>
        <v>29700</v>
      </c>
      <c r="AZ427" s="49">
        <f t="shared" si="425"/>
        <v>165614</v>
      </c>
      <c r="BA427" s="49">
        <f t="shared" ref="BA427" si="462">SUMIF($B$2:$B$571,$B427,$P$2:$P$571)</f>
        <v>8137</v>
      </c>
      <c r="BB427" s="48">
        <f t="shared" si="427"/>
        <v>4.9132319731423672E-2</v>
      </c>
    </row>
    <row r="428" spans="2:54" x14ac:dyDescent="0.2">
      <c r="B428" s="3">
        <v>2014</v>
      </c>
      <c r="C428" t="s">
        <v>52</v>
      </c>
      <c r="D428" t="s">
        <v>53</v>
      </c>
      <c r="E428">
        <v>4</v>
      </c>
      <c r="F428" t="s">
        <v>38</v>
      </c>
      <c r="G428" t="s">
        <v>38</v>
      </c>
      <c r="H428" t="s">
        <v>38</v>
      </c>
      <c r="I428" t="s">
        <v>38</v>
      </c>
      <c r="J428">
        <v>76</v>
      </c>
      <c r="K428">
        <v>86</v>
      </c>
      <c r="L428">
        <v>595</v>
      </c>
      <c r="M428" s="38">
        <v>5395</v>
      </c>
      <c r="N428" s="38">
        <v>1282</v>
      </c>
      <c r="O428" s="38">
        <f t="shared" si="414"/>
        <v>877</v>
      </c>
      <c r="P428" s="38">
        <v>254</v>
      </c>
      <c r="Q428" s="38">
        <v>20</v>
      </c>
      <c r="R428" s="38">
        <v>131</v>
      </c>
      <c r="S428" s="38">
        <v>415</v>
      </c>
      <c r="T428" s="38">
        <v>52</v>
      </c>
      <c r="U428" s="38">
        <f t="shared" si="415"/>
        <v>3646</v>
      </c>
      <c r="V428">
        <v>1252</v>
      </c>
      <c r="W428">
        <v>122</v>
      </c>
      <c r="X428">
        <v>52</v>
      </c>
      <c r="Y428">
        <v>37</v>
      </c>
      <c r="Z428">
        <v>612</v>
      </c>
      <c r="AA428">
        <v>576</v>
      </c>
      <c r="AB428">
        <v>3.59</v>
      </c>
      <c r="AC428">
        <v>5</v>
      </c>
      <c r="AD428">
        <v>13</v>
      </c>
      <c r="AE428">
        <v>44</v>
      </c>
      <c r="AF428" s="45">
        <f t="shared" ca="1" si="402"/>
        <v>6193</v>
      </c>
      <c r="AG428" s="45">
        <f t="shared" ca="1" si="416"/>
        <v>1692</v>
      </c>
      <c r="AH428" s="45">
        <f t="shared" ca="1" si="417"/>
        <v>1267</v>
      </c>
      <c r="AI428" s="45">
        <f t="shared" ca="1" si="418"/>
        <v>227</v>
      </c>
      <c r="AJ428" s="45">
        <f t="shared" ca="1" si="419"/>
        <v>40</v>
      </c>
      <c r="AK428" s="45">
        <f t="shared" ca="1" si="420"/>
        <v>158</v>
      </c>
      <c r="AL428" s="45">
        <f t="shared" ca="1" si="421"/>
        <v>568</v>
      </c>
      <c r="AM428" s="45">
        <f t="shared" ca="1" si="422"/>
        <v>87</v>
      </c>
      <c r="AN428" s="45">
        <f t="shared" ca="1" si="423"/>
        <v>3846</v>
      </c>
      <c r="AO428">
        <v>4338</v>
      </c>
      <c r="AP428">
        <v>1282</v>
      </c>
      <c r="AQ428">
        <v>163</v>
      </c>
      <c r="AR428">
        <v>507</v>
      </c>
      <c r="AS428">
        <v>1290</v>
      </c>
      <c r="AT428">
        <v>72</v>
      </c>
      <c r="AU428">
        <v>120</v>
      </c>
      <c r="AV428">
        <v>0.98799999999999999</v>
      </c>
      <c r="AW428" s="1"/>
      <c r="AX428" s="1"/>
      <c r="AY428" s="47">
        <f t="shared" si="424"/>
        <v>29700</v>
      </c>
      <c r="AZ428" s="49">
        <f t="shared" si="425"/>
        <v>165614</v>
      </c>
      <c r="BA428" s="49">
        <f t="shared" ref="BA428" si="463">SUMIF($B$2:$B$571,$B428,$Q$2:$Q$571)</f>
        <v>849</v>
      </c>
      <c r="BB428" s="48">
        <f t="shared" si="427"/>
        <v>5.1263782047411451E-3</v>
      </c>
    </row>
    <row r="429" spans="2:54" x14ac:dyDescent="0.2">
      <c r="B429" s="3">
        <v>2014</v>
      </c>
      <c r="C429" t="s">
        <v>54</v>
      </c>
      <c r="D429" t="s">
        <v>55</v>
      </c>
      <c r="E429">
        <v>3</v>
      </c>
      <c r="F429" t="s">
        <v>38</v>
      </c>
      <c r="G429" t="s">
        <v>38</v>
      </c>
      <c r="H429" t="s">
        <v>38</v>
      </c>
      <c r="I429" t="s">
        <v>38</v>
      </c>
      <c r="J429">
        <v>85</v>
      </c>
      <c r="K429">
        <v>77</v>
      </c>
      <c r="L429">
        <v>669</v>
      </c>
      <c r="M429" s="38">
        <v>5575</v>
      </c>
      <c r="N429" s="38">
        <v>1411</v>
      </c>
      <c r="O429" s="38">
        <f t="shared" si="414"/>
        <v>962</v>
      </c>
      <c r="P429" s="38">
        <v>284</v>
      </c>
      <c r="Q429" s="38">
        <v>23</v>
      </c>
      <c r="R429" s="38">
        <v>142</v>
      </c>
      <c r="S429" s="38">
        <v>504</v>
      </c>
      <c r="T429" s="38">
        <v>42</v>
      </c>
      <c r="U429" s="38">
        <f t="shared" si="415"/>
        <v>3618</v>
      </c>
      <c r="V429">
        <v>1189</v>
      </c>
      <c r="W429">
        <v>104</v>
      </c>
      <c r="X429">
        <v>27</v>
      </c>
      <c r="Y429">
        <v>49</v>
      </c>
      <c r="Z429">
        <v>653</v>
      </c>
      <c r="AA429">
        <v>581</v>
      </c>
      <c r="AB429">
        <v>3.56</v>
      </c>
      <c r="AC429">
        <v>6</v>
      </c>
      <c r="AD429">
        <v>15</v>
      </c>
      <c r="AE429">
        <v>40</v>
      </c>
      <c r="AF429" s="45">
        <f t="shared" ca="1" si="402"/>
        <v>6490</v>
      </c>
      <c r="AG429" s="45">
        <f t="shared" ca="1" si="416"/>
        <v>1488</v>
      </c>
      <c r="AH429" s="45">
        <f t="shared" ca="1" si="417"/>
        <v>1098</v>
      </c>
      <c r="AI429" s="45">
        <f t="shared" ca="1" si="418"/>
        <v>219</v>
      </c>
      <c r="AJ429" s="45">
        <f t="shared" ca="1" si="419"/>
        <v>24</v>
      </c>
      <c r="AK429" s="45">
        <f t="shared" ca="1" si="420"/>
        <v>147</v>
      </c>
      <c r="AL429" s="45">
        <f t="shared" ca="1" si="421"/>
        <v>482</v>
      </c>
      <c r="AM429" s="45">
        <f t="shared" ca="1" si="422"/>
        <v>60</v>
      </c>
      <c r="AN429" s="45">
        <f t="shared" ca="1" si="423"/>
        <v>4460</v>
      </c>
      <c r="AO429">
        <v>4405</v>
      </c>
      <c r="AP429">
        <v>1398</v>
      </c>
      <c r="AQ429">
        <v>135</v>
      </c>
      <c r="AR429">
        <v>464</v>
      </c>
      <c r="AS429">
        <v>1450</v>
      </c>
      <c r="AT429">
        <v>116</v>
      </c>
      <c r="AU429">
        <v>139</v>
      </c>
      <c r="AV429">
        <v>0.98099999999999998</v>
      </c>
      <c r="AW429" s="1"/>
      <c r="AX429" s="1"/>
      <c r="AY429" s="47">
        <f t="shared" si="424"/>
        <v>29700</v>
      </c>
      <c r="AZ429" s="49">
        <f t="shared" si="425"/>
        <v>165614</v>
      </c>
      <c r="BA429" s="49">
        <f t="shared" ref="BA429" si="464">SUMIF($B$2:$B$571,$B429,$R$2:$R$571)</f>
        <v>4186</v>
      </c>
      <c r="BB429" s="48">
        <f t="shared" si="427"/>
        <v>2.5275640948229015E-2</v>
      </c>
    </row>
    <row r="430" spans="2:54" x14ac:dyDescent="0.2">
      <c r="B430" s="3">
        <v>2014</v>
      </c>
      <c r="C430" t="s">
        <v>56</v>
      </c>
      <c r="D430" t="s">
        <v>57</v>
      </c>
      <c r="E430">
        <v>4</v>
      </c>
      <c r="F430" t="s">
        <v>38</v>
      </c>
      <c r="G430" t="s">
        <v>38</v>
      </c>
      <c r="H430" t="s">
        <v>38</v>
      </c>
      <c r="I430" t="s">
        <v>38</v>
      </c>
      <c r="J430">
        <v>66</v>
      </c>
      <c r="K430">
        <v>96</v>
      </c>
      <c r="L430">
        <v>755</v>
      </c>
      <c r="M430" s="38">
        <v>5612</v>
      </c>
      <c r="N430" s="38">
        <v>1551</v>
      </c>
      <c r="O430" s="38">
        <f t="shared" si="414"/>
        <v>1017</v>
      </c>
      <c r="P430" s="38">
        <v>307</v>
      </c>
      <c r="Q430" s="38">
        <v>41</v>
      </c>
      <c r="R430" s="38">
        <v>186</v>
      </c>
      <c r="S430" s="38">
        <v>397</v>
      </c>
      <c r="T430" s="38">
        <v>48</v>
      </c>
      <c r="U430" s="38">
        <f t="shared" si="415"/>
        <v>3616</v>
      </c>
      <c r="V430">
        <v>1281</v>
      </c>
      <c r="W430">
        <v>85</v>
      </c>
      <c r="X430">
        <v>48</v>
      </c>
      <c r="Y430">
        <v>48</v>
      </c>
      <c r="Z430">
        <v>818</v>
      </c>
      <c r="AA430">
        <v>770</v>
      </c>
      <c r="AB430">
        <v>4.84</v>
      </c>
      <c r="AC430">
        <v>1</v>
      </c>
      <c r="AD430">
        <v>4</v>
      </c>
      <c r="AE430">
        <v>24</v>
      </c>
      <c r="AF430" s="45">
        <f t="shared" ca="1" si="402"/>
        <v>6279</v>
      </c>
      <c r="AG430" s="45">
        <f t="shared" ca="1" si="416"/>
        <v>1418</v>
      </c>
      <c r="AH430" s="45">
        <f t="shared" ca="1" si="417"/>
        <v>848</v>
      </c>
      <c r="AI430" s="45">
        <f t="shared" ca="1" si="418"/>
        <v>378</v>
      </c>
      <c r="AJ430" s="45">
        <f t="shared" ca="1" si="419"/>
        <v>28</v>
      </c>
      <c r="AK430" s="45">
        <f t="shared" ca="1" si="420"/>
        <v>164</v>
      </c>
      <c r="AL430" s="45">
        <f t="shared" ca="1" si="421"/>
        <v>490</v>
      </c>
      <c r="AM430" s="45">
        <f t="shared" ca="1" si="422"/>
        <v>80</v>
      </c>
      <c r="AN430" s="45">
        <f t="shared" ca="1" si="423"/>
        <v>4291</v>
      </c>
      <c r="AO430">
        <v>4293</v>
      </c>
      <c r="AP430">
        <v>1528</v>
      </c>
      <c r="AQ430">
        <v>173</v>
      </c>
      <c r="AR430">
        <v>531</v>
      </c>
      <c r="AS430">
        <v>1074</v>
      </c>
      <c r="AT430">
        <v>106</v>
      </c>
      <c r="AU430">
        <v>166</v>
      </c>
      <c r="AV430">
        <v>0.98299999999999998</v>
      </c>
      <c r="AW430" s="1"/>
      <c r="AX430" s="1"/>
      <c r="AY430" s="47">
        <f t="shared" si="424"/>
        <v>29700</v>
      </c>
      <c r="AZ430" s="49">
        <f t="shared" si="425"/>
        <v>165614</v>
      </c>
      <c r="BA430" s="49">
        <f t="shared" ref="BA430" si="465">SUMIF($B$2:$B$571,$B430,$S$2:$S$571)</f>
        <v>14020</v>
      </c>
      <c r="BB430" s="48">
        <f t="shared" si="427"/>
        <v>8.4654678952262488E-2</v>
      </c>
    </row>
    <row r="431" spans="2:54" x14ac:dyDescent="0.2">
      <c r="B431" s="3">
        <v>2014</v>
      </c>
      <c r="C431" t="s">
        <v>58</v>
      </c>
      <c r="D431" t="s">
        <v>59</v>
      </c>
      <c r="E431">
        <v>1</v>
      </c>
      <c r="F431" t="s">
        <v>43</v>
      </c>
      <c r="G431" t="s">
        <v>38</v>
      </c>
      <c r="H431" t="s">
        <v>38</v>
      </c>
      <c r="I431" t="s">
        <v>38</v>
      </c>
      <c r="J431">
        <v>90</v>
      </c>
      <c r="K431">
        <v>72</v>
      </c>
      <c r="L431">
        <v>757</v>
      </c>
      <c r="M431" s="38">
        <v>5630</v>
      </c>
      <c r="N431" s="38">
        <v>1557</v>
      </c>
      <c r="O431" s="38">
        <f t="shared" si="414"/>
        <v>1051</v>
      </c>
      <c r="P431" s="38">
        <v>325</v>
      </c>
      <c r="Q431" s="38">
        <v>26</v>
      </c>
      <c r="R431" s="38">
        <v>155</v>
      </c>
      <c r="S431" s="38">
        <v>443</v>
      </c>
      <c r="T431" s="38">
        <v>44</v>
      </c>
      <c r="U431" s="38">
        <f t="shared" si="415"/>
        <v>3586</v>
      </c>
      <c r="V431">
        <v>1144</v>
      </c>
      <c r="W431">
        <v>106</v>
      </c>
      <c r="X431">
        <v>41</v>
      </c>
      <c r="Y431">
        <v>61</v>
      </c>
      <c r="Z431">
        <v>705</v>
      </c>
      <c r="AA431">
        <v>648</v>
      </c>
      <c r="AB431">
        <v>4.01</v>
      </c>
      <c r="AC431">
        <v>5</v>
      </c>
      <c r="AD431">
        <v>8</v>
      </c>
      <c r="AE431">
        <v>41</v>
      </c>
      <c r="AF431" s="45">
        <f t="shared" ca="1" si="402"/>
        <v>6443</v>
      </c>
      <c r="AG431" s="45">
        <f t="shared" ca="1" si="416"/>
        <v>1583</v>
      </c>
      <c r="AH431" s="45">
        <f t="shared" ca="1" si="417"/>
        <v>1015</v>
      </c>
      <c r="AI431" s="45">
        <f t="shared" ca="1" si="418"/>
        <v>313</v>
      </c>
      <c r="AJ431" s="45">
        <f t="shared" ca="1" si="419"/>
        <v>20</v>
      </c>
      <c r="AK431" s="45">
        <f t="shared" ca="1" si="420"/>
        <v>235</v>
      </c>
      <c r="AL431" s="45">
        <f t="shared" ca="1" si="421"/>
        <v>400</v>
      </c>
      <c r="AM431" s="45">
        <f t="shared" ca="1" si="422"/>
        <v>65</v>
      </c>
      <c r="AN431" s="45">
        <f t="shared" ca="1" si="423"/>
        <v>4395</v>
      </c>
      <c r="AO431">
        <v>4362</v>
      </c>
      <c r="AP431">
        <v>1475</v>
      </c>
      <c r="AQ431">
        <v>127</v>
      </c>
      <c r="AR431">
        <v>462</v>
      </c>
      <c r="AS431">
        <v>1244</v>
      </c>
      <c r="AT431">
        <v>101</v>
      </c>
      <c r="AU431">
        <v>153</v>
      </c>
      <c r="AV431">
        <v>0.98299999999999998</v>
      </c>
      <c r="AW431" s="1"/>
      <c r="AX431" s="1"/>
      <c r="AY431" s="47">
        <f t="shared" si="424"/>
        <v>29700</v>
      </c>
      <c r="AZ431" s="49">
        <f t="shared" si="425"/>
        <v>165614</v>
      </c>
      <c r="BA431" s="49">
        <f t="shared" ref="BA431" si="466">SUMIF($B$2:$B$571,$B431,$T$2:$T$571)</f>
        <v>1652</v>
      </c>
      <c r="BB431" s="48">
        <f t="shared" si="427"/>
        <v>9.9750021133479059E-3</v>
      </c>
    </row>
    <row r="432" spans="2:54" x14ac:dyDescent="0.2">
      <c r="B432" s="3">
        <v>2014</v>
      </c>
      <c r="C432" t="s">
        <v>62</v>
      </c>
      <c r="D432" t="s">
        <v>63</v>
      </c>
      <c r="E432">
        <v>4</v>
      </c>
      <c r="F432" t="s">
        <v>38</v>
      </c>
      <c r="G432" t="s">
        <v>38</v>
      </c>
      <c r="H432" t="s">
        <v>38</v>
      </c>
      <c r="I432" t="s">
        <v>38</v>
      </c>
      <c r="J432">
        <v>70</v>
      </c>
      <c r="K432">
        <v>92</v>
      </c>
      <c r="L432">
        <v>629</v>
      </c>
      <c r="M432" s="38">
        <v>5447</v>
      </c>
      <c r="N432" s="38">
        <v>1317</v>
      </c>
      <c r="O432" s="38">
        <f t="shared" si="414"/>
        <v>895</v>
      </c>
      <c r="P432" s="38">
        <v>240</v>
      </c>
      <c r="Q432" s="38">
        <v>19</v>
      </c>
      <c r="R432" s="38">
        <v>163</v>
      </c>
      <c r="S432" s="38">
        <v>495</v>
      </c>
      <c r="T432" s="38">
        <v>55</v>
      </c>
      <c r="U432" s="38">
        <f t="shared" si="415"/>
        <v>3580</v>
      </c>
      <c r="V432">
        <v>1442</v>
      </c>
      <c r="W432">
        <v>122</v>
      </c>
      <c r="X432">
        <v>37</v>
      </c>
      <c r="Y432">
        <v>36</v>
      </c>
      <c r="Z432">
        <v>723</v>
      </c>
      <c r="AA432">
        <v>657</v>
      </c>
      <c r="AB432">
        <v>4.1100000000000003</v>
      </c>
      <c r="AC432">
        <v>7</v>
      </c>
      <c r="AD432">
        <v>3</v>
      </c>
      <c r="AE432">
        <v>31</v>
      </c>
      <c r="AF432" s="45">
        <f t="shared" ca="1" si="402"/>
        <v>6063</v>
      </c>
      <c r="AG432" s="45">
        <f t="shared" ca="1" si="416"/>
        <v>1445</v>
      </c>
      <c r="AH432" s="45">
        <f t="shared" ca="1" si="417"/>
        <v>954</v>
      </c>
      <c r="AI432" s="45">
        <f t="shared" ca="1" si="418"/>
        <v>315</v>
      </c>
      <c r="AJ432" s="45">
        <f t="shared" ca="1" si="419"/>
        <v>32</v>
      </c>
      <c r="AK432" s="45">
        <f t="shared" ca="1" si="420"/>
        <v>144</v>
      </c>
      <c r="AL432" s="45">
        <f t="shared" ca="1" si="421"/>
        <v>490</v>
      </c>
      <c r="AM432" s="45">
        <f t="shared" ca="1" si="422"/>
        <v>67</v>
      </c>
      <c r="AN432" s="45">
        <f t="shared" ca="1" si="423"/>
        <v>4061</v>
      </c>
      <c r="AO432">
        <v>4316</v>
      </c>
      <c r="AP432">
        <v>1437</v>
      </c>
      <c r="AQ432">
        <v>139</v>
      </c>
      <c r="AR432">
        <v>484</v>
      </c>
      <c r="AS432">
        <v>1137</v>
      </c>
      <c r="AT432">
        <v>106</v>
      </c>
      <c r="AU432">
        <v>151</v>
      </c>
      <c r="AV432">
        <v>0.98299999999999998</v>
      </c>
      <c r="AW432" s="1"/>
      <c r="AX432" s="1"/>
      <c r="AY432" s="47">
        <f t="shared" si="424"/>
        <v>29700</v>
      </c>
      <c r="AZ432" s="49">
        <f t="shared" si="425"/>
        <v>165614</v>
      </c>
      <c r="BA432" s="49">
        <f t="shared" ref="BA432" si="467">SUMIF($B$2:$B$571,$B432,$U$2:$U$571)</f>
        <v>108347</v>
      </c>
      <c r="BB432" s="48">
        <f t="shared" si="427"/>
        <v>0.6542140157233084</v>
      </c>
    </row>
    <row r="433" spans="2:54" x14ac:dyDescent="0.2">
      <c r="B433" s="3">
        <v>2014</v>
      </c>
      <c r="C433" t="s">
        <v>64</v>
      </c>
      <c r="D433" t="s">
        <v>65</v>
      </c>
      <c r="E433">
        <v>2</v>
      </c>
      <c r="F433" t="s">
        <v>38</v>
      </c>
      <c r="G433" t="s">
        <v>43</v>
      </c>
      <c r="H433" t="s">
        <v>43</v>
      </c>
      <c r="I433" t="s">
        <v>38</v>
      </c>
      <c r="J433">
        <v>89</v>
      </c>
      <c r="K433">
        <v>73</v>
      </c>
      <c r="L433">
        <v>651</v>
      </c>
      <c r="M433" s="38">
        <v>5545</v>
      </c>
      <c r="N433" s="38">
        <v>1456</v>
      </c>
      <c r="O433" s="38">
        <f t="shared" si="414"/>
        <v>1046</v>
      </c>
      <c r="P433" s="38">
        <v>286</v>
      </c>
      <c r="Q433" s="38">
        <v>29</v>
      </c>
      <c r="R433" s="38">
        <v>95</v>
      </c>
      <c r="S433" s="38">
        <v>380</v>
      </c>
      <c r="T433" s="38">
        <v>53</v>
      </c>
      <c r="U433" s="38">
        <f t="shared" si="415"/>
        <v>3656</v>
      </c>
      <c r="V433">
        <v>985</v>
      </c>
      <c r="W433">
        <v>153</v>
      </c>
      <c r="X433">
        <v>36</v>
      </c>
      <c r="Y433">
        <v>47</v>
      </c>
      <c r="Z433">
        <v>624</v>
      </c>
      <c r="AA433">
        <v>565</v>
      </c>
      <c r="AB433">
        <v>3.51</v>
      </c>
      <c r="AC433">
        <v>3</v>
      </c>
      <c r="AD433">
        <v>14</v>
      </c>
      <c r="AE433">
        <v>53</v>
      </c>
      <c r="AF433" s="45">
        <f t="shared" ca="1" si="402"/>
        <v>6427</v>
      </c>
      <c r="AG433" s="45">
        <f t="shared" ca="1" si="416"/>
        <v>1548</v>
      </c>
      <c r="AH433" s="45">
        <f t="shared" ca="1" si="417"/>
        <v>1041</v>
      </c>
      <c r="AI433" s="45">
        <f t="shared" ca="1" si="418"/>
        <v>255</v>
      </c>
      <c r="AJ433" s="45">
        <f t="shared" ca="1" si="419"/>
        <v>20</v>
      </c>
      <c r="AK433" s="45">
        <f t="shared" ca="1" si="420"/>
        <v>232</v>
      </c>
      <c r="AL433" s="45">
        <f t="shared" ca="1" si="421"/>
        <v>420</v>
      </c>
      <c r="AM433" s="45">
        <f t="shared" ca="1" si="422"/>
        <v>67</v>
      </c>
      <c r="AN433" s="45">
        <f t="shared" ca="1" si="423"/>
        <v>4392</v>
      </c>
      <c r="AO433">
        <v>4352</v>
      </c>
      <c r="AP433">
        <v>1386</v>
      </c>
      <c r="AQ433">
        <v>128</v>
      </c>
      <c r="AR433">
        <v>440</v>
      </c>
      <c r="AS433">
        <v>1168</v>
      </c>
      <c r="AT433">
        <v>104</v>
      </c>
      <c r="AU433">
        <v>122</v>
      </c>
      <c r="AV433">
        <v>0.98299999999999998</v>
      </c>
      <c r="AW433" s="1"/>
      <c r="AX433" s="1"/>
      <c r="AY433" s="47">
        <f t="shared" si="424"/>
        <v>29700</v>
      </c>
      <c r="AZ433" s="49">
        <f t="shared" si="425"/>
        <v>165614</v>
      </c>
      <c r="BA433" s="49"/>
      <c r="BB433" s="48">
        <f t="shared" si="427"/>
        <v>0</v>
      </c>
    </row>
    <row r="434" spans="2:54" x14ac:dyDescent="0.2">
      <c r="B434" s="3">
        <v>2014</v>
      </c>
      <c r="C434" t="s">
        <v>98</v>
      </c>
      <c r="D434" t="s">
        <v>99</v>
      </c>
      <c r="E434">
        <v>1</v>
      </c>
      <c r="F434" t="s">
        <v>43</v>
      </c>
      <c r="G434" t="s">
        <v>38</v>
      </c>
      <c r="H434" t="s">
        <v>38</v>
      </c>
      <c r="I434" t="s">
        <v>38</v>
      </c>
      <c r="J434">
        <v>98</v>
      </c>
      <c r="K434">
        <v>64</v>
      </c>
      <c r="L434">
        <v>773</v>
      </c>
      <c r="M434" s="38">
        <v>5652</v>
      </c>
      <c r="N434" s="38">
        <v>1464</v>
      </c>
      <c r="O434" s="38">
        <f t="shared" si="414"/>
        <v>974</v>
      </c>
      <c r="P434" s="38">
        <v>304</v>
      </c>
      <c r="Q434" s="38">
        <v>31</v>
      </c>
      <c r="R434" s="38">
        <v>155</v>
      </c>
      <c r="S434" s="38">
        <v>492</v>
      </c>
      <c r="T434" s="38">
        <v>60</v>
      </c>
      <c r="U434" s="38">
        <f t="shared" si="415"/>
        <v>3636</v>
      </c>
      <c r="V434">
        <v>1266</v>
      </c>
      <c r="W434">
        <v>81</v>
      </c>
      <c r="X434">
        <v>39</v>
      </c>
      <c r="Y434">
        <v>54</v>
      </c>
      <c r="Z434">
        <v>630</v>
      </c>
      <c r="AA434">
        <v>590</v>
      </c>
      <c r="AB434">
        <v>3.58</v>
      </c>
      <c r="AC434">
        <v>3</v>
      </c>
      <c r="AD434">
        <v>13</v>
      </c>
      <c r="AE434">
        <v>46</v>
      </c>
      <c r="AF434" s="45">
        <f t="shared" ca="1" si="402"/>
        <v>6365</v>
      </c>
      <c r="AG434" s="45">
        <f t="shared" ca="1" si="416"/>
        <v>1667</v>
      </c>
      <c r="AH434" s="45">
        <f t="shared" ca="1" si="417"/>
        <v>1131</v>
      </c>
      <c r="AI434" s="45">
        <f t="shared" ca="1" si="418"/>
        <v>356</v>
      </c>
      <c r="AJ434" s="45">
        <f t="shared" ca="1" si="419"/>
        <v>41</v>
      </c>
      <c r="AK434" s="45">
        <f t="shared" ca="1" si="420"/>
        <v>139</v>
      </c>
      <c r="AL434" s="45">
        <f t="shared" ca="1" si="421"/>
        <v>606</v>
      </c>
      <c r="AM434" s="45">
        <f t="shared" ca="1" si="422"/>
        <v>56</v>
      </c>
      <c r="AN434" s="45">
        <f t="shared" ca="1" si="423"/>
        <v>4036</v>
      </c>
      <c r="AO434">
        <v>4448</v>
      </c>
      <c r="AP434">
        <v>1307</v>
      </c>
      <c r="AQ434">
        <v>126</v>
      </c>
      <c r="AR434">
        <v>504</v>
      </c>
      <c r="AS434">
        <v>1342</v>
      </c>
      <c r="AT434">
        <v>83</v>
      </c>
      <c r="AU434">
        <v>127</v>
      </c>
      <c r="AV434">
        <v>0.98599999999999999</v>
      </c>
      <c r="AW434" s="1"/>
      <c r="AX434" s="1"/>
      <c r="AY434" s="47">
        <f t="shared" si="424"/>
        <v>29700</v>
      </c>
      <c r="AZ434" s="49">
        <f t="shared" si="425"/>
        <v>165614</v>
      </c>
      <c r="BA434" s="49">
        <f t="shared" ref="BA434" si="468">SUMIF($B$2:$B$571,$B434,$O$2:$O$571)</f>
        <v>28423</v>
      </c>
      <c r="BB434" s="48">
        <f t="shared" si="427"/>
        <v>0.17162196432668736</v>
      </c>
    </row>
    <row r="435" spans="2:54" x14ac:dyDescent="0.2">
      <c r="B435" s="3">
        <v>2014</v>
      </c>
      <c r="C435" t="s">
        <v>66</v>
      </c>
      <c r="D435" t="s">
        <v>67</v>
      </c>
      <c r="E435">
        <v>1</v>
      </c>
      <c r="F435" t="s">
        <v>43</v>
      </c>
      <c r="G435" t="s">
        <v>38</v>
      </c>
      <c r="H435" t="s">
        <v>38</v>
      </c>
      <c r="I435" t="s">
        <v>38</v>
      </c>
      <c r="J435">
        <v>94</v>
      </c>
      <c r="K435">
        <v>68</v>
      </c>
      <c r="L435">
        <v>718</v>
      </c>
      <c r="M435" s="38">
        <v>5560</v>
      </c>
      <c r="N435" s="38">
        <v>1476</v>
      </c>
      <c r="O435" s="38">
        <f t="shared" si="414"/>
        <v>1002</v>
      </c>
      <c r="P435" s="38">
        <v>302</v>
      </c>
      <c r="Q435" s="38">
        <v>38</v>
      </c>
      <c r="R435" s="38">
        <v>134</v>
      </c>
      <c r="S435" s="38">
        <v>519</v>
      </c>
      <c r="T435" s="38">
        <v>61</v>
      </c>
      <c r="U435" s="38">
        <f t="shared" si="415"/>
        <v>3504</v>
      </c>
      <c r="V435">
        <v>1246</v>
      </c>
      <c r="W435">
        <v>138</v>
      </c>
      <c r="X435">
        <v>50</v>
      </c>
      <c r="Y435">
        <v>43</v>
      </c>
      <c r="Z435">
        <v>617</v>
      </c>
      <c r="AA435">
        <v>554</v>
      </c>
      <c r="AB435">
        <v>3.4</v>
      </c>
      <c r="AC435">
        <v>7</v>
      </c>
      <c r="AD435">
        <v>16</v>
      </c>
      <c r="AE435">
        <v>47</v>
      </c>
      <c r="AF435" s="45">
        <f t="shared" ca="1" si="402"/>
        <v>6171</v>
      </c>
      <c r="AG435" s="45">
        <f t="shared" ca="1" si="416"/>
        <v>1584</v>
      </c>
      <c r="AH435" s="45">
        <f t="shared" ca="1" si="417"/>
        <v>1093</v>
      </c>
      <c r="AI435" s="45">
        <f t="shared" ca="1" si="418"/>
        <v>256</v>
      </c>
      <c r="AJ435" s="45">
        <f t="shared" ca="1" si="419"/>
        <v>22</v>
      </c>
      <c r="AK435" s="45">
        <f t="shared" ca="1" si="420"/>
        <v>213</v>
      </c>
      <c r="AL435" s="45">
        <f t="shared" ca="1" si="421"/>
        <v>563</v>
      </c>
      <c r="AM435" s="45">
        <f t="shared" ca="1" si="422"/>
        <v>72</v>
      </c>
      <c r="AN435" s="45">
        <f t="shared" ca="1" si="423"/>
        <v>3952</v>
      </c>
      <c r="AO435">
        <v>4394</v>
      </c>
      <c r="AP435">
        <v>1338</v>
      </c>
      <c r="AQ435">
        <v>142</v>
      </c>
      <c r="AR435">
        <v>429</v>
      </c>
      <c r="AS435">
        <v>1373</v>
      </c>
      <c r="AT435">
        <v>107</v>
      </c>
      <c r="AU435">
        <v>145</v>
      </c>
      <c r="AV435">
        <v>0.98299999999999998</v>
      </c>
      <c r="AW435" s="1"/>
      <c r="AX435" s="1"/>
      <c r="AY435" s="47">
        <f t="shared" si="424"/>
        <v>29700</v>
      </c>
      <c r="AZ435" s="49">
        <f t="shared" si="425"/>
        <v>165614</v>
      </c>
      <c r="BA435" s="49">
        <f t="shared" ref="BA435" si="469">SUMIF($B$2:$B$571,$B435,$P$2:$P$571)</f>
        <v>8137</v>
      </c>
      <c r="BB435" s="48">
        <f t="shared" si="427"/>
        <v>4.9132319731423672E-2</v>
      </c>
    </row>
    <row r="436" spans="2:54" x14ac:dyDescent="0.2">
      <c r="B436" s="3">
        <v>2014</v>
      </c>
      <c r="C436" t="s">
        <v>103</v>
      </c>
      <c r="D436" t="s">
        <v>104</v>
      </c>
      <c r="E436">
        <v>4</v>
      </c>
      <c r="F436" t="s">
        <v>38</v>
      </c>
      <c r="G436" t="s">
        <v>38</v>
      </c>
      <c r="H436" t="s">
        <v>38</v>
      </c>
      <c r="I436" t="s">
        <v>38</v>
      </c>
      <c r="J436">
        <v>77</v>
      </c>
      <c r="K436">
        <v>85</v>
      </c>
      <c r="L436">
        <v>645</v>
      </c>
      <c r="M436" s="38">
        <v>5538</v>
      </c>
      <c r="N436" s="38">
        <v>1399</v>
      </c>
      <c r="O436" s="38">
        <f t="shared" si="414"/>
        <v>987</v>
      </c>
      <c r="P436" s="38">
        <v>254</v>
      </c>
      <c r="Q436" s="38">
        <v>36</v>
      </c>
      <c r="R436" s="38">
        <v>122</v>
      </c>
      <c r="S436" s="38">
        <v>501</v>
      </c>
      <c r="T436" s="38">
        <v>35</v>
      </c>
      <c r="U436" s="38">
        <f t="shared" si="415"/>
        <v>3603</v>
      </c>
      <c r="V436">
        <v>1419</v>
      </c>
      <c r="W436">
        <v>58</v>
      </c>
      <c r="X436">
        <v>21</v>
      </c>
      <c r="Y436">
        <v>39</v>
      </c>
      <c r="Z436">
        <v>674</v>
      </c>
      <c r="AA436">
        <v>613</v>
      </c>
      <c r="AB436">
        <v>3.78</v>
      </c>
      <c r="AC436">
        <v>3</v>
      </c>
      <c r="AD436">
        <v>16</v>
      </c>
      <c r="AE436">
        <v>42</v>
      </c>
      <c r="AF436" s="45">
        <f t="shared" ca="1" si="402"/>
        <v>6446</v>
      </c>
      <c r="AG436" s="45">
        <f t="shared" ca="1" si="416"/>
        <v>1478</v>
      </c>
      <c r="AH436" s="45">
        <f t="shared" ca="1" si="417"/>
        <v>893</v>
      </c>
      <c r="AI436" s="45">
        <f t="shared" ca="1" si="418"/>
        <v>377</v>
      </c>
      <c r="AJ436" s="45">
        <f t="shared" ca="1" si="419"/>
        <v>44</v>
      </c>
      <c r="AK436" s="45">
        <f t="shared" ca="1" si="420"/>
        <v>164</v>
      </c>
      <c r="AL436" s="45">
        <f t="shared" ca="1" si="421"/>
        <v>414</v>
      </c>
      <c r="AM436" s="45">
        <f t="shared" ca="1" si="422"/>
        <v>31</v>
      </c>
      <c r="AN436" s="45">
        <f t="shared" ca="1" si="423"/>
        <v>4523</v>
      </c>
      <c r="AO436">
        <v>4373</v>
      </c>
      <c r="AP436">
        <v>1481</v>
      </c>
      <c r="AQ436">
        <v>114</v>
      </c>
      <c r="AR436">
        <v>458</v>
      </c>
      <c r="AS436">
        <v>1190</v>
      </c>
      <c r="AT436">
        <v>97</v>
      </c>
      <c r="AU436">
        <v>154</v>
      </c>
      <c r="AV436">
        <v>0.98399999999999999</v>
      </c>
      <c r="AW436" s="1"/>
      <c r="AX436" s="1"/>
      <c r="AY436" s="47">
        <f t="shared" si="424"/>
        <v>29700</v>
      </c>
      <c r="AZ436" s="49">
        <f t="shared" si="425"/>
        <v>165614</v>
      </c>
      <c r="BA436" s="49">
        <f t="shared" ref="BA436" si="470">SUMIF($B$2:$B$571,$B436,$Q$2:$Q$571)</f>
        <v>849</v>
      </c>
      <c r="BB436" s="48">
        <f t="shared" si="427"/>
        <v>5.1263782047411451E-3</v>
      </c>
    </row>
    <row r="437" spans="2:54" x14ac:dyDescent="0.2">
      <c r="B437" s="3">
        <v>2014</v>
      </c>
      <c r="C437" t="s">
        <v>68</v>
      </c>
      <c r="D437" t="s">
        <v>69</v>
      </c>
      <c r="E437">
        <v>3</v>
      </c>
      <c r="F437" t="s">
        <v>38</v>
      </c>
      <c r="G437" t="s">
        <v>38</v>
      </c>
      <c r="H437" t="s">
        <v>38</v>
      </c>
      <c r="I437" t="s">
        <v>38</v>
      </c>
      <c r="J437">
        <v>82</v>
      </c>
      <c r="K437">
        <v>80</v>
      </c>
      <c r="L437">
        <v>650</v>
      </c>
      <c r="M437" s="38">
        <v>5462</v>
      </c>
      <c r="N437" s="38">
        <v>1366</v>
      </c>
      <c r="O437" s="38">
        <f t="shared" si="414"/>
        <v>891</v>
      </c>
      <c r="P437" s="38">
        <v>297</v>
      </c>
      <c r="Q437" s="38">
        <v>28</v>
      </c>
      <c r="R437" s="38">
        <v>150</v>
      </c>
      <c r="S437" s="38">
        <v>423</v>
      </c>
      <c r="T437" s="38">
        <v>73</v>
      </c>
      <c r="U437" s="38">
        <f t="shared" si="415"/>
        <v>3600</v>
      </c>
      <c r="V437">
        <v>1197</v>
      </c>
      <c r="W437">
        <v>102</v>
      </c>
      <c r="X437">
        <v>43</v>
      </c>
      <c r="Y437">
        <v>37</v>
      </c>
      <c r="Z437">
        <v>657</v>
      </c>
      <c r="AA437">
        <v>594</v>
      </c>
      <c r="AB437">
        <v>3.67</v>
      </c>
      <c r="AC437">
        <v>3</v>
      </c>
      <c r="AD437">
        <v>9</v>
      </c>
      <c r="AE437">
        <v>45</v>
      </c>
      <c r="AF437" s="45">
        <f t="shared" ca="1" si="402"/>
        <v>6444</v>
      </c>
      <c r="AG437" s="45">
        <f t="shared" ca="1" si="416"/>
        <v>1392</v>
      </c>
      <c r="AH437" s="45">
        <f t="shared" ca="1" si="417"/>
        <v>785</v>
      </c>
      <c r="AI437" s="45">
        <f t="shared" ca="1" si="418"/>
        <v>386</v>
      </c>
      <c r="AJ437" s="45">
        <f t="shared" ca="1" si="419"/>
        <v>30</v>
      </c>
      <c r="AK437" s="45">
        <f t="shared" ca="1" si="420"/>
        <v>191</v>
      </c>
      <c r="AL437" s="45">
        <f t="shared" ca="1" si="421"/>
        <v>602</v>
      </c>
      <c r="AM437" s="45">
        <f t="shared" ca="1" si="422"/>
        <v>34</v>
      </c>
      <c r="AN437" s="45">
        <f t="shared" ca="1" si="423"/>
        <v>4416</v>
      </c>
      <c r="AO437">
        <v>4373</v>
      </c>
      <c r="AP437">
        <v>1386</v>
      </c>
      <c r="AQ437">
        <v>167</v>
      </c>
      <c r="AR437">
        <v>431</v>
      </c>
      <c r="AS437">
        <v>1246</v>
      </c>
      <c r="AT437">
        <v>99</v>
      </c>
      <c r="AU437">
        <v>130</v>
      </c>
      <c r="AV437">
        <v>0.98399999999999999</v>
      </c>
      <c r="AW437" s="1"/>
      <c r="AX437" s="1"/>
      <c r="AY437" s="47">
        <f t="shared" si="424"/>
        <v>29700</v>
      </c>
      <c r="AZ437" s="49">
        <f t="shared" si="425"/>
        <v>165614</v>
      </c>
      <c r="BA437" s="49">
        <f t="shared" ref="BA437" si="471">SUMIF($B$2:$B$571,$B437,$R$2:$R$571)</f>
        <v>4186</v>
      </c>
      <c r="BB437" s="48">
        <f t="shared" si="427"/>
        <v>2.5275640948229015E-2</v>
      </c>
    </row>
    <row r="438" spans="2:54" x14ac:dyDescent="0.2">
      <c r="B438" s="3">
        <v>2014</v>
      </c>
      <c r="C438" t="s">
        <v>70</v>
      </c>
      <c r="D438" t="s">
        <v>71</v>
      </c>
      <c r="E438">
        <v>5</v>
      </c>
      <c r="F438" t="s">
        <v>38</v>
      </c>
      <c r="G438" t="s">
        <v>38</v>
      </c>
      <c r="H438" t="s">
        <v>38</v>
      </c>
      <c r="I438" t="s">
        <v>38</v>
      </c>
      <c r="J438">
        <v>70</v>
      </c>
      <c r="K438">
        <v>92</v>
      </c>
      <c r="L438">
        <v>715</v>
      </c>
      <c r="M438" s="38">
        <v>5567</v>
      </c>
      <c r="N438" s="38">
        <v>1412</v>
      </c>
      <c r="O438" s="38">
        <f t="shared" si="414"/>
        <v>941</v>
      </c>
      <c r="P438" s="38">
        <v>316</v>
      </c>
      <c r="Q438" s="38">
        <v>27</v>
      </c>
      <c r="R438" s="38">
        <v>128</v>
      </c>
      <c r="S438" s="38">
        <v>544</v>
      </c>
      <c r="T438" s="38">
        <v>53</v>
      </c>
      <c r="U438" s="38">
        <f t="shared" si="415"/>
        <v>3558</v>
      </c>
      <c r="V438">
        <v>1329</v>
      </c>
      <c r="W438">
        <v>99</v>
      </c>
      <c r="X438">
        <v>36</v>
      </c>
      <c r="Y438">
        <v>44</v>
      </c>
      <c r="Z438">
        <v>777</v>
      </c>
      <c r="AA438">
        <v>728</v>
      </c>
      <c r="AB438">
        <v>4.57</v>
      </c>
      <c r="AC438">
        <v>2</v>
      </c>
      <c r="AD438">
        <v>7</v>
      </c>
      <c r="AE438">
        <v>38</v>
      </c>
      <c r="AF438" s="45">
        <f t="shared" ref="AF438:AF501" ca="1" si="472">RANDBETWEEN(6049,6490)</f>
        <v>6120</v>
      </c>
      <c r="AG438" s="45">
        <f t="shared" ca="1" si="416"/>
        <v>1527</v>
      </c>
      <c r="AH438" s="45">
        <f t="shared" ca="1" si="417"/>
        <v>901</v>
      </c>
      <c r="AI438" s="45">
        <f t="shared" ca="1" si="418"/>
        <v>379</v>
      </c>
      <c r="AJ438" s="45">
        <f t="shared" ca="1" si="419"/>
        <v>45</v>
      </c>
      <c r="AK438" s="45">
        <f t="shared" ca="1" si="420"/>
        <v>202</v>
      </c>
      <c r="AL438" s="45">
        <f t="shared" ca="1" si="421"/>
        <v>698</v>
      </c>
      <c r="AM438" s="45">
        <f t="shared" ca="1" si="422"/>
        <v>63</v>
      </c>
      <c r="AN438" s="45">
        <f t="shared" ca="1" si="423"/>
        <v>3832</v>
      </c>
      <c r="AO438">
        <v>4305</v>
      </c>
      <c r="AP438">
        <v>1588</v>
      </c>
      <c r="AQ438">
        <v>147</v>
      </c>
      <c r="AR438">
        <v>408</v>
      </c>
      <c r="AS438">
        <v>1031</v>
      </c>
      <c r="AT438">
        <v>97</v>
      </c>
      <c r="AU438">
        <v>136</v>
      </c>
      <c r="AV438">
        <v>0.98399999999999999</v>
      </c>
      <c r="AW438" s="1"/>
      <c r="AX438" s="1"/>
      <c r="AY438" s="47">
        <f t="shared" si="424"/>
        <v>29700</v>
      </c>
      <c r="AZ438" s="49">
        <f t="shared" si="425"/>
        <v>165614</v>
      </c>
      <c r="BA438" s="49">
        <f t="shared" ref="BA438" si="473">SUMIF($B$2:$B$571,$B438,$S$2:$S$571)</f>
        <v>14020</v>
      </c>
      <c r="BB438" s="48">
        <f t="shared" si="427"/>
        <v>8.4654678952262488E-2</v>
      </c>
    </row>
    <row r="439" spans="2:54" x14ac:dyDescent="0.2">
      <c r="B439" s="3">
        <v>2014</v>
      </c>
      <c r="C439" t="s">
        <v>74</v>
      </c>
      <c r="D439" t="s">
        <v>75</v>
      </c>
      <c r="E439">
        <v>2</v>
      </c>
      <c r="F439" t="s">
        <v>38</v>
      </c>
      <c r="G439" t="s">
        <v>38</v>
      </c>
      <c r="H439" t="s">
        <v>38</v>
      </c>
      <c r="I439" t="s">
        <v>38</v>
      </c>
      <c r="J439">
        <v>84</v>
      </c>
      <c r="K439">
        <v>78</v>
      </c>
      <c r="L439">
        <v>633</v>
      </c>
      <c r="M439" s="38">
        <v>5497</v>
      </c>
      <c r="N439" s="38">
        <v>1349</v>
      </c>
      <c r="O439" s="38">
        <f t="shared" si="414"/>
        <v>929</v>
      </c>
      <c r="P439" s="38">
        <v>247</v>
      </c>
      <c r="Q439" s="38">
        <v>26</v>
      </c>
      <c r="R439" s="38">
        <v>147</v>
      </c>
      <c r="S439" s="38">
        <v>452</v>
      </c>
      <c r="T439" s="38">
        <v>56</v>
      </c>
      <c r="U439" s="38">
        <f t="shared" si="415"/>
        <v>3640</v>
      </c>
      <c r="V439">
        <v>1133</v>
      </c>
      <c r="W439">
        <v>112</v>
      </c>
      <c r="X439">
        <v>26</v>
      </c>
      <c r="Y439">
        <v>47</v>
      </c>
      <c r="Z439">
        <v>664</v>
      </c>
      <c r="AA439">
        <v>605</v>
      </c>
      <c r="AB439">
        <v>3.75</v>
      </c>
      <c r="AC439">
        <v>5</v>
      </c>
      <c r="AD439">
        <v>10</v>
      </c>
      <c r="AE439">
        <v>48</v>
      </c>
      <c r="AF439" s="45">
        <f t="shared" ca="1" si="472"/>
        <v>6252</v>
      </c>
      <c r="AG439" s="45">
        <f t="shared" ca="1" si="416"/>
        <v>1575</v>
      </c>
      <c r="AH439" s="45">
        <f t="shared" ca="1" si="417"/>
        <v>940</v>
      </c>
      <c r="AI439" s="45">
        <f t="shared" ca="1" si="418"/>
        <v>348</v>
      </c>
      <c r="AJ439" s="45">
        <f t="shared" ca="1" si="419"/>
        <v>48</v>
      </c>
      <c r="AK439" s="45">
        <f t="shared" ca="1" si="420"/>
        <v>239</v>
      </c>
      <c r="AL439" s="45">
        <f t="shared" ca="1" si="421"/>
        <v>451</v>
      </c>
      <c r="AM439" s="45">
        <f t="shared" ca="1" si="422"/>
        <v>66</v>
      </c>
      <c r="AN439" s="45">
        <f t="shared" ca="1" si="423"/>
        <v>4160</v>
      </c>
      <c r="AO439">
        <v>4359</v>
      </c>
      <c r="AP439">
        <v>1392</v>
      </c>
      <c r="AQ439">
        <v>164</v>
      </c>
      <c r="AR439">
        <v>398</v>
      </c>
      <c r="AS439">
        <v>1370</v>
      </c>
      <c r="AT439">
        <v>92</v>
      </c>
      <c r="AU439">
        <v>107</v>
      </c>
      <c r="AV439">
        <v>0.98399999999999999</v>
      </c>
      <c r="AW439" s="1"/>
      <c r="AX439" s="1"/>
      <c r="AY439" s="47">
        <f t="shared" si="424"/>
        <v>29700</v>
      </c>
      <c r="AZ439" s="49">
        <f t="shared" si="425"/>
        <v>165614</v>
      </c>
      <c r="BA439" s="49">
        <f t="shared" ref="BA439" si="474">SUMIF($B$2:$B$571,$B439,$T$2:$T$571)</f>
        <v>1652</v>
      </c>
      <c r="BB439" s="48">
        <f t="shared" si="427"/>
        <v>9.9750021133479059E-3</v>
      </c>
    </row>
    <row r="440" spans="2:54" x14ac:dyDescent="0.2">
      <c r="B440" s="3">
        <v>2014</v>
      </c>
      <c r="C440" t="s">
        <v>76</v>
      </c>
      <c r="D440" t="s">
        <v>77</v>
      </c>
      <c r="E440">
        <v>3</v>
      </c>
      <c r="F440" t="s">
        <v>38</v>
      </c>
      <c r="G440" t="s">
        <v>38</v>
      </c>
      <c r="H440" t="s">
        <v>38</v>
      </c>
      <c r="I440" t="s">
        <v>38</v>
      </c>
      <c r="J440">
        <v>79</v>
      </c>
      <c r="K440">
        <v>83</v>
      </c>
      <c r="L440">
        <v>629</v>
      </c>
      <c r="M440" s="38">
        <v>5472</v>
      </c>
      <c r="N440" s="38">
        <v>1306</v>
      </c>
      <c r="O440" s="38">
        <f t="shared" si="414"/>
        <v>887</v>
      </c>
      <c r="P440" s="38">
        <v>275</v>
      </c>
      <c r="Q440" s="38">
        <v>19</v>
      </c>
      <c r="R440" s="38">
        <v>125</v>
      </c>
      <c r="S440" s="38">
        <v>516</v>
      </c>
      <c r="T440" s="38">
        <v>54</v>
      </c>
      <c r="U440" s="38">
        <f t="shared" si="415"/>
        <v>3596</v>
      </c>
      <c r="V440">
        <v>1264</v>
      </c>
      <c r="W440">
        <v>101</v>
      </c>
      <c r="X440">
        <v>34</v>
      </c>
      <c r="Y440">
        <v>44</v>
      </c>
      <c r="Z440">
        <v>618</v>
      </c>
      <c r="AA440">
        <v>568</v>
      </c>
      <c r="AB440">
        <v>3.49</v>
      </c>
      <c r="AC440">
        <v>1</v>
      </c>
      <c r="AD440">
        <v>11</v>
      </c>
      <c r="AE440">
        <v>42</v>
      </c>
      <c r="AF440" s="45">
        <f t="shared" ca="1" si="472"/>
        <v>6348</v>
      </c>
      <c r="AG440" s="45">
        <f t="shared" ca="1" si="416"/>
        <v>1699</v>
      </c>
      <c r="AH440" s="45">
        <f t="shared" ca="1" si="417"/>
        <v>1231</v>
      </c>
      <c r="AI440" s="45">
        <f t="shared" ca="1" si="418"/>
        <v>241</v>
      </c>
      <c r="AJ440" s="45">
        <f t="shared" ca="1" si="419"/>
        <v>22</v>
      </c>
      <c r="AK440" s="45">
        <f t="shared" ca="1" si="420"/>
        <v>205</v>
      </c>
      <c r="AL440" s="45">
        <f t="shared" ca="1" si="421"/>
        <v>604</v>
      </c>
      <c r="AM440" s="45">
        <f t="shared" ca="1" si="422"/>
        <v>85</v>
      </c>
      <c r="AN440" s="45">
        <f t="shared" ca="1" si="423"/>
        <v>3960</v>
      </c>
      <c r="AO440">
        <v>4391</v>
      </c>
      <c r="AP440">
        <v>1370</v>
      </c>
      <c r="AQ440">
        <v>141</v>
      </c>
      <c r="AR440">
        <v>509</v>
      </c>
      <c r="AS440">
        <v>1303</v>
      </c>
      <c r="AT440">
        <v>104</v>
      </c>
      <c r="AU440">
        <v>158</v>
      </c>
      <c r="AV440">
        <v>0.98299999999999998</v>
      </c>
      <c r="AW440" s="1"/>
      <c r="AX440" s="1"/>
      <c r="AY440" s="47">
        <f t="shared" si="424"/>
        <v>29700</v>
      </c>
      <c r="AZ440" s="49">
        <f t="shared" si="425"/>
        <v>165614</v>
      </c>
      <c r="BA440" s="49">
        <f t="shared" ref="BA440" si="475">SUMIF($B$2:$B$571,$B440,$U$2:$U$571)</f>
        <v>108347</v>
      </c>
      <c r="BB440" s="48">
        <f t="shared" si="427"/>
        <v>0.6542140157233084</v>
      </c>
    </row>
    <row r="441" spans="2:54" x14ac:dyDescent="0.2">
      <c r="B441" s="3">
        <v>2014</v>
      </c>
      <c r="C441" t="s">
        <v>78</v>
      </c>
      <c r="D441" t="s">
        <v>79</v>
      </c>
      <c r="E441">
        <v>2</v>
      </c>
      <c r="F441" t="s">
        <v>38</v>
      </c>
      <c r="G441" t="s">
        <v>43</v>
      </c>
      <c r="H441" t="s">
        <v>38</v>
      </c>
      <c r="I441" t="s">
        <v>38</v>
      </c>
      <c r="J441">
        <v>88</v>
      </c>
      <c r="K441">
        <v>74</v>
      </c>
      <c r="L441">
        <v>729</v>
      </c>
      <c r="M441" s="38">
        <v>5545</v>
      </c>
      <c r="N441" s="38">
        <v>1354</v>
      </c>
      <c r="O441" s="38">
        <f t="shared" si="414"/>
        <v>922</v>
      </c>
      <c r="P441" s="38">
        <v>253</v>
      </c>
      <c r="Q441" s="38">
        <v>33</v>
      </c>
      <c r="R441" s="38">
        <v>146</v>
      </c>
      <c r="S441" s="38">
        <v>586</v>
      </c>
      <c r="T441" s="38">
        <v>49</v>
      </c>
      <c r="U441" s="38">
        <f t="shared" si="415"/>
        <v>3556</v>
      </c>
      <c r="V441">
        <v>1104</v>
      </c>
      <c r="W441">
        <v>83</v>
      </c>
      <c r="X441">
        <v>20</v>
      </c>
      <c r="Y441">
        <v>43</v>
      </c>
      <c r="Z441">
        <v>572</v>
      </c>
      <c r="AA441">
        <v>524</v>
      </c>
      <c r="AB441">
        <v>3.22</v>
      </c>
      <c r="AC441">
        <v>7</v>
      </c>
      <c r="AD441">
        <v>13</v>
      </c>
      <c r="AE441">
        <v>31</v>
      </c>
      <c r="AF441" s="45">
        <f t="shared" ca="1" si="472"/>
        <v>6388</v>
      </c>
      <c r="AG441" s="45">
        <f t="shared" ca="1" si="416"/>
        <v>1672</v>
      </c>
      <c r="AH441" s="45">
        <f t="shared" ca="1" si="417"/>
        <v>1160</v>
      </c>
      <c r="AI441" s="45">
        <f t="shared" ca="1" si="418"/>
        <v>283</v>
      </c>
      <c r="AJ441" s="45">
        <f t="shared" ca="1" si="419"/>
        <v>21</v>
      </c>
      <c r="AK441" s="45">
        <f t="shared" ca="1" si="420"/>
        <v>208</v>
      </c>
      <c r="AL441" s="45">
        <f t="shared" ca="1" si="421"/>
        <v>427</v>
      </c>
      <c r="AM441" s="45">
        <f t="shared" ca="1" si="422"/>
        <v>43</v>
      </c>
      <c r="AN441" s="45">
        <f t="shared" ca="1" si="423"/>
        <v>4246</v>
      </c>
      <c r="AO441">
        <v>4390</v>
      </c>
      <c r="AP441">
        <v>1269</v>
      </c>
      <c r="AQ441">
        <v>147</v>
      </c>
      <c r="AR441">
        <v>406</v>
      </c>
      <c r="AS441">
        <v>1244</v>
      </c>
      <c r="AT441">
        <v>111</v>
      </c>
      <c r="AU441">
        <v>150</v>
      </c>
      <c r="AV441">
        <v>0.98199999999999998</v>
      </c>
      <c r="AW441" s="1"/>
      <c r="AX441" s="1"/>
      <c r="AY441" s="47">
        <f t="shared" si="424"/>
        <v>29700</v>
      </c>
      <c r="AZ441" s="49">
        <f t="shared" si="425"/>
        <v>165614</v>
      </c>
      <c r="BA441" s="49"/>
      <c r="BB441" s="48">
        <f t="shared" si="427"/>
        <v>0</v>
      </c>
    </row>
    <row r="442" spans="2:54" x14ac:dyDescent="0.2">
      <c r="B442" s="3">
        <v>2014</v>
      </c>
      <c r="C442" t="s">
        <v>80</v>
      </c>
      <c r="D442" t="s">
        <v>81</v>
      </c>
      <c r="E442">
        <v>5</v>
      </c>
      <c r="F442" t="s">
        <v>38</v>
      </c>
      <c r="G442" t="s">
        <v>38</v>
      </c>
      <c r="H442" t="s">
        <v>38</v>
      </c>
      <c r="I442" t="s">
        <v>38</v>
      </c>
      <c r="J442">
        <v>73</v>
      </c>
      <c r="K442">
        <v>89</v>
      </c>
      <c r="L442">
        <v>619</v>
      </c>
      <c r="M442" s="38">
        <v>5603</v>
      </c>
      <c r="N442" s="38">
        <v>1356</v>
      </c>
      <c r="O442" s="38">
        <f t="shared" si="414"/>
        <v>953</v>
      </c>
      <c r="P442" s="38">
        <v>251</v>
      </c>
      <c r="Q442" s="38">
        <v>27</v>
      </c>
      <c r="R442" s="38">
        <v>125</v>
      </c>
      <c r="S442" s="38">
        <v>443</v>
      </c>
      <c r="T442" s="38">
        <v>55</v>
      </c>
      <c r="U442" s="38">
        <f t="shared" si="415"/>
        <v>3749</v>
      </c>
      <c r="V442">
        <v>1306</v>
      </c>
      <c r="W442">
        <v>109</v>
      </c>
      <c r="X442">
        <v>26</v>
      </c>
      <c r="Y442">
        <v>37</v>
      </c>
      <c r="Z442">
        <v>687</v>
      </c>
      <c r="AA442">
        <v>619</v>
      </c>
      <c r="AB442">
        <v>3.79</v>
      </c>
      <c r="AC442">
        <v>2</v>
      </c>
      <c r="AD442">
        <v>12</v>
      </c>
      <c r="AE442">
        <v>40</v>
      </c>
      <c r="AF442" s="45">
        <f t="shared" ca="1" si="472"/>
        <v>6081</v>
      </c>
      <c r="AG442" s="45">
        <f t="shared" ca="1" si="416"/>
        <v>1411</v>
      </c>
      <c r="AH442" s="45">
        <f t="shared" ca="1" si="417"/>
        <v>803</v>
      </c>
      <c r="AI442" s="45">
        <f t="shared" ca="1" si="418"/>
        <v>393</v>
      </c>
      <c r="AJ442" s="45">
        <f t="shared" ca="1" si="419"/>
        <v>31</v>
      </c>
      <c r="AK442" s="45">
        <f t="shared" ca="1" si="420"/>
        <v>184</v>
      </c>
      <c r="AL442" s="45">
        <f t="shared" ca="1" si="421"/>
        <v>622</v>
      </c>
      <c r="AM442" s="45">
        <f t="shared" ca="1" si="422"/>
        <v>41</v>
      </c>
      <c r="AN442" s="45">
        <f t="shared" ca="1" si="423"/>
        <v>4007</v>
      </c>
      <c r="AO442">
        <v>4405</v>
      </c>
      <c r="AP442">
        <v>1396</v>
      </c>
      <c r="AQ442">
        <v>134</v>
      </c>
      <c r="AR442">
        <v>521</v>
      </c>
      <c r="AS442">
        <v>1255</v>
      </c>
      <c r="AT442">
        <v>83</v>
      </c>
      <c r="AU442">
        <v>133</v>
      </c>
      <c r="AV442">
        <v>0.98699999999999999</v>
      </c>
      <c r="AW442" s="1"/>
      <c r="AX442" s="1"/>
      <c r="AY442" s="47">
        <f t="shared" si="424"/>
        <v>29700</v>
      </c>
      <c r="AZ442" s="49">
        <f t="shared" si="425"/>
        <v>165614</v>
      </c>
      <c r="BA442" s="49">
        <f t="shared" ref="BA442" si="476">SUMIF($B$2:$B$571,$B442,$O$2:$O$571)</f>
        <v>28423</v>
      </c>
      <c r="BB442" s="48">
        <f t="shared" si="427"/>
        <v>0.17162196432668736</v>
      </c>
    </row>
    <row r="443" spans="2:54" x14ac:dyDescent="0.2">
      <c r="B443" s="3">
        <v>2014</v>
      </c>
      <c r="C443" t="s">
        <v>82</v>
      </c>
      <c r="D443" t="s">
        <v>83</v>
      </c>
      <c r="E443">
        <v>2</v>
      </c>
      <c r="F443" t="s">
        <v>38</v>
      </c>
      <c r="G443" t="s">
        <v>43</v>
      </c>
      <c r="H443" t="s">
        <v>38</v>
      </c>
      <c r="I443" t="s">
        <v>38</v>
      </c>
      <c r="J443">
        <v>88</v>
      </c>
      <c r="K443">
        <v>74</v>
      </c>
      <c r="L443">
        <v>682</v>
      </c>
      <c r="M443" s="38">
        <v>5536</v>
      </c>
      <c r="N443" s="38">
        <v>1436</v>
      </c>
      <c r="O443" s="38">
        <f t="shared" si="414"/>
        <v>975</v>
      </c>
      <c r="P443" s="38">
        <v>275</v>
      </c>
      <c r="Q443" s="38">
        <v>30</v>
      </c>
      <c r="R443" s="38">
        <v>156</v>
      </c>
      <c r="S443" s="38">
        <v>520</v>
      </c>
      <c r="T443" s="38">
        <v>78</v>
      </c>
      <c r="U443" s="38">
        <f t="shared" si="415"/>
        <v>3502</v>
      </c>
      <c r="V443">
        <v>1244</v>
      </c>
      <c r="W443">
        <v>104</v>
      </c>
      <c r="X443">
        <v>47</v>
      </c>
      <c r="Y443">
        <v>35</v>
      </c>
      <c r="Z443">
        <v>631</v>
      </c>
      <c r="AA443">
        <v>562</v>
      </c>
      <c r="AB443">
        <v>3.47</v>
      </c>
      <c r="AC443">
        <v>2</v>
      </c>
      <c r="AD443">
        <v>7</v>
      </c>
      <c r="AE443">
        <v>48</v>
      </c>
      <c r="AF443" s="45">
        <f t="shared" ca="1" si="472"/>
        <v>6453</v>
      </c>
      <c r="AG443" s="45">
        <f t="shared" ca="1" si="416"/>
        <v>1672</v>
      </c>
      <c r="AH443" s="45">
        <f t="shared" ca="1" si="417"/>
        <v>1048</v>
      </c>
      <c r="AI443" s="45">
        <f t="shared" ca="1" si="418"/>
        <v>383</v>
      </c>
      <c r="AJ443" s="45">
        <f t="shared" ca="1" si="419"/>
        <v>24</v>
      </c>
      <c r="AK443" s="45">
        <f t="shared" ca="1" si="420"/>
        <v>217</v>
      </c>
      <c r="AL443" s="45">
        <f t="shared" ca="1" si="421"/>
        <v>476</v>
      </c>
      <c r="AM443" s="45">
        <f t="shared" ca="1" si="422"/>
        <v>62</v>
      </c>
      <c r="AN443" s="45">
        <f t="shared" ca="1" si="423"/>
        <v>4243</v>
      </c>
      <c r="AO443">
        <v>4369</v>
      </c>
      <c r="AP443">
        <v>1341</v>
      </c>
      <c r="AQ443">
        <v>128</v>
      </c>
      <c r="AR443">
        <v>499</v>
      </c>
      <c r="AS443">
        <v>1228</v>
      </c>
      <c r="AT443">
        <v>109</v>
      </c>
      <c r="AU443">
        <v>148</v>
      </c>
      <c r="AV443">
        <v>0.98299999999999998</v>
      </c>
      <c r="AW443" s="1"/>
      <c r="AX443" s="1"/>
      <c r="AY443" s="47">
        <f t="shared" si="424"/>
        <v>29700</v>
      </c>
      <c r="AZ443" s="49">
        <f t="shared" si="425"/>
        <v>165614</v>
      </c>
      <c r="BA443" s="49">
        <f t="shared" ref="BA443" si="477">SUMIF($B$2:$B$571,$B443,$P$2:$P$571)</f>
        <v>8137</v>
      </c>
      <c r="BB443" s="48">
        <f t="shared" si="427"/>
        <v>4.9132319731423672E-2</v>
      </c>
    </row>
    <row r="444" spans="2:54" x14ac:dyDescent="0.2">
      <c r="B444" s="3">
        <v>2014</v>
      </c>
      <c r="C444" t="s">
        <v>84</v>
      </c>
      <c r="D444" t="s">
        <v>85</v>
      </c>
      <c r="E444">
        <v>3</v>
      </c>
      <c r="F444" t="s">
        <v>38</v>
      </c>
      <c r="G444" t="s">
        <v>38</v>
      </c>
      <c r="H444" t="s">
        <v>38</v>
      </c>
      <c r="I444" t="s">
        <v>38</v>
      </c>
      <c r="J444">
        <v>77</v>
      </c>
      <c r="K444">
        <v>85</v>
      </c>
      <c r="L444">
        <v>535</v>
      </c>
      <c r="M444" s="38">
        <v>5294</v>
      </c>
      <c r="N444" s="38">
        <v>1199</v>
      </c>
      <c r="O444" s="38">
        <f t="shared" si="414"/>
        <v>836</v>
      </c>
      <c r="P444" s="38">
        <v>224</v>
      </c>
      <c r="Q444" s="38">
        <v>30</v>
      </c>
      <c r="R444" s="38">
        <v>109</v>
      </c>
      <c r="S444" s="38">
        <v>468</v>
      </c>
      <c r="T444" s="38">
        <v>41</v>
      </c>
      <c r="U444" s="38">
        <f t="shared" si="415"/>
        <v>3586</v>
      </c>
      <c r="V444">
        <v>1294</v>
      </c>
      <c r="W444">
        <v>91</v>
      </c>
      <c r="X444">
        <v>34</v>
      </c>
      <c r="Y444">
        <v>45</v>
      </c>
      <c r="Z444">
        <v>577</v>
      </c>
      <c r="AA444">
        <v>523</v>
      </c>
      <c r="AB444">
        <v>3.27</v>
      </c>
      <c r="AC444">
        <v>4</v>
      </c>
      <c r="AD444">
        <v>10</v>
      </c>
      <c r="AE444">
        <v>41</v>
      </c>
      <c r="AF444" s="45">
        <f t="shared" ca="1" si="472"/>
        <v>6352</v>
      </c>
      <c r="AG444" s="45">
        <f t="shared" ca="1" si="416"/>
        <v>1347</v>
      </c>
      <c r="AH444" s="45">
        <f t="shared" ca="1" si="417"/>
        <v>800</v>
      </c>
      <c r="AI444" s="45">
        <f t="shared" ca="1" si="418"/>
        <v>344</v>
      </c>
      <c r="AJ444" s="45">
        <f t="shared" ca="1" si="419"/>
        <v>29</v>
      </c>
      <c r="AK444" s="45">
        <f t="shared" ca="1" si="420"/>
        <v>174</v>
      </c>
      <c r="AL444" s="45">
        <f t="shared" ca="1" si="421"/>
        <v>479</v>
      </c>
      <c r="AM444" s="45">
        <f t="shared" ca="1" si="422"/>
        <v>39</v>
      </c>
      <c r="AN444" s="45">
        <f t="shared" ca="1" si="423"/>
        <v>4487</v>
      </c>
      <c r="AO444">
        <v>4316</v>
      </c>
      <c r="AP444">
        <v>1300</v>
      </c>
      <c r="AQ444">
        <v>117</v>
      </c>
      <c r="AR444">
        <v>462</v>
      </c>
      <c r="AS444">
        <v>1284</v>
      </c>
      <c r="AT444">
        <v>101</v>
      </c>
      <c r="AU444">
        <v>124</v>
      </c>
      <c r="AV444">
        <v>0.98299999999999998</v>
      </c>
      <c r="AW444" s="1"/>
      <c r="AX444" s="1"/>
      <c r="AY444" s="47">
        <f t="shared" si="424"/>
        <v>29700</v>
      </c>
      <c r="AZ444" s="49">
        <f t="shared" si="425"/>
        <v>165614</v>
      </c>
      <c r="BA444" s="49">
        <f t="shared" ref="BA444" si="478">SUMIF($B$2:$B$571,$B444,$Q$2:$Q$571)</f>
        <v>849</v>
      </c>
      <c r="BB444" s="48">
        <f t="shared" si="427"/>
        <v>5.1263782047411451E-3</v>
      </c>
    </row>
    <row r="445" spans="2:54" x14ac:dyDescent="0.2">
      <c r="B445" s="3">
        <v>2014</v>
      </c>
      <c r="C445" t="s">
        <v>86</v>
      </c>
      <c r="D445" t="s">
        <v>87</v>
      </c>
      <c r="E445">
        <v>3</v>
      </c>
      <c r="F445" t="s">
        <v>38</v>
      </c>
      <c r="G445" t="s">
        <v>38</v>
      </c>
      <c r="H445" t="s">
        <v>38</v>
      </c>
      <c r="I445" t="s">
        <v>38</v>
      </c>
      <c r="J445">
        <v>87</v>
      </c>
      <c r="K445">
        <v>75</v>
      </c>
      <c r="L445">
        <v>634</v>
      </c>
      <c r="M445" s="38">
        <v>5450</v>
      </c>
      <c r="N445" s="38">
        <v>1328</v>
      </c>
      <c r="O445" s="38">
        <f t="shared" si="414"/>
        <v>913</v>
      </c>
      <c r="P445" s="38">
        <v>247</v>
      </c>
      <c r="Q445" s="38">
        <v>32</v>
      </c>
      <c r="R445" s="38">
        <v>136</v>
      </c>
      <c r="S445" s="38">
        <v>396</v>
      </c>
      <c r="T445" s="38">
        <v>60</v>
      </c>
      <c r="U445" s="38">
        <f t="shared" si="415"/>
        <v>3666</v>
      </c>
      <c r="V445">
        <v>1232</v>
      </c>
      <c r="W445">
        <v>96</v>
      </c>
      <c r="X445">
        <v>42</v>
      </c>
      <c r="Y445">
        <v>34</v>
      </c>
      <c r="Z445">
        <v>554</v>
      </c>
      <c r="AA445">
        <v>512</v>
      </c>
      <c r="AB445">
        <v>3.17</v>
      </c>
      <c r="AC445">
        <v>2</v>
      </c>
      <c r="AD445">
        <v>9</v>
      </c>
      <c r="AE445">
        <v>51</v>
      </c>
      <c r="AF445" s="45">
        <f t="shared" ca="1" si="472"/>
        <v>6358</v>
      </c>
      <c r="AG445" s="45">
        <f t="shared" ca="1" si="416"/>
        <v>1691</v>
      </c>
      <c r="AH445" s="45">
        <f t="shared" ca="1" si="417"/>
        <v>1128</v>
      </c>
      <c r="AI445" s="45">
        <f t="shared" ca="1" si="418"/>
        <v>342</v>
      </c>
      <c r="AJ445" s="45">
        <f t="shared" ca="1" si="419"/>
        <v>26</v>
      </c>
      <c r="AK445" s="45">
        <f t="shared" ca="1" si="420"/>
        <v>195</v>
      </c>
      <c r="AL445" s="45">
        <f t="shared" ca="1" si="421"/>
        <v>591</v>
      </c>
      <c r="AM445" s="45">
        <f t="shared" ca="1" si="422"/>
        <v>31</v>
      </c>
      <c r="AN445" s="45">
        <f t="shared" ca="1" si="423"/>
        <v>4045</v>
      </c>
      <c r="AO445">
        <v>4356</v>
      </c>
      <c r="AP445">
        <v>1240</v>
      </c>
      <c r="AQ445">
        <v>137</v>
      </c>
      <c r="AR445">
        <v>463</v>
      </c>
      <c r="AS445">
        <v>1317</v>
      </c>
      <c r="AT445">
        <v>82</v>
      </c>
      <c r="AU445">
        <v>139</v>
      </c>
      <c r="AV445">
        <v>0.98599999999999999</v>
      </c>
      <c r="AW445" s="1"/>
      <c r="AX445" s="1"/>
      <c r="AY445" s="47">
        <f t="shared" si="424"/>
        <v>29700</v>
      </c>
      <c r="AZ445" s="49">
        <f t="shared" si="425"/>
        <v>165614</v>
      </c>
      <c r="BA445" s="49">
        <f t="shared" ref="BA445" si="479">SUMIF($B$2:$B$571,$B445,$R$2:$R$571)</f>
        <v>4186</v>
      </c>
      <c r="BB445" s="48">
        <f t="shared" si="427"/>
        <v>2.5275640948229015E-2</v>
      </c>
    </row>
    <row r="446" spans="2:54" x14ac:dyDescent="0.2">
      <c r="B446" s="3">
        <v>2014</v>
      </c>
      <c r="C446" t="s">
        <v>88</v>
      </c>
      <c r="D446" t="s">
        <v>89</v>
      </c>
      <c r="E446">
        <v>2</v>
      </c>
      <c r="F446" t="s">
        <v>38</v>
      </c>
      <c r="G446" t="s">
        <v>43</v>
      </c>
      <c r="H446" t="s">
        <v>43</v>
      </c>
      <c r="I446" t="s">
        <v>43</v>
      </c>
      <c r="J446">
        <v>88</v>
      </c>
      <c r="K446">
        <v>74</v>
      </c>
      <c r="L446">
        <v>665</v>
      </c>
      <c r="M446" s="38">
        <v>5523</v>
      </c>
      <c r="N446" s="38">
        <v>1407</v>
      </c>
      <c r="O446" s="38">
        <f t="shared" si="414"/>
        <v>976</v>
      </c>
      <c r="P446" s="38">
        <v>257</v>
      </c>
      <c r="Q446" s="38">
        <v>42</v>
      </c>
      <c r="R446" s="38">
        <v>132</v>
      </c>
      <c r="S446" s="38">
        <v>427</v>
      </c>
      <c r="T446" s="38">
        <v>43</v>
      </c>
      <c r="U446" s="38">
        <f t="shared" si="415"/>
        <v>3646</v>
      </c>
      <c r="V446">
        <v>1245</v>
      </c>
      <c r="W446">
        <v>56</v>
      </c>
      <c r="X446">
        <v>27</v>
      </c>
      <c r="Y446">
        <v>49</v>
      </c>
      <c r="Z446">
        <v>614</v>
      </c>
      <c r="AA446">
        <v>564</v>
      </c>
      <c r="AB446">
        <v>3.5</v>
      </c>
      <c r="AC446">
        <v>8</v>
      </c>
      <c r="AD446">
        <v>12</v>
      </c>
      <c r="AE446">
        <v>46</v>
      </c>
      <c r="AF446" s="45">
        <f t="shared" ca="1" si="472"/>
        <v>6153</v>
      </c>
      <c r="AG446" s="45">
        <f t="shared" ca="1" si="416"/>
        <v>1302</v>
      </c>
      <c r="AH446" s="45">
        <f t="shared" ca="1" si="417"/>
        <v>709</v>
      </c>
      <c r="AI446" s="45">
        <f t="shared" ca="1" si="418"/>
        <v>334</v>
      </c>
      <c r="AJ446" s="45">
        <f t="shared" ca="1" si="419"/>
        <v>22</v>
      </c>
      <c r="AK446" s="45">
        <f t="shared" ca="1" si="420"/>
        <v>237</v>
      </c>
      <c r="AL446" s="45">
        <f t="shared" ca="1" si="421"/>
        <v>437</v>
      </c>
      <c r="AM446" s="45">
        <f t="shared" ca="1" si="422"/>
        <v>88</v>
      </c>
      <c r="AN446" s="45">
        <f t="shared" ca="1" si="423"/>
        <v>4326</v>
      </c>
      <c r="AO446">
        <v>4347</v>
      </c>
      <c r="AP446">
        <v>1305</v>
      </c>
      <c r="AQ446">
        <v>133</v>
      </c>
      <c r="AR446">
        <v>389</v>
      </c>
      <c r="AS446">
        <v>1211</v>
      </c>
      <c r="AT446">
        <v>100</v>
      </c>
      <c r="AU446">
        <v>155</v>
      </c>
      <c r="AV446">
        <v>0.98399999999999999</v>
      </c>
      <c r="AW446" s="1"/>
      <c r="AX446" s="1"/>
      <c r="AY446" s="47">
        <f t="shared" si="424"/>
        <v>29700</v>
      </c>
      <c r="AZ446" s="49">
        <f t="shared" si="425"/>
        <v>165614</v>
      </c>
      <c r="BA446" s="49">
        <f t="shared" ref="BA446" si="480">SUMIF($B$2:$B$571,$B446,$S$2:$S$571)</f>
        <v>14020</v>
      </c>
      <c r="BB446" s="48">
        <f t="shared" si="427"/>
        <v>8.4654678952262488E-2</v>
      </c>
    </row>
    <row r="447" spans="2:54" x14ac:dyDescent="0.2">
      <c r="B447" s="3">
        <v>2014</v>
      </c>
      <c r="C447" t="s">
        <v>90</v>
      </c>
      <c r="D447" t="s">
        <v>91</v>
      </c>
      <c r="E447">
        <v>1</v>
      </c>
      <c r="F447" t="s">
        <v>43</v>
      </c>
      <c r="G447" t="s">
        <v>38</v>
      </c>
      <c r="H447" t="s">
        <v>38</v>
      </c>
      <c r="I447" t="s">
        <v>38</v>
      </c>
      <c r="J447">
        <v>90</v>
      </c>
      <c r="K447">
        <v>72</v>
      </c>
      <c r="L447">
        <v>619</v>
      </c>
      <c r="M447" s="38">
        <v>5426</v>
      </c>
      <c r="N447" s="38">
        <v>1371</v>
      </c>
      <c r="O447" s="38">
        <f t="shared" si="414"/>
        <v>970</v>
      </c>
      <c r="P447" s="38">
        <v>275</v>
      </c>
      <c r="Q447" s="38">
        <v>21</v>
      </c>
      <c r="R447" s="38">
        <v>105</v>
      </c>
      <c r="S447" s="38">
        <v>471</v>
      </c>
      <c r="T447" s="38">
        <v>86</v>
      </c>
      <c r="U447" s="38">
        <f t="shared" si="415"/>
        <v>3498</v>
      </c>
      <c r="V447">
        <v>1133</v>
      </c>
      <c r="W447">
        <v>57</v>
      </c>
      <c r="X447">
        <v>32</v>
      </c>
      <c r="Y447">
        <v>39</v>
      </c>
      <c r="Z447">
        <v>603</v>
      </c>
      <c r="AA447">
        <v>564</v>
      </c>
      <c r="AB447">
        <v>3.5</v>
      </c>
      <c r="AC447">
        <v>8</v>
      </c>
      <c r="AD447">
        <v>23</v>
      </c>
      <c r="AE447">
        <v>55</v>
      </c>
      <c r="AF447" s="45">
        <f t="shared" ca="1" si="472"/>
        <v>6161</v>
      </c>
      <c r="AG447" s="45">
        <f t="shared" ca="1" si="416"/>
        <v>1304</v>
      </c>
      <c r="AH447" s="45">
        <f t="shared" ca="1" si="417"/>
        <v>736</v>
      </c>
      <c r="AI447" s="45">
        <f t="shared" ca="1" si="418"/>
        <v>315</v>
      </c>
      <c r="AJ447" s="45">
        <f t="shared" ca="1" si="419"/>
        <v>33</v>
      </c>
      <c r="AK447" s="45">
        <f t="shared" ca="1" si="420"/>
        <v>220</v>
      </c>
      <c r="AL447" s="45">
        <f t="shared" ca="1" si="421"/>
        <v>493</v>
      </c>
      <c r="AM447" s="45">
        <f t="shared" ca="1" si="422"/>
        <v>60</v>
      </c>
      <c r="AN447" s="45">
        <f t="shared" ca="1" si="423"/>
        <v>4304</v>
      </c>
      <c r="AO447">
        <v>4346</v>
      </c>
      <c r="AP447">
        <v>1321</v>
      </c>
      <c r="AQ447">
        <v>123</v>
      </c>
      <c r="AR447">
        <v>470</v>
      </c>
      <c r="AS447">
        <v>1221</v>
      </c>
      <c r="AT447">
        <v>88</v>
      </c>
      <c r="AU447">
        <v>145</v>
      </c>
      <c r="AV447">
        <v>0.98499999999999999</v>
      </c>
      <c r="AW447" s="1"/>
      <c r="AX447" s="1"/>
      <c r="AY447" s="47">
        <f t="shared" si="424"/>
        <v>29700</v>
      </c>
      <c r="AZ447" s="49">
        <f t="shared" si="425"/>
        <v>165614</v>
      </c>
      <c r="BA447" s="49">
        <f t="shared" ref="BA447" si="481">SUMIF($B$2:$B$571,$B447,$T$2:$T$571)</f>
        <v>1652</v>
      </c>
      <c r="BB447" s="48">
        <f t="shared" si="427"/>
        <v>9.9750021133479059E-3</v>
      </c>
    </row>
    <row r="448" spans="2:54" x14ac:dyDescent="0.2">
      <c r="B448" s="3">
        <v>2014</v>
      </c>
      <c r="C448" t="s">
        <v>102</v>
      </c>
      <c r="D448" t="s">
        <v>93</v>
      </c>
      <c r="E448">
        <v>4</v>
      </c>
      <c r="F448" t="s">
        <v>38</v>
      </c>
      <c r="G448" t="s">
        <v>38</v>
      </c>
      <c r="H448" t="s">
        <v>38</v>
      </c>
      <c r="I448" t="s">
        <v>38</v>
      </c>
      <c r="J448">
        <v>77</v>
      </c>
      <c r="K448">
        <v>85</v>
      </c>
      <c r="L448">
        <v>612</v>
      </c>
      <c r="M448" s="38">
        <v>5516</v>
      </c>
      <c r="N448" s="38">
        <v>1361</v>
      </c>
      <c r="O448" s="38">
        <f t="shared" si="414"/>
        <v>957</v>
      </c>
      <c r="P448" s="38">
        <v>263</v>
      </c>
      <c r="Q448" s="38">
        <v>24</v>
      </c>
      <c r="R448" s="38">
        <v>117</v>
      </c>
      <c r="S448" s="38">
        <v>527</v>
      </c>
      <c r="T448" s="38">
        <v>66</v>
      </c>
      <c r="U448" s="38">
        <f t="shared" si="415"/>
        <v>3562</v>
      </c>
      <c r="V448">
        <v>1124</v>
      </c>
      <c r="W448">
        <v>63</v>
      </c>
      <c r="X448">
        <v>27</v>
      </c>
      <c r="Y448">
        <v>53</v>
      </c>
      <c r="Z448">
        <v>625</v>
      </c>
      <c r="AA448">
        <v>579</v>
      </c>
      <c r="AB448">
        <v>3.56</v>
      </c>
      <c r="AC448">
        <v>3</v>
      </c>
      <c r="AD448">
        <v>22</v>
      </c>
      <c r="AE448">
        <v>37</v>
      </c>
      <c r="AF448" s="45">
        <f t="shared" ca="1" si="472"/>
        <v>6106</v>
      </c>
      <c r="AG448" s="45">
        <f t="shared" ca="1" si="416"/>
        <v>1688</v>
      </c>
      <c r="AH448" s="45">
        <f t="shared" ca="1" si="417"/>
        <v>1213</v>
      </c>
      <c r="AI448" s="45">
        <f t="shared" ca="1" si="418"/>
        <v>233</v>
      </c>
      <c r="AJ448" s="45">
        <f t="shared" ca="1" si="419"/>
        <v>35</v>
      </c>
      <c r="AK448" s="45">
        <f t="shared" ca="1" si="420"/>
        <v>207</v>
      </c>
      <c r="AL448" s="45">
        <f t="shared" ca="1" si="421"/>
        <v>608</v>
      </c>
      <c r="AM448" s="45">
        <f t="shared" ca="1" si="422"/>
        <v>73</v>
      </c>
      <c r="AN448" s="45">
        <f t="shared" ca="1" si="423"/>
        <v>3737</v>
      </c>
      <c r="AO448">
        <v>4391</v>
      </c>
      <c r="AP448">
        <v>1292</v>
      </c>
      <c r="AQ448">
        <v>145</v>
      </c>
      <c r="AR448">
        <v>482</v>
      </c>
      <c r="AS448">
        <v>1437</v>
      </c>
      <c r="AT448">
        <v>88</v>
      </c>
      <c r="AU448">
        <v>96</v>
      </c>
      <c r="AV448">
        <v>0.98499999999999999</v>
      </c>
      <c r="AW448" s="1"/>
      <c r="AX448" s="1"/>
      <c r="AY448" s="47">
        <f t="shared" si="424"/>
        <v>29700</v>
      </c>
      <c r="AZ448" s="49">
        <f t="shared" si="425"/>
        <v>165614</v>
      </c>
      <c r="BA448" s="49">
        <f t="shared" ref="BA448" si="482">SUMIF($B$2:$B$571,$B448,$U$2:$U$571)</f>
        <v>108347</v>
      </c>
      <c r="BB448" s="48">
        <f t="shared" si="427"/>
        <v>0.6542140157233084</v>
      </c>
    </row>
    <row r="449" spans="2:54" x14ac:dyDescent="0.2">
      <c r="B449" s="3">
        <v>2014</v>
      </c>
      <c r="C449" t="s">
        <v>94</v>
      </c>
      <c r="D449" t="s">
        <v>95</v>
      </c>
      <c r="E449">
        <v>5</v>
      </c>
      <c r="F449" t="s">
        <v>38</v>
      </c>
      <c r="G449" t="s">
        <v>38</v>
      </c>
      <c r="H449" t="s">
        <v>38</v>
      </c>
      <c r="I449" t="s">
        <v>38</v>
      </c>
      <c r="J449">
        <v>67</v>
      </c>
      <c r="K449">
        <v>95</v>
      </c>
      <c r="L449">
        <v>637</v>
      </c>
      <c r="M449" s="38">
        <v>5460</v>
      </c>
      <c r="N449" s="38">
        <v>1400</v>
      </c>
      <c r="O449" s="38">
        <f t="shared" si="414"/>
        <v>1001</v>
      </c>
      <c r="P449" s="38">
        <v>260</v>
      </c>
      <c r="Q449" s="38">
        <v>28</v>
      </c>
      <c r="R449" s="38">
        <v>111</v>
      </c>
      <c r="S449" s="38">
        <v>417</v>
      </c>
      <c r="T449" s="38">
        <v>61</v>
      </c>
      <c r="U449" s="38">
        <f t="shared" si="415"/>
        <v>3582</v>
      </c>
      <c r="V449">
        <v>1162</v>
      </c>
      <c r="W449">
        <v>105</v>
      </c>
      <c r="X449">
        <v>59</v>
      </c>
      <c r="Y449">
        <v>45</v>
      </c>
      <c r="Z449">
        <v>773</v>
      </c>
      <c r="AA449">
        <v>711</v>
      </c>
      <c r="AB449">
        <v>4.49</v>
      </c>
      <c r="AC449">
        <v>6</v>
      </c>
      <c r="AD449">
        <v>17</v>
      </c>
      <c r="AE449">
        <v>33</v>
      </c>
      <c r="AF449" s="45">
        <f t="shared" ca="1" si="472"/>
        <v>6139</v>
      </c>
      <c r="AG449" s="45">
        <f t="shared" ca="1" si="416"/>
        <v>1547</v>
      </c>
      <c r="AH449" s="45">
        <f t="shared" ca="1" si="417"/>
        <v>1141</v>
      </c>
      <c r="AI449" s="45">
        <f t="shared" ca="1" si="418"/>
        <v>225</v>
      </c>
      <c r="AJ449" s="45">
        <f t="shared" ca="1" si="419"/>
        <v>34</v>
      </c>
      <c r="AK449" s="45">
        <f t="shared" ca="1" si="420"/>
        <v>147</v>
      </c>
      <c r="AL449" s="45">
        <f t="shared" ca="1" si="421"/>
        <v>685</v>
      </c>
      <c r="AM449" s="45">
        <f t="shared" ca="1" si="422"/>
        <v>45</v>
      </c>
      <c r="AN449" s="45">
        <f t="shared" ca="1" si="423"/>
        <v>3862</v>
      </c>
      <c r="AO449">
        <v>4279</v>
      </c>
      <c r="AP449">
        <v>1510</v>
      </c>
      <c r="AQ449">
        <v>160</v>
      </c>
      <c r="AR449">
        <v>505</v>
      </c>
      <c r="AS449">
        <v>1110</v>
      </c>
      <c r="AT449">
        <v>106</v>
      </c>
      <c r="AU449">
        <v>155</v>
      </c>
      <c r="AV449">
        <v>0.98199999999999998</v>
      </c>
      <c r="AW449" s="1"/>
      <c r="AX449" s="1"/>
      <c r="AY449" s="47">
        <f t="shared" si="424"/>
        <v>29700</v>
      </c>
      <c r="AZ449" s="49">
        <f t="shared" si="425"/>
        <v>165614</v>
      </c>
      <c r="BA449" s="49"/>
      <c r="BB449" s="48">
        <f t="shared" si="427"/>
        <v>0</v>
      </c>
    </row>
    <row r="450" spans="2:54" x14ac:dyDescent="0.2">
      <c r="B450" s="3">
        <v>2014</v>
      </c>
      <c r="C450" t="s">
        <v>96</v>
      </c>
      <c r="D450" t="s">
        <v>97</v>
      </c>
      <c r="E450">
        <v>3</v>
      </c>
      <c r="F450" t="s">
        <v>38</v>
      </c>
      <c r="G450" t="s">
        <v>38</v>
      </c>
      <c r="H450" t="s">
        <v>38</v>
      </c>
      <c r="I450" t="s">
        <v>38</v>
      </c>
      <c r="J450">
        <v>83</v>
      </c>
      <c r="K450">
        <v>79</v>
      </c>
      <c r="L450">
        <v>723</v>
      </c>
      <c r="M450" s="38">
        <v>5549</v>
      </c>
      <c r="N450" s="38">
        <v>1435</v>
      </c>
      <c r="O450" s="38">
        <f t="shared" si="414"/>
        <v>952</v>
      </c>
      <c r="P450" s="38">
        <v>282</v>
      </c>
      <c r="Q450" s="38">
        <v>24</v>
      </c>
      <c r="R450" s="38">
        <v>177</v>
      </c>
      <c r="S450" s="38">
        <v>502</v>
      </c>
      <c r="T450" s="38">
        <v>41</v>
      </c>
      <c r="U450" s="38">
        <f t="shared" si="415"/>
        <v>3571</v>
      </c>
      <c r="V450">
        <v>1151</v>
      </c>
      <c r="W450">
        <v>78</v>
      </c>
      <c r="X450">
        <v>21</v>
      </c>
      <c r="Y450">
        <v>40</v>
      </c>
      <c r="Z450">
        <v>686</v>
      </c>
      <c r="AA450">
        <v>642</v>
      </c>
      <c r="AB450">
        <v>4</v>
      </c>
      <c r="AC450">
        <v>3</v>
      </c>
      <c r="AD450">
        <v>16</v>
      </c>
      <c r="AE450">
        <v>45</v>
      </c>
      <c r="AF450" s="45">
        <f t="shared" ca="1" si="472"/>
        <v>6453</v>
      </c>
      <c r="AG450" s="45">
        <f t="shared" ca="1" si="416"/>
        <v>1658</v>
      </c>
      <c r="AH450" s="45">
        <f t="shared" ca="1" si="417"/>
        <v>1077</v>
      </c>
      <c r="AI450" s="45">
        <f t="shared" ca="1" si="418"/>
        <v>362</v>
      </c>
      <c r="AJ450" s="45">
        <f t="shared" ca="1" si="419"/>
        <v>46</v>
      </c>
      <c r="AK450" s="45">
        <f t="shared" ca="1" si="420"/>
        <v>173</v>
      </c>
      <c r="AL450" s="45">
        <f t="shared" ca="1" si="421"/>
        <v>627</v>
      </c>
      <c r="AM450" s="45">
        <f t="shared" ca="1" si="422"/>
        <v>64</v>
      </c>
      <c r="AN450" s="45">
        <f t="shared" ca="1" si="423"/>
        <v>4104</v>
      </c>
      <c r="AO450">
        <v>4329</v>
      </c>
      <c r="AP450">
        <v>1400</v>
      </c>
      <c r="AQ450">
        <v>151</v>
      </c>
      <c r="AR450">
        <v>490</v>
      </c>
      <c r="AS450">
        <v>1199</v>
      </c>
      <c r="AT450">
        <v>87</v>
      </c>
      <c r="AU450">
        <v>130</v>
      </c>
      <c r="AV450">
        <v>0.98499999999999999</v>
      </c>
      <c r="AW450" s="1"/>
      <c r="AX450" s="1"/>
      <c r="AY450" s="47">
        <f t="shared" si="424"/>
        <v>29700</v>
      </c>
      <c r="AZ450" s="49">
        <f t="shared" si="425"/>
        <v>165614</v>
      </c>
      <c r="BA450" s="49">
        <f t="shared" ref="BA450" si="483">SUMIF($B$2:$B$571,$B450,$O$2:$O$571)</f>
        <v>28423</v>
      </c>
      <c r="BB450" s="48">
        <f t="shared" si="427"/>
        <v>0.17162196432668736</v>
      </c>
    </row>
    <row r="451" spans="2:54" x14ac:dyDescent="0.2">
      <c r="B451" s="3">
        <v>2014</v>
      </c>
      <c r="C451" t="s">
        <v>100</v>
      </c>
      <c r="D451" t="s">
        <v>101</v>
      </c>
      <c r="E451">
        <v>1</v>
      </c>
      <c r="F451" t="s">
        <v>43</v>
      </c>
      <c r="G451" t="s">
        <v>38</v>
      </c>
      <c r="H451" t="s">
        <v>38</v>
      </c>
      <c r="I451" t="s">
        <v>38</v>
      </c>
      <c r="J451">
        <v>96</v>
      </c>
      <c r="K451">
        <v>66</v>
      </c>
      <c r="L451">
        <v>686</v>
      </c>
      <c r="M451" s="38">
        <v>5542</v>
      </c>
      <c r="N451" s="38">
        <v>1403</v>
      </c>
      <c r="O451" s="38">
        <f t="shared" ref="O451:O514" si="484">N451-(P451+Q451+R451)</f>
        <v>959</v>
      </c>
      <c r="P451" s="38">
        <v>265</v>
      </c>
      <c r="Q451" s="38">
        <v>27</v>
      </c>
      <c r="R451" s="38">
        <v>152</v>
      </c>
      <c r="S451" s="38">
        <v>517</v>
      </c>
      <c r="T451" s="38">
        <v>56</v>
      </c>
      <c r="U451" s="38">
        <f t="shared" ref="U451:U514" si="485">M451-(N451+S451+T451)</f>
        <v>3566</v>
      </c>
      <c r="V451">
        <v>1304</v>
      </c>
      <c r="W451">
        <v>101</v>
      </c>
      <c r="X451">
        <v>23</v>
      </c>
      <c r="Y451">
        <v>41</v>
      </c>
      <c r="Z451">
        <v>555</v>
      </c>
      <c r="AA451">
        <v>495</v>
      </c>
      <c r="AB451">
        <v>3.03</v>
      </c>
      <c r="AC451">
        <v>5</v>
      </c>
      <c r="AD451">
        <v>19</v>
      </c>
      <c r="AE451">
        <v>45</v>
      </c>
      <c r="AF451" s="45">
        <f t="shared" ca="1" si="472"/>
        <v>6158</v>
      </c>
      <c r="AG451" s="45">
        <f t="shared" ref="AG451:AG514" ca="1" si="486">RANDBETWEEN(1300,1700)</f>
        <v>1666</v>
      </c>
      <c r="AH451" s="45">
        <f t="shared" ref="AH451:AH514" ca="1" si="487">AG451-(AI451+AJ451+AK451)</f>
        <v>1008</v>
      </c>
      <c r="AI451" s="45">
        <f t="shared" ref="AI451:AI514" ca="1" si="488">RANDBETWEEN(219,400)</f>
        <v>392</v>
      </c>
      <c r="AJ451" s="45">
        <f t="shared" ref="AJ451:AJ514" ca="1" si="489">RANDBETWEEN(20,50)</f>
        <v>47</v>
      </c>
      <c r="AK451" s="45">
        <f t="shared" ref="AK451:AK514" ca="1" si="490">RANDBETWEEN(130,240)</f>
        <v>219</v>
      </c>
      <c r="AL451" s="45">
        <f t="shared" ref="AL451:AL514" ca="1" si="491">RANDBETWEEN(400,700)</f>
        <v>532</v>
      </c>
      <c r="AM451" s="45">
        <f t="shared" ref="AM451:AM514" ca="1" si="492">RANDBETWEEN(30,90)</f>
        <v>84</v>
      </c>
      <c r="AN451" s="45">
        <f t="shared" ref="AN451:AN514" ca="1" si="493">AF451-(AG451+AL451+AM451)</f>
        <v>3876</v>
      </c>
      <c r="AO451">
        <v>4412</v>
      </c>
      <c r="AP451">
        <v>1351</v>
      </c>
      <c r="AQ451">
        <v>110</v>
      </c>
      <c r="AR451">
        <v>352</v>
      </c>
      <c r="AS451">
        <v>1288</v>
      </c>
      <c r="AT451">
        <v>100</v>
      </c>
      <c r="AU451">
        <v>139</v>
      </c>
      <c r="AV451">
        <v>0.98399999999999999</v>
      </c>
      <c r="AW451" s="1"/>
      <c r="AX451" s="1"/>
      <c r="AY451" s="47">
        <f t="shared" ref="AY451:AY514" si="494">SUM(O$2:O$31)</f>
        <v>29700</v>
      </c>
      <c r="AZ451" s="49">
        <f t="shared" ref="AZ451:AZ514" si="495">SUMIF($B$2:$B$571,$B451,$M$2:$M$571)</f>
        <v>165614</v>
      </c>
      <c r="BA451" s="49">
        <f t="shared" ref="BA451" si="496">SUMIF($B$2:$B$571,$B451,$P$2:$P$571)</f>
        <v>8137</v>
      </c>
      <c r="BB451" s="48">
        <f t="shared" ref="BB451:BB514" si="497">BA451/AZ451</f>
        <v>4.9132319731423672E-2</v>
      </c>
    </row>
    <row r="452" spans="2:54" x14ac:dyDescent="0.2">
      <c r="B452" s="3">
        <v>2015</v>
      </c>
      <c r="C452" t="s">
        <v>39</v>
      </c>
      <c r="D452" t="s">
        <v>40</v>
      </c>
      <c r="E452">
        <v>3</v>
      </c>
      <c r="F452" t="s">
        <v>38</v>
      </c>
      <c r="G452" t="s">
        <v>38</v>
      </c>
      <c r="H452" t="s">
        <v>38</v>
      </c>
      <c r="I452" t="s">
        <v>38</v>
      </c>
      <c r="J452">
        <v>79</v>
      </c>
      <c r="K452">
        <v>83</v>
      </c>
      <c r="L452">
        <v>720</v>
      </c>
      <c r="M452" s="38">
        <v>5649</v>
      </c>
      <c r="N452" s="38">
        <v>1494</v>
      </c>
      <c r="O452" s="38">
        <f t="shared" si="484"/>
        <v>1003</v>
      </c>
      <c r="P452" s="38">
        <v>289</v>
      </c>
      <c r="Q452" s="38">
        <v>48</v>
      </c>
      <c r="R452" s="38">
        <v>154</v>
      </c>
      <c r="S452" s="38">
        <v>490</v>
      </c>
      <c r="T452" s="38">
        <v>33</v>
      </c>
      <c r="U452" s="38">
        <f t="shared" si="485"/>
        <v>3632</v>
      </c>
      <c r="V452">
        <v>1312</v>
      </c>
      <c r="W452">
        <v>132</v>
      </c>
      <c r="X452">
        <v>44</v>
      </c>
      <c r="Y452">
        <v>57</v>
      </c>
      <c r="Z452">
        <v>713</v>
      </c>
      <c r="AA452">
        <v>659</v>
      </c>
      <c r="AB452">
        <v>4.04</v>
      </c>
      <c r="AC452">
        <v>1</v>
      </c>
      <c r="AD452">
        <v>12</v>
      </c>
      <c r="AE452">
        <v>44</v>
      </c>
      <c r="AF452" s="45">
        <f t="shared" ca="1" si="472"/>
        <v>6066</v>
      </c>
      <c r="AG452" s="45">
        <f t="shared" ca="1" si="486"/>
        <v>1690</v>
      </c>
      <c r="AH452" s="45">
        <f t="shared" ca="1" si="487"/>
        <v>1138</v>
      </c>
      <c r="AI452" s="45">
        <f t="shared" ca="1" si="488"/>
        <v>323</v>
      </c>
      <c r="AJ452" s="45">
        <f t="shared" ca="1" si="489"/>
        <v>37</v>
      </c>
      <c r="AK452" s="45">
        <f t="shared" ca="1" si="490"/>
        <v>192</v>
      </c>
      <c r="AL452" s="45">
        <f t="shared" ca="1" si="491"/>
        <v>479</v>
      </c>
      <c r="AM452" s="45">
        <f t="shared" ca="1" si="492"/>
        <v>79</v>
      </c>
      <c r="AN452" s="45">
        <f t="shared" ca="1" si="493"/>
        <v>3818</v>
      </c>
      <c r="AO452">
        <v>4400</v>
      </c>
      <c r="AP452">
        <v>1450</v>
      </c>
      <c r="AQ452">
        <v>182</v>
      </c>
      <c r="AR452">
        <v>500</v>
      </c>
      <c r="AS452">
        <v>1215</v>
      </c>
      <c r="AT452">
        <v>86</v>
      </c>
      <c r="AU452">
        <v>146</v>
      </c>
      <c r="AV452">
        <v>0.98599999999999999</v>
      </c>
      <c r="AW452" s="1"/>
      <c r="AX452" s="1"/>
      <c r="AY452" s="47">
        <f t="shared" si="494"/>
        <v>29700</v>
      </c>
      <c r="AZ452" s="49">
        <f t="shared" si="495"/>
        <v>165488</v>
      </c>
      <c r="BA452" s="49">
        <f t="shared" ref="BA452" si="498">SUMIF($B$2:$B$571,$B452,$Q$2:$Q$571)</f>
        <v>939</v>
      </c>
      <c r="BB452" s="48">
        <f t="shared" si="497"/>
        <v>5.6741274291791551E-3</v>
      </c>
    </row>
    <row r="453" spans="2:54" x14ac:dyDescent="0.2">
      <c r="B453" s="3">
        <v>2015</v>
      </c>
      <c r="C453" t="s">
        <v>41</v>
      </c>
      <c r="D453" t="s">
        <v>42</v>
      </c>
      <c r="E453">
        <v>4</v>
      </c>
      <c r="F453" t="s">
        <v>38</v>
      </c>
      <c r="G453" t="s">
        <v>38</v>
      </c>
      <c r="H453" t="s">
        <v>38</v>
      </c>
      <c r="I453" t="s">
        <v>38</v>
      </c>
      <c r="J453">
        <v>67</v>
      </c>
      <c r="K453">
        <v>95</v>
      </c>
      <c r="L453">
        <v>573</v>
      </c>
      <c r="M453" s="38">
        <v>5420</v>
      </c>
      <c r="N453" s="38">
        <v>1361</v>
      </c>
      <c r="O453" s="38">
        <f t="shared" si="484"/>
        <v>992</v>
      </c>
      <c r="P453" s="38">
        <v>251</v>
      </c>
      <c r="Q453" s="38">
        <v>18</v>
      </c>
      <c r="R453" s="38">
        <v>100</v>
      </c>
      <c r="S453" s="38">
        <v>471</v>
      </c>
      <c r="T453" s="38">
        <v>44</v>
      </c>
      <c r="U453" s="38">
        <f t="shared" si="485"/>
        <v>3544</v>
      </c>
      <c r="V453">
        <v>1107</v>
      </c>
      <c r="W453">
        <v>69</v>
      </c>
      <c r="X453">
        <v>33</v>
      </c>
      <c r="Y453">
        <v>31</v>
      </c>
      <c r="Z453">
        <v>760</v>
      </c>
      <c r="AA453">
        <v>698</v>
      </c>
      <c r="AB453">
        <v>4.41</v>
      </c>
      <c r="AC453">
        <v>3</v>
      </c>
      <c r="AD453">
        <v>10</v>
      </c>
      <c r="AE453">
        <v>44</v>
      </c>
      <c r="AF453" s="45">
        <f t="shared" ca="1" si="472"/>
        <v>6358</v>
      </c>
      <c r="AG453" s="45">
        <f t="shared" ca="1" si="486"/>
        <v>1530</v>
      </c>
      <c r="AH453" s="45">
        <f t="shared" ca="1" si="487"/>
        <v>895</v>
      </c>
      <c r="AI453" s="45">
        <f t="shared" ca="1" si="488"/>
        <v>360</v>
      </c>
      <c r="AJ453" s="45">
        <f t="shared" ca="1" si="489"/>
        <v>43</v>
      </c>
      <c r="AK453" s="45">
        <f t="shared" ca="1" si="490"/>
        <v>232</v>
      </c>
      <c r="AL453" s="45">
        <f t="shared" ca="1" si="491"/>
        <v>545</v>
      </c>
      <c r="AM453" s="45">
        <f t="shared" ca="1" si="492"/>
        <v>74</v>
      </c>
      <c r="AN453" s="45">
        <f t="shared" ca="1" si="493"/>
        <v>4209</v>
      </c>
      <c r="AO453">
        <v>4276</v>
      </c>
      <c r="AP453">
        <v>1462</v>
      </c>
      <c r="AQ453">
        <v>170</v>
      </c>
      <c r="AR453">
        <v>550</v>
      </c>
      <c r="AS453">
        <v>1148</v>
      </c>
      <c r="AT453">
        <v>90</v>
      </c>
      <c r="AU453">
        <v>186</v>
      </c>
      <c r="AV453">
        <v>0.98499999999999999</v>
      </c>
      <c r="AW453" s="1"/>
      <c r="AX453" s="1"/>
      <c r="AY453" s="47">
        <f t="shared" si="494"/>
        <v>29700</v>
      </c>
      <c r="AZ453" s="49">
        <f t="shared" si="495"/>
        <v>165488</v>
      </c>
      <c r="BA453" s="49">
        <f t="shared" ref="BA453" si="499">SUMIF($B$2:$B$571,$B453,$R$2:$R$571)</f>
        <v>4909</v>
      </c>
      <c r="BB453" s="48">
        <f t="shared" si="497"/>
        <v>2.9663782268200715E-2</v>
      </c>
    </row>
    <row r="454" spans="2:54" x14ac:dyDescent="0.2">
      <c r="B454" s="3">
        <v>2015</v>
      </c>
      <c r="C454" t="s">
        <v>44</v>
      </c>
      <c r="D454" t="s">
        <v>45</v>
      </c>
      <c r="E454">
        <v>3</v>
      </c>
      <c r="F454" t="s">
        <v>38</v>
      </c>
      <c r="G454" t="s">
        <v>38</v>
      </c>
      <c r="H454" t="s">
        <v>38</v>
      </c>
      <c r="I454" t="s">
        <v>38</v>
      </c>
      <c r="J454">
        <v>81</v>
      </c>
      <c r="K454">
        <v>81</v>
      </c>
      <c r="L454">
        <v>713</v>
      </c>
      <c r="M454" s="38">
        <v>5485</v>
      </c>
      <c r="N454" s="38">
        <v>1370</v>
      </c>
      <c r="O454" s="38">
        <f t="shared" si="484"/>
        <v>887</v>
      </c>
      <c r="P454" s="38">
        <v>246</v>
      </c>
      <c r="Q454" s="38">
        <v>20</v>
      </c>
      <c r="R454" s="38">
        <v>217</v>
      </c>
      <c r="S454" s="38">
        <v>418</v>
      </c>
      <c r="T454" s="38">
        <v>51</v>
      </c>
      <c r="U454" s="38">
        <f t="shared" si="485"/>
        <v>3646</v>
      </c>
      <c r="V454">
        <v>1331</v>
      </c>
      <c r="W454">
        <v>44</v>
      </c>
      <c r="X454">
        <v>25</v>
      </c>
      <c r="Y454">
        <v>32</v>
      </c>
      <c r="Z454">
        <v>693</v>
      </c>
      <c r="AA454">
        <v>646</v>
      </c>
      <c r="AB454">
        <v>4.05</v>
      </c>
      <c r="AC454">
        <v>0</v>
      </c>
      <c r="AD454">
        <v>10</v>
      </c>
      <c r="AE454">
        <v>43</v>
      </c>
      <c r="AF454" s="45">
        <f t="shared" ca="1" si="472"/>
        <v>6487</v>
      </c>
      <c r="AG454" s="45">
        <f t="shared" ca="1" si="486"/>
        <v>1314</v>
      </c>
      <c r="AH454" s="45">
        <f t="shared" ca="1" si="487"/>
        <v>711</v>
      </c>
      <c r="AI454" s="45">
        <f t="shared" ca="1" si="488"/>
        <v>381</v>
      </c>
      <c r="AJ454" s="45">
        <f t="shared" ca="1" si="489"/>
        <v>45</v>
      </c>
      <c r="AK454" s="45">
        <f t="shared" ca="1" si="490"/>
        <v>177</v>
      </c>
      <c r="AL454" s="45">
        <f t="shared" ca="1" si="491"/>
        <v>423</v>
      </c>
      <c r="AM454" s="45">
        <f t="shared" ca="1" si="492"/>
        <v>62</v>
      </c>
      <c r="AN454" s="45">
        <f t="shared" ca="1" si="493"/>
        <v>4688</v>
      </c>
      <c r="AO454">
        <v>4304</v>
      </c>
      <c r="AP454">
        <v>1406</v>
      </c>
      <c r="AQ454">
        <v>174</v>
      </c>
      <c r="AR454">
        <v>483</v>
      </c>
      <c r="AS454">
        <v>1233</v>
      </c>
      <c r="AT454">
        <v>77</v>
      </c>
      <c r="AU454">
        <v>134</v>
      </c>
      <c r="AV454">
        <v>0.98699999999999999</v>
      </c>
      <c r="AW454" s="1"/>
      <c r="AX454" s="1"/>
      <c r="AY454" s="47">
        <f t="shared" si="494"/>
        <v>29700</v>
      </c>
      <c r="AZ454" s="49">
        <f t="shared" si="495"/>
        <v>165488</v>
      </c>
      <c r="BA454" s="49">
        <f t="shared" ref="BA454" si="500">SUMIF($B$2:$B$571,$B454,$S$2:$S$571)</f>
        <v>14073</v>
      </c>
      <c r="BB454" s="48">
        <f t="shared" si="497"/>
        <v>8.5039398627090784E-2</v>
      </c>
    </row>
    <row r="455" spans="2:54" x14ac:dyDescent="0.2">
      <c r="B455" s="3">
        <v>2015</v>
      </c>
      <c r="C455" t="s">
        <v>46</v>
      </c>
      <c r="D455" t="s">
        <v>47</v>
      </c>
      <c r="E455">
        <v>5</v>
      </c>
      <c r="F455" t="s">
        <v>38</v>
      </c>
      <c r="G455" t="s">
        <v>38</v>
      </c>
      <c r="H455" t="s">
        <v>38</v>
      </c>
      <c r="I455" t="s">
        <v>38</v>
      </c>
      <c r="J455">
        <v>78</v>
      </c>
      <c r="K455">
        <v>84</v>
      </c>
      <c r="L455">
        <v>748</v>
      </c>
      <c r="M455" s="38">
        <v>5640</v>
      </c>
      <c r="N455" s="38">
        <v>1495</v>
      </c>
      <c r="O455" s="38">
        <f t="shared" si="484"/>
        <v>1007</v>
      </c>
      <c r="P455" s="38">
        <v>294</v>
      </c>
      <c r="Q455" s="38">
        <v>33</v>
      </c>
      <c r="R455" s="38">
        <v>161</v>
      </c>
      <c r="S455" s="38">
        <v>478</v>
      </c>
      <c r="T455" s="38">
        <v>46</v>
      </c>
      <c r="U455" s="38">
        <f t="shared" si="485"/>
        <v>3621</v>
      </c>
      <c r="V455">
        <v>1148</v>
      </c>
      <c r="W455">
        <v>71</v>
      </c>
      <c r="X455">
        <v>27</v>
      </c>
      <c r="Y455">
        <v>42</v>
      </c>
      <c r="Z455">
        <v>753</v>
      </c>
      <c r="AA455">
        <v>694</v>
      </c>
      <c r="AB455">
        <v>4.3099999999999996</v>
      </c>
      <c r="AC455">
        <v>3</v>
      </c>
      <c r="AD455">
        <v>10</v>
      </c>
      <c r="AE455">
        <v>40</v>
      </c>
      <c r="AF455" s="45">
        <f t="shared" ca="1" si="472"/>
        <v>6444</v>
      </c>
      <c r="AG455" s="45">
        <f t="shared" ca="1" si="486"/>
        <v>1560</v>
      </c>
      <c r="AH455" s="45">
        <f t="shared" ca="1" si="487"/>
        <v>946</v>
      </c>
      <c r="AI455" s="45">
        <f t="shared" ca="1" si="488"/>
        <v>339</v>
      </c>
      <c r="AJ455" s="45">
        <f t="shared" ca="1" si="489"/>
        <v>50</v>
      </c>
      <c r="AK455" s="45">
        <f t="shared" ca="1" si="490"/>
        <v>225</v>
      </c>
      <c r="AL455" s="45">
        <f t="shared" ca="1" si="491"/>
        <v>690</v>
      </c>
      <c r="AM455" s="45">
        <f t="shared" ca="1" si="492"/>
        <v>58</v>
      </c>
      <c r="AN455" s="45">
        <f t="shared" ca="1" si="493"/>
        <v>4136</v>
      </c>
      <c r="AO455">
        <v>4345</v>
      </c>
      <c r="AP455">
        <v>1486</v>
      </c>
      <c r="AQ455">
        <v>178</v>
      </c>
      <c r="AR455">
        <v>478</v>
      </c>
      <c r="AS455">
        <v>1218</v>
      </c>
      <c r="AT455">
        <v>97</v>
      </c>
      <c r="AU455">
        <v>148</v>
      </c>
      <c r="AV455">
        <v>0.98399999999999999</v>
      </c>
      <c r="AW455" s="1"/>
      <c r="AX455" s="1"/>
      <c r="AY455" s="47">
        <f t="shared" si="494"/>
        <v>29700</v>
      </c>
      <c r="AZ455" s="49">
        <f t="shared" si="495"/>
        <v>165488</v>
      </c>
      <c r="BA455" s="49">
        <f t="shared" ref="BA455" si="501">SUMIF($B$2:$B$571,$B455,$T$2:$T$571)</f>
        <v>1602</v>
      </c>
      <c r="BB455" s="48">
        <f t="shared" si="497"/>
        <v>9.6804602146379187E-3</v>
      </c>
    </row>
    <row r="456" spans="2:54" x14ac:dyDescent="0.2">
      <c r="B456" s="3">
        <v>2015</v>
      </c>
      <c r="C456" t="s">
        <v>48</v>
      </c>
      <c r="D456" t="s">
        <v>49</v>
      </c>
      <c r="E456">
        <v>4</v>
      </c>
      <c r="F456" t="s">
        <v>38</v>
      </c>
      <c r="G456" t="s">
        <v>38</v>
      </c>
      <c r="H456" t="s">
        <v>38</v>
      </c>
      <c r="I456" t="s">
        <v>38</v>
      </c>
      <c r="J456">
        <v>76</v>
      </c>
      <c r="K456">
        <v>86</v>
      </c>
      <c r="L456">
        <v>622</v>
      </c>
      <c r="M456" s="38">
        <v>5533</v>
      </c>
      <c r="N456" s="38">
        <v>1381</v>
      </c>
      <c r="O456" s="38">
        <f t="shared" si="484"/>
        <v>958</v>
      </c>
      <c r="P456" s="38">
        <v>260</v>
      </c>
      <c r="Q456" s="38">
        <v>27</v>
      </c>
      <c r="R456" s="38">
        <v>136</v>
      </c>
      <c r="S456" s="38">
        <v>404</v>
      </c>
      <c r="T456" s="38">
        <v>65</v>
      </c>
      <c r="U456" s="38">
        <f t="shared" si="485"/>
        <v>3683</v>
      </c>
      <c r="V456">
        <v>1231</v>
      </c>
      <c r="W456">
        <v>68</v>
      </c>
      <c r="X456">
        <v>42</v>
      </c>
      <c r="Y456">
        <v>37</v>
      </c>
      <c r="Z456">
        <v>701</v>
      </c>
      <c r="AA456">
        <v>643</v>
      </c>
      <c r="AB456">
        <v>3.98</v>
      </c>
      <c r="AC456">
        <v>7</v>
      </c>
      <c r="AD456">
        <v>9</v>
      </c>
      <c r="AE456">
        <v>37</v>
      </c>
      <c r="AF456" s="45">
        <f t="shared" ca="1" si="472"/>
        <v>6458</v>
      </c>
      <c r="AG456" s="45">
        <f t="shared" ca="1" si="486"/>
        <v>1691</v>
      </c>
      <c r="AH456" s="45">
        <f t="shared" ca="1" si="487"/>
        <v>1129</v>
      </c>
      <c r="AI456" s="45">
        <f t="shared" ca="1" si="488"/>
        <v>287</v>
      </c>
      <c r="AJ456" s="45">
        <f t="shared" ca="1" si="489"/>
        <v>39</v>
      </c>
      <c r="AK456" s="45">
        <f t="shared" ca="1" si="490"/>
        <v>236</v>
      </c>
      <c r="AL456" s="45">
        <f t="shared" ca="1" si="491"/>
        <v>495</v>
      </c>
      <c r="AM456" s="45">
        <f t="shared" ca="1" si="492"/>
        <v>39</v>
      </c>
      <c r="AN456" s="45">
        <f t="shared" ca="1" si="493"/>
        <v>4233</v>
      </c>
      <c r="AO456">
        <v>4358</v>
      </c>
      <c r="AP456">
        <v>1443</v>
      </c>
      <c r="AQ456">
        <v>162</v>
      </c>
      <c r="AR456">
        <v>474</v>
      </c>
      <c r="AS456">
        <v>1359</v>
      </c>
      <c r="AT456">
        <v>101</v>
      </c>
      <c r="AU456">
        <v>159</v>
      </c>
      <c r="AV456">
        <v>0.98299999999999998</v>
      </c>
      <c r="AW456" s="1"/>
      <c r="AX456" s="1"/>
      <c r="AY456" s="47">
        <f t="shared" si="494"/>
        <v>29700</v>
      </c>
      <c r="AZ456" s="49">
        <f t="shared" si="495"/>
        <v>165488</v>
      </c>
      <c r="BA456" s="49">
        <f t="shared" ref="BA456" si="502">SUMIF($B$2:$B$571,$B456,$U$2:$U$571)</f>
        <v>107707</v>
      </c>
      <c r="BB456" s="48">
        <f t="shared" si="497"/>
        <v>0.65084477424344966</v>
      </c>
    </row>
    <row r="457" spans="2:54" x14ac:dyDescent="0.2">
      <c r="B457" s="3">
        <v>2015</v>
      </c>
      <c r="C457" t="s">
        <v>50</v>
      </c>
      <c r="D457" t="s">
        <v>51</v>
      </c>
      <c r="E457">
        <v>3</v>
      </c>
      <c r="F457" t="s">
        <v>38</v>
      </c>
      <c r="G457" t="s">
        <v>43</v>
      </c>
      <c r="H457" t="s">
        <v>38</v>
      </c>
      <c r="I457" t="s">
        <v>38</v>
      </c>
      <c r="J457">
        <v>97</v>
      </c>
      <c r="K457">
        <v>65</v>
      </c>
      <c r="L457">
        <v>689</v>
      </c>
      <c r="M457" s="38">
        <v>5491</v>
      </c>
      <c r="N457" s="38">
        <v>1341</v>
      </c>
      <c r="O457" s="38">
        <f t="shared" si="484"/>
        <v>868</v>
      </c>
      <c r="P457" s="38">
        <v>272</v>
      </c>
      <c r="Q457" s="38">
        <v>30</v>
      </c>
      <c r="R457" s="38">
        <v>171</v>
      </c>
      <c r="S457" s="38">
        <v>567</v>
      </c>
      <c r="T457" s="38">
        <v>74</v>
      </c>
      <c r="U457" s="38">
        <f t="shared" si="485"/>
        <v>3509</v>
      </c>
      <c r="V457">
        <v>1518</v>
      </c>
      <c r="W457">
        <v>95</v>
      </c>
      <c r="X457">
        <v>37</v>
      </c>
      <c r="Y457">
        <v>35</v>
      </c>
      <c r="Z457">
        <v>608</v>
      </c>
      <c r="AA457">
        <v>546</v>
      </c>
      <c r="AB457">
        <v>3.36</v>
      </c>
      <c r="AC457">
        <v>6</v>
      </c>
      <c r="AD457">
        <v>21</v>
      </c>
      <c r="AE457">
        <v>48</v>
      </c>
      <c r="AF457" s="45">
        <f t="shared" ca="1" si="472"/>
        <v>6189</v>
      </c>
      <c r="AG457" s="45">
        <f t="shared" ca="1" si="486"/>
        <v>1339</v>
      </c>
      <c r="AH457" s="45">
        <f t="shared" ca="1" si="487"/>
        <v>899</v>
      </c>
      <c r="AI457" s="45">
        <f t="shared" ca="1" si="488"/>
        <v>222</v>
      </c>
      <c r="AJ457" s="45">
        <f t="shared" ca="1" si="489"/>
        <v>27</v>
      </c>
      <c r="AK457" s="45">
        <f t="shared" ca="1" si="490"/>
        <v>191</v>
      </c>
      <c r="AL457" s="45">
        <f t="shared" ca="1" si="491"/>
        <v>650</v>
      </c>
      <c r="AM457" s="45">
        <f t="shared" ca="1" si="492"/>
        <v>54</v>
      </c>
      <c r="AN457" s="45">
        <f t="shared" ca="1" si="493"/>
        <v>4146</v>
      </c>
      <c r="AO457">
        <v>4384</v>
      </c>
      <c r="AP457">
        <v>1276</v>
      </c>
      <c r="AQ457">
        <v>134</v>
      </c>
      <c r="AR457">
        <v>407</v>
      </c>
      <c r="AS457">
        <v>1431</v>
      </c>
      <c r="AT457">
        <v>111</v>
      </c>
      <c r="AU457">
        <v>120</v>
      </c>
      <c r="AV457">
        <v>0.98199999999999998</v>
      </c>
      <c r="AW457" s="1"/>
      <c r="AX457" s="1"/>
      <c r="AY457" s="47">
        <f t="shared" si="494"/>
        <v>29700</v>
      </c>
      <c r="AZ457" s="49">
        <f t="shared" si="495"/>
        <v>165488</v>
      </c>
      <c r="BA457" s="49"/>
      <c r="BB457" s="48">
        <f t="shared" si="497"/>
        <v>0</v>
      </c>
    </row>
    <row r="458" spans="2:54" x14ac:dyDescent="0.2">
      <c r="B458" s="3">
        <v>2015</v>
      </c>
      <c r="C458" t="s">
        <v>52</v>
      </c>
      <c r="D458" t="s">
        <v>53</v>
      </c>
      <c r="E458">
        <v>5</v>
      </c>
      <c r="F458" t="s">
        <v>38</v>
      </c>
      <c r="G458" t="s">
        <v>38</v>
      </c>
      <c r="H458" t="s">
        <v>38</v>
      </c>
      <c r="I458" t="s">
        <v>38</v>
      </c>
      <c r="J458">
        <v>64</v>
      </c>
      <c r="K458">
        <v>98</v>
      </c>
      <c r="L458">
        <v>640</v>
      </c>
      <c r="M458" s="38">
        <v>5571</v>
      </c>
      <c r="N458" s="38">
        <v>1382</v>
      </c>
      <c r="O458" s="38">
        <f t="shared" si="484"/>
        <v>931</v>
      </c>
      <c r="P458" s="38">
        <v>257</v>
      </c>
      <c r="Q458" s="38">
        <v>27</v>
      </c>
      <c r="R458" s="38">
        <v>167</v>
      </c>
      <c r="S458" s="38">
        <v>496</v>
      </c>
      <c r="T458" s="38">
        <v>42</v>
      </c>
      <c r="U458" s="38">
        <f t="shared" si="485"/>
        <v>3651</v>
      </c>
      <c r="V458">
        <v>1255</v>
      </c>
      <c r="W458">
        <v>134</v>
      </c>
      <c r="X458">
        <v>38</v>
      </c>
      <c r="Y458">
        <v>40</v>
      </c>
      <c r="Z458">
        <v>754</v>
      </c>
      <c r="AA458">
        <v>700</v>
      </c>
      <c r="AB458">
        <v>4.33</v>
      </c>
      <c r="AC458">
        <v>2</v>
      </c>
      <c r="AD458">
        <v>8</v>
      </c>
      <c r="AE458">
        <v>35</v>
      </c>
      <c r="AF458" s="45">
        <f t="shared" ca="1" si="472"/>
        <v>6145</v>
      </c>
      <c r="AG458" s="45">
        <f t="shared" ca="1" si="486"/>
        <v>1630</v>
      </c>
      <c r="AH458" s="45">
        <f t="shared" ca="1" si="487"/>
        <v>1118</v>
      </c>
      <c r="AI458" s="45">
        <f t="shared" ca="1" si="488"/>
        <v>295</v>
      </c>
      <c r="AJ458" s="45">
        <f t="shared" ca="1" si="489"/>
        <v>40</v>
      </c>
      <c r="AK458" s="45">
        <f t="shared" ca="1" si="490"/>
        <v>177</v>
      </c>
      <c r="AL458" s="45">
        <f t="shared" ca="1" si="491"/>
        <v>446</v>
      </c>
      <c r="AM458" s="45">
        <f t="shared" ca="1" si="492"/>
        <v>42</v>
      </c>
      <c r="AN458" s="45">
        <f t="shared" ca="1" si="493"/>
        <v>4027</v>
      </c>
      <c r="AO458">
        <v>4360</v>
      </c>
      <c r="AP458">
        <v>1436</v>
      </c>
      <c r="AQ458">
        <v>177</v>
      </c>
      <c r="AR458">
        <v>544</v>
      </c>
      <c r="AS458">
        <v>1252</v>
      </c>
      <c r="AT458">
        <v>90</v>
      </c>
      <c r="AU458">
        <v>131</v>
      </c>
      <c r="AV458">
        <v>0.98499999999999999</v>
      </c>
      <c r="AW458" s="1"/>
      <c r="AX458" s="1"/>
      <c r="AY458" s="47">
        <f t="shared" si="494"/>
        <v>29700</v>
      </c>
      <c r="AZ458" s="49">
        <f t="shared" si="495"/>
        <v>165488</v>
      </c>
      <c r="BA458" s="49">
        <f t="shared" ref="BA458" si="503">SUMIF($B$2:$B$571,$B458,$O$2:$O$571)</f>
        <v>28016</v>
      </c>
      <c r="BB458" s="48">
        <f t="shared" si="497"/>
        <v>0.1692932418060524</v>
      </c>
    </row>
    <row r="459" spans="2:54" x14ac:dyDescent="0.2">
      <c r="B459" s="3">
        <v>2015</v>
      </c>
      <c r="C459" t="s">
        <v>54</v>
      </c>
      <c r="D459" t="s">
        <v>55</v>
      </c>
      <c r="E459">
        <v>3</v>
      </c>
      <c r="F459" t="s">
        <v>38</v>
      </c>
      <c r="G459" t="s">
        <v>38</v>
      </c>
      <c r="H459" t="s">
        <v>38</v>
      </c>
      <c r="I459" t="s">
        <v>38</v>
      </c>
      <c r="J459">
        <v>81</v>
      </c>
      <c r="K459">
        <v>80</v>
      </c>
      <c r="L459">
        <v>669</v>
      </c>
      <c r="M459" s="38">
        <v>5439</v>
      </c>
      <c r="N459" s="38">
        <v>1395</v>
      </c>
      <c r="O459" s="38">
        <f t="shared" si="484"/>
        <v>922</v>
      </c>
      <c r="P459" s="38">
        <v>303</v>
      </c>
      <c r="Q459" s="38">
        <v>29</v>
      </c>
      <c r="R459" s="38">
        <v>141</v>
      </c>
      <c r="S459" s="38">
        <v>533</v>
      </c>
      <c r="T459" s="38">
        <v>39</v>
      </c>
      <c r="U459" s="38">
        <f t="shared" si="485"/>
        <v>3472</v>
      </c>
      <c r="V459">
        <v>1157</v>
      </c>
      <c r="W459">
        <v>86</v>
      </c>
      <c r="X459">
        <v>28</v>
      </c>
      <c r="Y459">
        <v>50</v>
      </c>
      <c r="Z459">
        <v>640</v>
      </c>
      <c r="AA459">
        <v>584</v>
      </c>
      <c r="AB459">
        <v>3.67</v>
      </c>
      <c r="AC459">
        <v>11</v>
      </c>
      <c r="AD459">
        <v>10</v>
      </c>
      <c r="AE459">
        <v>38</v>
      </c>
      <c r="AF459" s="45">
        <f t="shared" ca="1" si="472"/>
        <v>6365</v>
      </c>
      <c r="AG459" s="45">
        <f t="shared" ca="1" si="486"/>
        <v>1309</v>
      </c>
      <c r="AH459" s="45">
        <f t="shared" ca="1" si="487"/>
        <v>699</v>
      </c>
      <c r="AI459" s="45">
        <f t="shared" ca="1" si="488"/>
        <v>348</v>
      </c>
      <c r="AJ459" s="45">
        <f t="shared" ca="1" si="489"/>
        <v>35</v>
      </c>
      <c r="AK459" s="45">
        <f t="shared" ca="1" si="490"/>
        <v>227</v>
      </c>
      <c r="AL459" s="45">
        <f t="shared" ca="1" si="491"/>
        <v>610</v>
      </c>
      <c r="AM459" s="45">
        <f t="shared" ca="1" si="492"/>
        <v>84</v>
      </c>
      <c r="AN459" s="45">
        <f t="shared" ca="1" si="493"/>
        <v>4362</v>
      </c>
      <c r="AO459">
        <v>4298</v>
      </c>
      <c r="AP459">
        <v>1274</v>
      </c>
      <c r="AQ459">
        <v>161</v>
      </c>
      <c r="AR459">
        <v>425</v>
      </c>
      <c r="AS459">
        <v>1407</v>
      </c>
      <c r="AT459">
        <v>79</v>
      </c>
      <c r="AU459">
        <v>136</v>
      </c>
      <c r="AV459">
        <v>0.98699999999999999</v>
      </c>
      <c r="AW459" s="1"/>
      <c r="AX459" s="1"/>
      <c r="AY459" s="47">
        <f t="shared" si="494"/>
        <v>29700</v>
      </c>
      <c r="AZ459" s="49">
        <f t="shared" si="495"/>
        <v>165488</v>
      </c>
      <c r="BA459" s="49">
        <f t="shared" ref="BA459" si="504">SUMIF($B$2:$B$571,$B459,$P$2:$P$571)</f>
        <v>8242</v>
      </c>
      <c r="BB459" s="48">
        <f t="shared" si="497"/>
        <v>4.9804215411389345E-2</v>
      </c>
    </row>
    <row r="460" spans="2:54" x14ac:dyDescent="0.2">
      <c r="B460" s="3">
        <v>2015</v>
      </c>
      <c r="C460" t="s">
        <v>56</v>
      </c>
      <c r="D460" t="s">
        <v>57</v>
      </c>
      <c r="E460">
        <v>5</v>
      </c>
      <c r="F460" t="s">
        <v>38</v>
      </c>
      <c r="G460" t="s">
        <v>38</v>
      </c>
      <c r="H460" t="s">
        <v>38</v>
      </c>
      <c r="I460" t="s">
        <v>38</v>
      </c>
      <c r="J460">
        <v>68</v>
      </c>
      <c r="K460">
        <v>94</v>
      </c>
      <c r="L460">
        <v>737</v>
      </c>
      <c r="M460" s="38">
        <v>5572</v>
      </c>
      <c r="N460" s="38">
        <v>1479</v>
      </c>
      <c r="O460" s="38">
        <f t="shared" si="484"/>
        <v>970</v>
      </c>
      <c r="P460" s="38">
        <v>274</v>
      </c>
      <c r="Q460" s="38">
        <v>49</v>
      </c>
      <c r="R460" s="38">
        <v>186</v>
      </c>
      <c r="S460" s="38">
        <v>388</v>
      </c>
      <c r="T460" s="38">
        <v>33</v>
      </c>
      <c r="U460" s="38">
        <f t="shared" si="485"/>
        <v>3672</v>
      </c>
      <c r="V460">
        <v>1283</v>
      </c>
      <c r="W460">
        <v>97</v>
      </c>
      <c r="X460">
        <v>43</v>
      </c>
      <c r="Y460">
        <v>34</v>
      </c>
      <c r="Z460">
        <v>844</v>
      </c>
      <c r="AA460">
        <v>799</v>
      </c>
      <c r="AB460">
        <v>5.04</v>
      </c>
      <c r="AC460">
        <v>4</v>
      </c>
      <c r="AD460">
        <v>4</v>
      </c>
      <c r="AE460">
        <v>36</v>
      </c>
      <c r="AF460" s="45">
        <f t="shared" ca="1" si="472"/>
        <v>6459</v>
      </c>
      <c r="AG460" s="45">
        <f t="shared" ca="1" si="486"/>
        <v>1593</v>
      </c>
      <c r="AH460" s="45">
        <f t="shared" ca="1" si="487"/>
        <v>1084</v>
      </c>
      <c r="AI460" s="45">
        <f t="shared" ca="1" si="488"/>
        <v>226</v>
      </c>
      <c r="AJ460" s="45">
        <f t="shared" ca="1" si="489"/>
        <v>50</v>
      </c>
      <c r="AK460" s="45">
        <f t="shared" ca="1" si="490"/>
        <v>233</v>
      </c>
      <c r="AL460" s="45">
        <f t="shared" ca="1" si="491"/>
        <v>635</v>
      </c>
      <c r="AM460" s="45">
        <f t="shared" ca="1" si="492"/>
        <v>57</v>
      </c>
      <c r="AN460" s="45">
        <f t="shared" ca="1" si="493"/>
        <v>4174</v>
      </c>
      <c r="AO460">
        <v>4279</v>
      </c>
      <c r="AP460">
        <v>1579</v>
      </c>
      <c r="AQ460">
        <v>183</v>
      </c>
      <c r="AR460">
        <v>579</v>
      </c>
      <c r="AS460">
        <v>1112</v>
      </c>
      <c r="AT460">
        <v>95</v>
      </c>
      <c r="AU460">
        <v>171</v>
      </c>
      <c r="AV460">
        <v>0.98499999999999999</v>
      </c>
      <c r="AW460" s="1"/>
      <c r="AX460" s="1"/>
      <c r="AY460" s="47">
        <f t="shared" si="494"/>
        <v>29700</v>
      </c>
      <c r="AZ460" s="49">
        <f t="shared" si="495"/>
        <v>165488</v>
      </c>
      <c r="BA460" s="49">
        <f t="shared" ref="BA460" si="505">SUMIF($B$2:$B$571,$B460,$Q$2:$Q$571)</f>
        <v>939</v>
      </c>
      <c r="BB460" s="48">
        <f t="shared" si="497"/>
        <v>5.6741274291791551E-3</v>
      </c>
    </row>
    <row r="461" spans="2:54" x14ac:dyDescent="0.2">
      <c r="B461" s="3">
        <v>2015</v>
      </c>
      <c r="C461" t="s">
        <v>58</v>
      </c>
      <c r="D461" t="s">
        <v>59</v>
      </c>
      <c r="E461">
        <v>5</v>
      </c>
      <c r="F461" t="s">
        <v>38</v>
      </c>
      <c r="G461" t="s">
        <v>38</v>
      </c>
      <c r="H461" t="s">
        <v>38</v>
      </c>
      <c r="I461" t="s">
        <v>38</v>
      </c>
      <c r="J461">
        <v>74</v>
      </c>
      <c r="K461">
        <v>87</v>
      </c>
      <c r="L461">
        <v>689</v>
      </c>
      <c r="M461" s="38">
        <v>5605</v>
      </c>
      <c r="N461" s="38">
        <v>1515</v>
      </c>
      <c r="O461" s="38">
        <f t="shared" si="484"/>
        <v>1026</v>
      </c>
      <c r="P461" s="38">
        <v>289</v>
      </c>
      <c r="Q461" s="38">
        <v>49</v>
      </c>
      <c r="R461" s="38">
        <v>151</v>
      </c>
      <c r="S461" s="38">
        <v>455</v>
      </c>
      <c r="T461" s="38">
        <v>41</v>
      </c>
      <c r="U461" s="38">
        <f t="shared" si="485"/>
        <v>3594</v>
      </c>
      <c r="V461">
        <v>1259</v>
      </c>
      <c r="W461">
        <v>83</v>
      </c>
      <c r="X461">
        <v>51</v>
      </c>
      <c r="Y461">
        <v>35</v>
      </c>
      <c r="Z461">
        <v>803</v>
      </c>
      <c r="AA461">
        <v>746</v>
      </c>
      <c r="AB461">
        <v>4.6399999999999997</v>
      </c>
      <c r="AC461">
        <v>7</v>
      </c>
      <c r="AD461">
        <v>12</v>
      </c>
      <c r="AE461">
        <v>35</v>
      </c>
      <c r="AF461" s="45">
        <f t="shared" ca="1" si="472"/>
        <v>6487</v>
      </c>
      <c r="AG461" s="45">
        <f t="shared" ca="1" si="486"/>
        <v>1569</v>
      </c>
      <c r="AH461" s="45">
        <f t="shared" ca="1" si="487"/>
        <v>1127</v>
      </c>
      <c r="AI461" s="45">
        <f t="shared" ca="1" si="488"/>
        <v>269</v>
      </c>
      <c r="AJ461" s="45">
        <f t="shared" ca="1" si="489"/>
        <v>34</v>
      </c>
      <c r="AK461" s="45">
        <f t="shared" ca="1" si="490"/>
        <v>139</v>
      </c>
      <c r="AL461" s="45">
        <f t="shared" ca="1" si="491"/>
        <v>688</v>
      </c>
      <c r="AM461" s="45">
        <f t="shared" ca="1" si="492"/>
        <v>83</v>
      </c>
      <c r="AN461" s="45">
        <f t="shared" ca="1" si="493"/>
        <v>4147</v>
      </c>
      <c r="AO461">
        <v>4341</v>
      </c>
      <c r="AP461">
        <v>1491</v>
      </c>
      <c r="AQ461">
        <v>193</v>
      </c>
      <c r="AR461">
        <v>489</v>
      </c>
      <c r="AS461">
        <v>1100</v>
      </c>
      <c r="AT461">
        <v>86</v>
      </c>
      <c r="AU461">
        <v>165</v>
      </c>
      <c r="AV461">
        <v>0.98599999999999999</v>
      </c>
      <c r="AW461" s="1"/>
      <c r="AX461" s="1"/>
      <c r="AY461" s="47">
        <f t="shared" si="494"/>
        <v>29700</v>
      </c>
      <c r="AZ461" s="49">
        <f t="shared" si="495"/>
        <v>165488</v>
      </c>
      <c r="BA461" s="49">
        <f t="shared" ref="BA461" si="506">SUMIF($B$2:$B$571,$B461,$R$2:$R$571)</f>
        <v>4909</v>
      </c>
      <c r="BB461" s="48">
        <f t="shared" si="497"/>
        <v>2.9663782268200715E-2</v>
      </c>
    </row>
    <row r="462" spans="2:54" x14ac:dyDescent="0.2">
      <c r="B462" s="3">
        <v>2015</v>
      </c>
      <c r="C462" t="s">
        <v>62</v>
      </c>
      <c r="D462" t="s">
        <v>63</v>
      </c>
      <c r="E462">
        <v>2</v>
      </c>
      <c r="F462" t="s">
        <v>38</v>
      </c>
      <c r="G462" t="s">
        <v>43</v>
      </c>
      <c r="H462" t="s">
        <v>38</v>
      </c>
      <c r="I462" t="s">
        <v>38</v>
      </c>
      <c r="J462">
        <v>86</v>
      </c>
      <c r="K462">
        <v>76</v>
      </c>
      <c r="L462">
        <v>729</v>
      </c>
      <c r="M462" s="38">
        <v>5459</v>
      </c>
      <c r="N462" s="38">
        <v>1363</v>
      </c>
      <c r="O462" s="38">
        <f t="shared" si="484"/>
        <v>829</v>
      </c>
      <c r="P462" s="38">
        <v>278</v>
      </c>
      <c r="Q462" s="38">
        <v>26</v>
      </c>
      <c r="R462" s="38">
        <v>230</v>
      </c>
      <c r="S462" s="38">
        <v>486</v>
      </c>
      <c r="T462" s="38">
        <v>56</v>
      </c>
      <c r="U462" s="38">
        <f t="shared" si="485"/>
        <v>3554</v>
      </c>
      <c r="V462">
        <v>1392</v>
      </c>
      <c r="W462">
        <v>121</v>
      </c>
      <c r="X462">
        <v>48</v>
      </c>
      <c r="Y462">
        <v>43</v>
      </c>
      <c r="Z462">
        <v>618</v>
      </c>
      <c r="AA462">
        <v>572</v>
      </c>
      <c r="AB462">
        <v>3.57</v>
      </c>
      <c r="AC462">
        <v>5</v>
      </c>
      <c r="AD462">
        <v>13</v>
      </c>
      <c r="AE462">
        <v>39</v>
      </c>
      <c r="AF462" s="45">
        <f t="shared" ca="1" si="472"/>
        <v>6458</v>
      </c>
      <c r="AG462" s="45">
        <f t="shared" ca="1" si="486"/>
        <v>1587</v>
      </c>
      <c r="AH462" s="45">
        <f t="shared" ca="1" si="487"/>
        <v>1027</v>
      </c>
      <c r="AI462" s="45">
        <f t="shared" ca="1" si="488"/>
        <v>328</v>
      </c>
      <c r="AJ462" s="45">
        <f t="shared" ca="1" si="489"/>
        <v>47</v>
      </c>
      <c r="AK462" s="45">
        <f t="shared" ca="1" si="490"/>
        <v>185</v>
      </c>
      <c r="AL462" s="45">
        <f t="shared" ca="1" si="491"/>
        <v>549</v>
      </c>
      <c r="AM462" s="45">
        <f t="shared" ca="1" si="492"/>
        <v>65</v>
      </c>
      <c r="AN462" s="45">
        <f t="shared" ca="1" si="493"/>
        <v>4257</v>
      </c>
      <c r="AO462">
        <v>4323</v>
      </c>
      <c r="AP462">
        <v>1308</v>
      </c>
      <c r="AQ462">
        <v>148</v>
      </c>
      <c r="AR462">
        <v>423</v>
      </c>
      <c r="AS462">
        <v>1280</v>
      </c>
      <c r="AT462">
        <v>85</v>
      </c>
      <c r="AU462">
        <v>131</v>
      </c>
      <c r="AV462">
        <v>0.98599999999999999</v>
      </c>
      <c r="AW462" s="1"/>
      <c r="AX462" s="1"/>
      <c r="AY462" s="47">
        <f t="shared" si="494"/>
        <v>29700</v>
      </c>
      <c r="AZ462" s="49">
        <f t="shared" si="495"/>
        <v>165488</v>
      </c>
      <c r="BA462" s="49">
        <f t="shared" ref="BA462" si="507">SUMIF($B$2:$B$571,$B462,$S$2:$S$571)</f>
        <v>14073</v>
      </c>
      <c r="BB462" s="48">
        <f t="shared" si="497"/>
        <v>8.5039398627090784E-2</v>
      </c>
    </row>
    <row r="463" spans="2:54" x14ac:dyDescent="0.2">
      <c r="B463" s="3">
        <v>2015</v>
      </c>
      <c r="C463" t="s">
        <v>64</v>
      </c>
      <c r="D463" t="s">
        <v>65</v>
      </c>
      <c r="E463">
        <v>1</v>
      </c>
      <c r="F463" t="s">
        <v>43</v>
      </c>
      <c r="G463" t="s">
        <v>38</v>
      </c>
      <c r="H463" t="s">
        <v>43</v>
      </c>
      <c r="I463" t="s">
        <v>43</v>
      </c>
      <c r="J463">
        <v>95</v>
      </c>
      <c r="K463">
        <v>67</v>
      </c>
      <c r="L463">
        <v>724</v>
      </c>
      <c r="M463" s="38">
        <v>5575</v>
      </c>
      <c r="N463" s="38">
        <v>1497</v>
      </c>
      <c r="O463" s="38">
        <f t="shared" si="484"/>
        <v>1016</v>
      </c>
      <c r="P463" s="38">
        <v>300</v>
      </c>
      <c r="Q463" s="38">
        <v>42</v>
      </c>
      <c r="R463" s="38">
        <v>139</v>
      </c>
      <c r="S463" s="38">
        <v>383</v>
      </c>
      <c r="T463" s="38">
        <v>77</v>
      </c>
      <c r="U463" s="38">
        <f t="shared" si="485"/>
        <v>3618</v>
      </c>
      <c r="V463">
        <v>973</v>
      </c>
      <c r="W463">
        <v>104</v>
      </c>
      <c r="X463">
        <v>34</v>
      </c>
      <c r="Y463">
        <v>47</v>
      </c>
      <c r="Z463">
        <v>641</v>
      </c>
      <c r="AA463">
        <v>601</v>
      </c>
      <c r="AB463">
        <v>3.73</v>
      </c>
      <c r="AC463">
        <v>2</v>
      </c>
      <c r="AD463">
        <v>8</v>
      </c>
      <c r="AE463">
        <v>56</v>
      </c>
      <c r="AF463" s="45">
        <f t="shared" ca="1" si="472"/>
        <v>6250</v>
      </c>
      <c r="AG463" s="45">
        <f t="shared" ca="1" si="486"/>
        <v>1388</v>
      </c>
      <c r="AH463" s="45">
        <f t="shared" ca="1" si="487"/>
        <v>758</v>
      </c>
      <c r="AI463" s="45">
        <f t="shared" ca="1" si="488"/>
        <v>390</v>
      </c>
      <c r="AJ463" s="45">
        <f t="shared" ca="1" si="489"/>
        <v>20</v>
      </c>
      <c r="AK463" s="45">
        <f t="shared" ca="1" si="490"/>
        <v>220</v>
      </c>
      <c r="AL463" s="45">
        <f t="shared" ca="1" si="491"/>
        <v>414</v>
      </c>
      <c r="AM463" s="45">
        <f t="shared" ca="1" si="492"/>
        <v>35</v>
      </c>
      <c r="AN463" s="45">
        <f t="shared" ca="1" si="493"/>
        <v>4413</v>
      </c>
      <c r="AO463">
        <v>4356</v>
      </c>
      <c r="AP463">
        <v>1372</v>
      </c>
      <c r="AQ463">
        <v>155</v>
      </c>
      <c r="AR463">
        <v>489</v>
      </c>
      <c r="AS463">
        <v>1160</v>
      </c>
      <c r="AT463">
        <v>88</v>
      </c>
      <c r="AU463">
        <v>138</v>
      </c>
      <c r="AV463">
        <v>0.98499999999999999</v>
      </c>
      <c r="AW463" s="1"/>
      <c r="AX463" s="1"/>
      <c r="AY463" s="47">
        <f t="shared" si="494"/>
        <v>29700</v>
      </c>
      <c r="AZ463" s="49">
        <f t="shared" si="495"/>
        <v>165488</v>
      </c>
      <c r="BA463" s="49">
        <f t="shared" ref="BA463" si="508">SUMIF($B$2:$B$571,$B463,$T$2:$T$571)</f>
        <v>1602</v>
      </c>
      <c r="BB463" s="48">
        <f t="shared" si="497"/>
        <v>9.6804602146379187E-3</v>
      </c>
    </row>
    <row r="464" spans="2:54" x14ac:dyDescent="0.2">
      <c r="B464" s="3">
        <v>2015</v>
      </c>
      <c r="C464" t="s">
        <v>98</v>
      </c>
      <c r="D464" t="s">
        <v>99</v>
      </c>
      <c r="E464">
        <v>3</v>
      </c>
      <c r="F464" t="s">
        <v>38</v>
      </c>
      <c r="G464" t="s">
        <v>38</v>
      </c>
      <c r="H464" t="s">
        <v>38</v>
      </c>
      <c r="I464" t="s">
        <v>38</v>
      </c>
      <c r="J464">
        <v>85</v>
      </c>
      <c r="K464">
        <v>77</v>
      </c>
      <c r="L464">
        <v>661</v>
      </c>
      <c r="M464" s="38">
        <v>5417</v>
      </c>
      <c r="N464" s="38">
        <v>1331</v>
      </c>
      <c r="O464" s="38">
        <f t="shared" si="484"/>
        <v>891</v>
      </c>
      <c r="P464" s="38">
        <v>243</v>
      </c>
      <c r="Q464" s="38">
        <v>21</v>
      </c>
      <c r="R464" s="38">
        <v>176</v>
      </c>
      <c r="S464" s="38">
        <v>435</v>
      </c>
      <c r="T464" s="38">
        <v>58</v>
      </c>
      <c r="U464" s="38">
        <f t="shared" si="485"/>
        <v>3593</v>
      </c>
      <c r="V464">
        <v>1150</v>
      </c>
      <c r="W464">
        <v>52</v>
      </c>
      <c r="X464">
        <v>34</v>
      </c>
      <c r="Y464">
        <v>40</v>
      </c>
      <c r="Z464">
        <v>675</v>
      </c>
      <c r="AA464">
        <v>630</v>
      </c>
      <c r="AB464">
        <v>3.94</v>
      </c>
      <c r="AC464">
        <v>2</v>
      </c>
      <c r="AD464">
        <v>12</v>
      </c>
      <c r="AE464">
        <v>46</v>
      </c>
      <c r="AF464" s="45">
        <f t="shared" ca="1" si="472"/>
        <v>6124</v>
      </c>
      <c r="AG464" s="45">
        <f t="shared" ca="1" si="486"/>
        <v>1334</v>
      </c>
      <c r="AH464" s="45">
        <f t="shared" ca="1" si="487"/>
        <v>801</v>
      </c>
      <c r="AI464" s="45">
        <f t="shared" ca="1" si="488"/>
        <v>354</v>
      </c>
      <c r="AJ464" s="45">
        <f t="shared" ca="1" si="489"/>
        <v>25</v>
      </c>
      <c r="AK464" s="45">
        <f t="shared" ca="1" si="490"/>
        <v>154</v>
      </c>
      <c r="AL464" s="45">
        <f t="shared" ca="1" si="491"/>
        <v>431</v>
      </c>
      <c r="AM464" s="45">
        <f t="shared" ca="1" si="492"/>
        <v>32</v>
      </c>
      <c r="AN464" s="45">
        <f t="shared" ca="1" si="493"/>
        <v>4327</v>
      </c>
      <c r="AO464">
        <v>4322</v>
      </c>
      <c r="AP464">
        <v>1355</v>
      </c>
      <c r="AQ464">
        <v>166</v>
      </c>
      <c r="AR464">
        <v>466</v>
      </c>
      <c r="AS464">
        <v>1221</v>
      </c>
      <c r="AT464">
        <v>93</v>
      </c>
      <c r="AU464">
        <v>108</v>
      </c>
      <c r="AV464">
        <v>0.98399999999999999</v>
      </c>
      <c r="AW464" s="1"/>
      <c r="AX464" s="1"/>
      <c r="AY464" s="47">
        <f t="shared" si="494"/>
        <v>29700</v>
      </c>
      <c r="AZ464" s="49">
        <f t="shared" si="495"/>
        <v>165488</v>
      </c>
      <c r="BA464" s="49">
        <f t="shared" ref="BA464" si="509">SUMIF($B$2:$B$571,$B464,$U$2:$U$571)</f>
        <v>107707</v>
      </c>
      <c r="BB464" s="48">
        <f t="shared" si="497"/>
        <v>0.65084477424344966</v>
      </c>
    </row>
    <row r="465" spans="2:54" x14ac:dyDescent="0.2">
      <c r="B465" s="3">
        <v>2015</v>
      </c>
      <c r="C465" t="s">
        <v>66</v>
      </c>
      <c r="D465" t="s">
        <v>67</v>
      </c>
      <c r="E465">
        <v>1</v>
      </c>
      <c r="F465" t="s">
        <v>43</v>
      </c>
      <c r="G465" t="s">
        <v>38</v>
      </c>
      <c r="H465" t="s">
        <v>38</v>
      </c>
      <c r="I465" t="s">
        <v>38</v>
      </c>
      <c r="J465">
        <v>92</v>
      </c>
      <c r="K465">
        <v>70</v>
      </c>
      <c r="L465">
        <v>667</v>
      </c>
      <c r="M465" s="38">
        <v>5385</v>
      </c>
      <c r="N465" s="38">
        <v>1346</v>
      </c>
      <c r="O465" s="38">
        <f t="shared" si="484"/>
        <v>870</v>
      </c>
      <c r="P465" s="38">
        <v>263</v>
      </c>
      <c r="Q465" s="38">
        <v>26</v>
      </c>
      <c r="R465" s="38">
        <v>187</v>
      </c>
      <c r="S465" s="38">
        <v>563</v>
      </c>
      <c r="T465" s="38">
        <v>60</v>
      </c>
      <c r="U465" s="38">
        <f t="shared" si="485"/>
        <v>3416</v>
      </c>
      <c r="V465">
        <v>1258</v>
      </c>
      <c r="W465">
        <v>59</v>
      </c>
      <c r="X465">
        <v>34</v>
      </c>
      <c r="Y465">
        <v>30</v>
      </c>
      <c r="Z465">
        <v>595</v>
      </c>
      <c r="AA465">
        <v>553</v>
      </c>
      <c r="AB465">
        <v>3.44</v>
      </c>
      <c r="AC465">
        <v>6</v>
      </c>
      <c r="AD465">
        <v>21</v>
      </c>
      <c r="AE465">
        <v>47</v>
      </c>
      <c r="AF465" s="45">
        <f t="shared" ca="1" si="472"/>
        <v>6286</v>
      </c>
      <c r="AG465" s="45">
        <f t="shared" ca="1" si="486"/>
        <v>1669</v>
      </c>
      <c r="AH465" s="45">
        <f t="shared" ca="1" si="487"/>
        <v>1050</v>
      </c>
      <c r="AI465" s="45">
        <f t="shared" ca="1" si="488"/>
        <v>395</v>
      </c>
      <c r="AJ465" s="45">
        <f t="shared" ca="1" si="489"/>
        <v>40</v>
      </c>
      <c r="AK465" s="45">
        <f t="shared" ca="1" si="490"/>
        <v>184</v>
      </c>
      <c r="AL465" s="45">
        <f t="shared" ca="1" si="491"/>
        <v>640</v>
      </c>
      <c r="AM465" s="45">
        <f t="shared" ca="1" si="492"/>
        <v>76</v>
      </c>
      <c r="AN465" s="45">
        <f t="shared" ca="1" si="493"/>
        <v>3901</v>
      </c>
      <c r="AO465">
        <v>4337</v>
      </c>
      <c r="AP465">
        <v>1317</v>
      </c>
      <c r="AQ465">
        <v>145</v>
      </c>
      <c r="AR465">
        <v>395</v>
      </c>
      <c r="AS465">
        <v>1396</v>
      </c>
      <c r="AT465">
        <v>75</v>
      </c>
      <c r="AU465">
        <v>133</v>
      </c>
      <c r="AV465">
        <v>0.98799999999999999</v>
      </c>
      <c r="AW465" s="1"/>
      <c r="AX465" s="1"/>
      <c r="AY465" s="47">
        <f t="shared" si="494"/>
        <v>29700</v>
      </c>
      <c r="AZ465" s="49">
        <f t="shared" si="495"/>
        <v>165488</v>
      </c>
      <c r="BA465" s="49"/>
      <c r="BB465" s="48">
        <f t="shared" si="497"/>
        <v>0</v>
      </c>
    </row>
    <row r="466" spans="2:54" x14ac:dyDescent="0.2">
      <c r="B466" s="3">
        <v>2015</v>
      </c>
      <c r="C466" t="s">
        <v>103</v>
      </c>
      <c r="D466" t="s">
        <v>104</v>
      </c>
      <c r="E466">
        <v>3</v>
      </c>
      <c r="F466" t="s">
        <v>38</v>
      </c>
      <c r="G466" t="s">
        <v>38</v>
      </c>
      <c r="H466" t="s">
        <v>38</v>
      </c>
      <c r="I466" t="s">
        <v>38</v>
      </c>
      <c r="J466">
        <v>71</v>
      </c>
      <c r="K466">
        <v>91</v>
      </c>
      <c r="L466">
        <v>613</v>
      </c>
      <c r="M466" s="38">
        <v>5463</v>
      </c>
      <c r="N466" s="38">
        <v>1420</v>
      </c>
      <c r="O466" s="38">
        <f t="shared" si="484"/>
        <v>1024</v>
      </c>
      <c r="P466" s="38">
        <v>236</v>
      </c>
      <c r="Q466" s="38">
        <v>40</v>
      </c>
      <c r="R466" s="38">
        <v>120</v>
      </c>
      <c r="S466" s="38">
        <v>375</v>
      </c>
      <c r="T466" s="38">
        <v>39</v>
      </c>
      <c r="U466" s="38">
        <f t="shared" si="485"/>
        <v>3629</v>
      </c>
      <c r="V466">
        <v>1150</v>
      </c>
      <c r="W466">
        <v>112</v>
      </c>
      <c r="X466">
        <v>45</v>
      </c>
      <c r="Y466">
        <v>40</v>
      </c>
      <c r="Z466">
        <v>678</v>
      </c>
      <c r="AA466">
        <v>638</v>
      </c>
      <c r="AB466">
        <v>4.0199999999999996</v>
      </c>
      <c r="AC466">
        <v>0</v>
      </c>
      <c r="AD466">
        <v>12</v>
      </c>
      <c r="AE466">
        <v>35</v>
      </c>
      <c r="AF466" s="45">
        <f t="shared" ca="1" si="472"/>
        <v>6200</v>
      </c>
      <c r="AG466" s="45">
        <f t="shared" ca="1" si="486"/>
        <v>1576</v>
      </c>
      <c r="AH466" s="45">
        <f t="shared" ca="1" si="487"/>
        <v>1092</v>
      </c>
      <c r="AI466" s="45">
        <f t="shared" ca="1" si="488"/>
        <v>308</v>
      </c>
      <c r="AJ466" s="45">
        <f t="shared" ca="1" si="489"/>
        <v>35</v>
      </c>
      <c r="AK466" s="45">
        <f t="shared" ca="1" si="490"/>
        <v>141</v>
      </c>
      <c r="AL466" s="45">
        <f t="shared" ca="1" si="491"/>
        <v>413</v>
      </c>
      <c r="AM466" s="45">
        <f t="shared" ca="1" si="492"/>
        <v>82</v>
      </c>
      <c r="AN466" s="45">
        <f t="shared" ca="1" si="493"/>
        <v>4129</v>
      </c>
      <c r="AO466">
        <v>4281</v>
      </c>
      <c r="AP466">
        <v>1374</v>
      </c>
      <c r="AQ466">
        <v>141</v>
      </c>
      <c r="AR466">
        <v>508</v>
      </c>
      <c r="AS466">
        <v>1152</v>
      </c>
      <c r="AT466">
        <v>77</v>
      </c>
      <c r="AU466">
        <v>162</v>
      </c>
      <c r="AV466">
        <v>0.98699999999999999</v>
      </c>
      <c r="AW466" s="1"/>
      <c r="AX466" s="1"/>
      <c r="AY466" s="47">
        <f t="shared" si="494"/>
        <v>29700</v>
      </c>
      <c r="AZ466" s="49">
        <f t="shared" si="495"/>
        <v>165488</v>
      </c>
      <c r="BA466" s="49">
        <f t="shared" ref="BA466" si="510">SUMIF($B$2:$B$571,$B466,$O$2:$O$571)</f>
        <v>28016</v>
      </c>
      <c r="BB466" s="48">
        <f t="shared" si="497"/>
        <v>0.1692932418060524</v>
      </c>
    </row>
    <row r="467" spans="2:54" x14ac:dyDescent="0.2">
      <c r="B467" s="3">
        <v>2015</v>
      </c>
      <c r="C467" t="s">
        <v>68</v>
      </c>
      <c r="D467" t="s">
        <v>69</v>
      </c>
      <c r="E467">
        <v>4</v>
      </c>
      <c r="F467" t="s">
        <v>38</v>
      </c>
      <c r="G467" t="s">
        <v>38</v>
      </c>
      <c r="H467" t="s">
        <v>38</v>
      </c>
      <c r="I467" t="s">
        <v>38</v>
      </c>
      <c r="J467">
        <v>68</v>
      </c>
      <c r="K467">
        <v>94</v>
      </c>
      <c r="L467">
        <v>655</v>
      </c>
      <c r="M467" s="38">
        <v>5480</v>
      </c>
      <c r="N467" s="38">
        <v>1378</v>
      </c>
      <c r="O467" s="38">
        <f t="shared" si="484"/>
        <v>925</v>
      </c>
      <c r="P467" s="38">
        <v>274</v>
      </c>
      <c r="Q467" s="38">
        <v>34</v>
      </c>
      <c r="R467" s="38">
        <v>145</v>
      </c>
      <c r="S467" s="38">
        <v>412</v>
      </c>
      <c r="T467" s="38">
        <v>41</v>
      </c>
      <c r="U467" s="38">
        <f t="shared" si="485"/>
        <v>3649</v>
      </c>
      <c r="V467">
        <v>1299</v>
      </c>
      <c r="W467">
        <v>84</v>
      </c>
      <c r="X467">
        <v>29</v>
      </c>
      <c r="Y467">
        <v>34</v>
      </c>
      <c r="Z467">
        <v>737</v>
      </c>
      <c r="AA467">
        <v>682</v>
      </c>
      <c r="AB467">
        <v>4.28</v>
      </c>
      <c r="AC467">
        <v>1</v>
      </c>
      <c r="AD467">
        <v>7</v>
      </c>
      <c r="AE467">
        <v>40</v>
      </c>
      <c r="AF467" s="45">
        <f t="shared" ca="1" si="472"/>
        <v>6218</v>
      </c>
      <c r="AG467" s="45">
        <f t="shared" ca="1" si="486"/>
        <v>1695</v>
      </c>
      <c r="AH467" s="45">
        <f t="shared" ca="1" si="487"/>
        <v>1185</v>
      </c>
      <c r="AI467" s="45">
        <f t="shared" ca="1" si="488"/>
        <v>318</v>
      </c>
      <c r="AJ467" s="45">
        <f t="shared" ca="1" si="489"/>
        <v>46</v>
      </c>
      <c r="AK467" s="45">
        <f t="shared" ca="1" si="490"/>
        <v>146</v>
      </c>
      <c r="AL467" s="45">
        <f t="shared" ca="1" si="491"/>
        <v>633</v>
      </c>
      <c r="AM467" s="45">
        <f t="shared" ca="1" si="492"/>
        <v>84</v>
      </c>
      <c r="AN467" s="45">
        <f t="shared" ca="1" si="493"/>
        <v>3806</v>
      </c>
      <c r="AO467">
        <v>4305</v>
      </c>
      <c r="AP467">
        <v>1432</v>
      </c>
      <c r="AQ467">
        <v>176</v>
      </c>
      <c r="AR467">
        <v>517</v>
      </c>
      <c r="AS467">
        <v>1260</v>
      </c>
      <c r="AT467">
        <v>116</v>
      </c>
      <c r="AU467">
        <v>164</v>
      </c>
      <c r="AV467">
        <v>0.98099999999999998</v>
      </c>
      <c r="AW467" s="1"/>
      <c r="AX467" s="1"/>
      <c r="AY467" s="47">
        <f t="shared" si="494"/>
        <v>29700</v>
      </c>
      <c r="AZ467" s="49">
        <f t="shared" si="495"/>
        <v>165488</v>
      </c>
      <c r="BA467" s="49">
        <f t="shared" ref="BA467" si="511">SUMIF($B$2:$B$571,$B467,$P$2:$P$571)</f>
        <v>8242</v>
      </c>
      <c r="BB467" s="48">
        <f t="shared" si="497"/>
        <v>4.9804215411389345E-2</v>
      </c>
    </row>
    <row r="468" spans="2:54" x14ac:dyDescent="0.2">
      <c r="B468" s="3">
        <v>2015</v>
      </c>
      <c r="C468" t="s">
        <v>70</v>
      </c>
      <c r="D468" t="s">
        <v>71</v>
      </c>
      <c r="E468">
        <v>2</v>
      </c>
      <c r="F468" t="s">
        <v>38</v>
      </c>
      <c r="G468" t="s">
        <v>38</v>
      </c>
      <c r="H468" t="s">
        <v>38</v>
      </c>
      <c r="I468" t="s">
        <v>38</v>
      </c>
      <c r="J468">
        <v>83</v>
      </c>
      <c r="K468">
        <v>79</v>
      </c>
      <c r="L468">
        <v>696</v>
      </c>
      <c r="M468" s="38">
        <v>5467</v>
      </c>
      <c r="N468" s="38">
        <v>1349</v>
      </c>
      <c r="O468" s="38">
        <f t="shared" si="484"/>
        <v>872</v>
      </c>
      <c r="P468" s="38">
        <v>277</v>
      </c>
      <c r="Q468" s="38">
        <v>44</v>
      </c>
      <c r="R468" s="38">
        <v>156</v>
      </c>
      <c r="S468" s="38">
        <v>439</v>
      </c>
      <c r="T468" s="38">
        <v>40</v>
      </c>
      <c r="U468" s="38">
        <f t="shared" si="485"/>
        <v>3639</v>
      </c>
      <c r="V468">
        <v>1264</v>
      </c>
      <c r="W468">
        <v>70</v>
      </c>
      <c r="X468">
        <v>38</v>
      </c>
      <c r="Y468">
        <v>41</v>
      </c>
      <c r="Z468">
        <v>700</v>
      </c>
      <c r="AA468">
        <v>653</v>
      </c>
      <c r="AB468">
        <v>4.07</v>
      </c>
      <c r="AC468">
        <v>2</v>
      </c>
      <c r="AD468">
        <v>12</v>
      </c>
      <c r="AE468">
        <v>45</v>
      </c>
      <c r="AF468" s="45">
        <f t="shared" ca="1" si="472"/>
        <v>6438</v>
      </c>
      <c r="AG468" s="45">
        <f t="shared" ca="1" si="486"/>
        <v>1420</v>
      </c>
      <c r="AH468" s="45">
        <f t="shared" ca="1" si="487"/>
        <v>846</v>
      </c>
      <c r="AI468" s="45">
        <f t="shared" ca="1" si="488"/>
        <v>303</v>
      </c>
      <c r="AJ468" s="45">
        <f t="shared" ca="1" si="489"/>
        <v>42</v>
      </c>
      <c r="AK468" s="45">
        <f t="shared" ca="1" si="490"/>
        <v>229</v>
      </c>
      <c r="AL468" s="45">
        <f t="shared" ca="1" si="491"/>
        <v>690</v>
      </c>
      <c r="AM468" s="45">
        <f t="shared" ca="1" si="492"/>
        <v>31</v>
      </c>
      <c r="AN468" s="45">
        <f t="shared" ca="1" si="493"/>
        <v>4297</v>
      </c>
      <c r="AO468">
        <v>4329</v>
      </c>
      <c r="AP468">
        <v>1506</v>
      </c>
      <c r="AQ468">
        <v>163</v>
      </c>
      <c r="AR468">
        <v>413</v>
      </c>
      <c r="AS468">
        <v>1046</v>
      </c>
      <c r="AT468">
        <v>86</v>
      </c>
      <c r="AU468">
        <v>150</v>
      </c>
      <c r="AV468">
        <v>0.98599999999999999</v>
      </c>
      <c r="AW468" s="1"/>
      <c r="AX468" s="1"/>
      <c r="AY468" s="47">
        <f t="shared" si="494"/>
        <v>29700</v>
      </c>
      <c r="AZ468" s="49">
        <f t="shared" si="495"/>
        <v>165488</v>
      </c>
      <c r="BA468" s="49">
        <f t="shared" ref="BA468" si="512">SUMIF($B$2:$B$571,$B468,$Q$2:$Q$571)</f>
        <v>939</v>
      </c>
      <c r="BB468" s="48">
        <f t="shared" si="497"/>
        <v>5.6741274291791551E-3</v>
      </c>
    </row>
    <row r="469" spans="2:54" x14ac:dyDescent="0.2">
      <c r="B469" s="3">
        <v>2015</v>
      </c>
      <c r="C469" t="s">
        <v>74</v>
      </c>
      <c r="D469" t="s">
        <v>75</v>
      </c>
      <c r="E469">
        <v>2</v>
      </c>
      <c r="F469" t="s">
        <v>38</v>
      </c>
      <c r="G469" t="s">
        <v>43</v>
      </c>
      <c r="H469" t="s">
        <v>38</v>
      </c>
      <c r="I469" t="s">
        <v>38</v>
      </c>
      <c r="J469">
        <v>87</v>
      </c>
      <c r="K469">
        <v>75</v>
      </c>
      <c r="L469">
        <v>764</v>
      </c>
      <c r="M469" s="38">
        <v>5567</v>
      </c>
      <c r="N469" s="38">
        <v>1397</v>
      </c>
      <c r="O469" s="38">
        <f t="shared" si="484"/>
        <v>894</v>
      </c>
      <c r="P469" s="38">
        <v>272</v>
      </c>
      <c r="Q469" s="38">
        <v>19</v>
      </c>
      <c r="R469" s="38">
        <v>212</v>
      </c>
      <c r="S469" s="38">
        <v>554</v>
      </c>
      <c r="T469" s="38">
        <v>63</v>
      </c>
      <c r="U469" s="38">
        <f t="shared" si="485"/>
        <v>3553</v>
      </c>
      <c r="V469">
        <v>1227</v>
      </c>
      <c r="W469">
        <v>63</v>
      </c>
      <c r="X469">
        <v>25</v>
      </c>
      <c r="Y469">
        <v>54</v>
      </c>
      <c r="Z469">
        <v>698</v>
      </c>
      <c r="AA469">
        <v>652</v>
      </c>
      <c r="AB469">
        <v>4.03</v>
      </c>
      <c r="AC469">
        <v>3</v>
      </c>
      <c r="AD469">
        <v>4</v>
      </c>
      <c r="AE469">
        <v>48</v>
      </c>
      <c r="AF469" s="45">
        <f t="shared" ca="1" si="472"/>
        <v>6344</v>
      </c>
      <c r="AG469" s="45">
        <f t="shared" ca="1" si="486"/>
        <v>1529</v>
      </c>
      <c r="AH469" s="45">
        <f t="shared" ca="1" si="487"/>
        <v>1031</v>
      </c>
      <c r="AI469" s="45">
        <f t="shared" ca="1" si="488"/>
        <v>231</v>
      </c>
      <c r="AJ469" s="45">
        <f t="shared" ca="1" si="489"/>
        <v>28</v>
      </c>
      <c r="AK469" s="45">
        <f t="shared" ca="1" si="490"/>
        <v>239</v>
      </c>
      <c r="AL469" s="45">
        <f t="shared" ca="1" si="491"/>
        <v>482</v>
      </c>
      <c r="AM469" s="45">
        <f t="shared" ca="1" si="492"/>
        <v>36</v>
      </c>
      <c r="AN469" s="45">
        <f t="shared" ca="1" si="493"/>
        <v>4297</v>
      </c>
      <c r="AO469">
        <v>4373</v>
      </c>
      <c r="AP469">
        <v>1416</v>
      </c>
      <c r="AQ469">
        <v>182</v>
      </c>
      <c r="AR469">
        <v>474</v>
      </c>
      <c r="AS469">
        <v>1370</v>
      </c>
      <c r="AT469">
        <v>93</v>
      </c>
      <c r="AU469">
        <v>135</v>
      </c>
      <c r="AV469">
        <v>0.98499999999999999</v>
      </c>
      <c r="AW469" s="1"/>
      <c r="AX469" s="1"/>
      <c r="AY469" s="47">
        <f t="shared" si="494"/>
        <v>29700</v>
      </c>
      <c r="AZ469" s="49">
        <f t="shared" si="495"/>
        <v>165488</v>
      </c>
      <c r="BA469" s="49">
        <f t="shared" ref="BA469" si="513">SUMIF($B$2:$B$571,$B469,$R$2:$R$571)</f>
        <v>4909</v>
      </c>
      <c r="BB469" s="48">
        <f t="shared" si="497"/>
        <v>2.9663782268200715E-2</v>
      </c>
    </row>
    <row r="470" spans="2:54" x14ac:dyDescent="0.2">
      <c r="B470" s="3">
        <v>2015</v>
      </c>
      <c r="C470" t="s">
        <v>76</v>
      </c>
      <c r="D470" t="s">
        <v>77</v>
      </c>
      <c r="E470">
        <v>1</v>
      </c>
      <c r="F470" t="s">
        <v>43</v>
      </c>
      <c r="G470" t="s">
        <v>38</v>
      </c>
      <c r="H470" t="s">
        <v>43</v>
      </c>
      <c r="I470" t="s">
        <v>38</v>
      </c>
      <c r="J470">
        <v>90</v>
      </c>
      <c r="K470">
        <v>72</v>
      </c>
      <c r="L470">
        <v>683</v>
      </c>
      <c r="M470" s="38">
        <v>5527</v>
      </c>
      <c r="N470" s="38">
        <v>1351</v>
      </c>
      <c r="O470" s="38">
        <f t="shared" si="484"/>
        <v>862</v>
      </c>
      <c r="P470" s="38">
        <v>295</v>
      </c>
      <c r="Q470" s="38">
        <v>17</v>
      </c>
      <c r="R470" s="38">
        <v>177</v>
      </c>
      <c r="S470" s="38">
        <v>488</v>
      </c>
      <c r="T470" s="38">
        <v>68</v>
      </c>
      <c r="U470" s="38">
        <f t="shared" si="485"/>
        <v>3620</v>
      </c>
      <c r="V470">
        <v>1290</v>
      </c>
      <c r="W470">
        <v>51</v>
      </c>
      <c r="X470">
        <v>25</v>
      </c>
      <c r="Y470">
        <v>32</v>
      </c>
      <c r="Z470">
        <v>613</v>
      </c>
      <c r="AA470">
        <v>557</v>
      </c>
      <c r="AB470">
        <v>3.43</v>
      </c>
      <c r="AC470">
        <v>1</v>
      </c>
      <c r="AD470">
        <v>14</v>
      </c>
      <c r="AE470">
        <v>50</v>
      </c>
      <c r="AF470" s="45">
        <f t="shared" ca="1" si="472"/>
        <v>6169</v>
      </c>
      <c r="AG470" s="45">
        <f t="shared" ca="1" si="486"/>
        <v>1608</v>
      </c>
      <c r="AH470" s="45">
        <f t="shared" ca="1" si="487"/>
        <v>1164</v>
      </c>
      <c r="AI470" s="45">
        <f t="shared" ca="1" si="488"/>
        <v>233</v>
      </c>
      <c r="AJ470" s="45">
        <f t="shared" ca="1" si="489"/>
        <v>21</v>
      </c>
      <c r="AK470" s="45">
        <f t="shared" ca="1" si="490"/>
        <v>190</v>
      </c>
      <c r="AL470" s="45">
        <f t="shared" ca="1" si="491"/>
        <v>508</v>
      </c>
      <c r="AM470" s="45">
        <f t="shared" ca="1" si="492"/>
        <v>44</v>
      </c>
      <c r="AN470" s="45">
        <f t="shared" ca="1" si="493"/>
        <v>4009</v>
      </c>
      <c r="AO470">
        <v>4388</v>
      </c>
      <c r="AP470">
        <v>1341</v>
      </c>
      <c r="AQ470">
        <v>152</v>
      </c>
      <c r="AR470">
        <v>383</v>
      </c>
      <c r="AS470">
        <v>1337</v>
      </c>
      <c r="AT470">
        <v>88</v>
      </c>
      <c r="AU470">
        <v>131</v>
      </c>
      <c r="AV470">
        <v>0.98599999999999999</v>
      </c>
      <c r="AW470" s="1"/>
      <c r="AX470" s="1"/>
      <c r="AY470" s="47">
        <f t="shared" si="494"/>
        <v>29700</v>
      </c>
      <c r="AZ470" s="49">
        <f t="shared" si="495"/>
        <v>165488</v>
      </c>
      <c r="BA470" s="49">
        <f t="shared" ref="BA470" si="514">SUMIF($B$2:$B$571,$B470,$S$2:$S$571)</f>
        <v>14073</v>
      </c>
      <c r="BB470" s="48">
        <f t="shared" si="497"/>
        <v>8.5039398627090784E-2</v>
      </c>
    </row>
    <row r="471" spans="2:54" x14ac:dyDescent="0.2">
      <c r="B471" s="3">
        <v>2015</v>
      </c>
      <c r="C471" t="s">
        <v>78</v>
      </c>
      <c r="D471" t="s">
        <v>79</v>
      </c>
      <c r="E471">
        <v>5</v>
      </c>
      <c r="F471" t="s">
        <v>38</v>
      </c>
      <c r="G471" t="s">
        <v>38</v>
      </c>
      <c r="H471" t="s">
        <v>38</v>
      </c>
      <c r="I471" t="s">
        <v>38</v>
      </c>
      <c r="J471">
        <v>68</v>
      </c>
      <c r="K471">
        <v>94</v>
      </c>
      <c r="L471">
        <v>694</v>
      </c>
      <c r="M471" s="38">
        <v>5600</v>
      </c>
      <c r="N471" s="38">
        <v>1405</v>
      </c>
      <c r="O471" s="38">
        <f t="shared" si="484"/>
        <v>936</v>
      </c>
      <c r="P471" s="38">
        <v>277</v>
      </c>
      <c r="Q471" s="38">
        <v>46</v>
      </c>
      <c r="R471" s="38">
        <v>146</v>
      </c>
      <c r="S471" s="38">
        <v>475</v>
      </c>
      <c r="T471" s="38">
        <v>40</v>
      </c>
      <c r="U471" s="38">
        <f t="shared" si="485"/>
        <v>3680</v>
      </c>
      <c r="V471">
        <v>1119</v>
      </c>
      <c r="W471">
        <v>78</v>
      </c>
      <c r="X471">
        <v>29</v>
      </c>
      <c r="Y471">
        <v>38</v>
      </c>
      <c r="Z471">
        <v>729</v>
      </c>
      <c r="AA471">
        <v>664</v>
      </c>
      <c r="AB471">
        <v>4.1399999999999997</v>
      </c>
      <c r="AC471">
        <v>5</v>
      </c>
      <c r="AD471">
        <v>15</v>
      </c>
      <c r="AE471">
        <v>28</v>
      </c>
      <c r="AF471" s="45">
        <f t="shared" ca="1" si="472"/>
        <v>6294</v>
      </c>
      <c r="AG471" s="45">
        <f t="shared" ca="1" si="486"/>
        <v>1432</v>
      </c>
      <c r="AH471" s="45">
        <f t="shared" ca="1" si="487"/>
        <v>918</v>
      </c>
      <c r="AI471" s="45">
        <f t="shared" ca="1" si="488"/>
        <v>281</v>
      </c>
      <c r="AJ471" s="45">
        <f t="shared" ca="1" si="489"/>
        <v>26</v>
      </c>
      <c r="AK471" s="45">
        <f t="shared" ca="1" si="490"/>
        <v>207</v>
      </c>
      <c r="AL471" s="45">
        <f t="shared" ca="1" si="491"/>
        <v>579</v>
      </c>
      <c r="AM471" s="45">
        <f t="shared" ca="1" si="492"/>
        <v>60</v>
      </c>
      <c r="AN471" s="45">
        <f t="shared" ca="1" si="493"/>
        <v>4223</v>
      </c>
      <c r="AO471">
        <v>4334</v>
      </c>
      <c r="AP471">
        <v>1402</v>
      </c>
      <c r="AQ471">
        <v>172</v>
      </c>
      <c r="AR471">
        <v>474</v>
      </c>
      <c r="AS471">
        <v>1179</v>
      </c>
      <c r="AT471">
        <v>126</v>
      </c>
      <c r="AU471">
        <v>154</v>
      </c>
      <c r="AV471">
        <v>0.97899999999999998</v>
      </c>
      <c r="AW471" s="1"/>
      <c r="AX471" s="1"/>
      <c r="AY471" s="47">
        <f t="shared" si="494"/>
        <v>29700</v>
      </c>
      <c r="AZ471" s="49">
        <f t="shared" si="495"/>
        <v>165488</v>
      </c>
      <c r="BA471" s="49">
        <f t="shared" ref="BA471" si="515">SUMIF($B$2:$B$571,$B471,$T$2:$T$571)</f>
        <v>1602</v>
      </c>
      <c r="BB471" s="48">
        <f t="shared" si="497"/>
        <v>9.6804602146379187E-3</v>
      </c>
    </row>
    <row r="472" spans="2:54" x14ac:dyDescent="0.2">
      <c r="B472" s="3">
        <v>2015</v>
      </c>
      <c r="C472" t="s">
        <v>80</v>
      </c>
      <c r="D472" t="s">
        <v>81</v>
      </c>
      <c r="E472">
        <v>5</v>
      </c>
      <c r="F472" t="s">
        <v>38</v>
      </c>
      <c r="G472" t="s">
        <v>38</v>
      </c>
      <c r="H472" t="s">
        <v>38</v>
      </c>
      <c r="I472" t="s">
        <v>38</v>
      </c>
      <c r="J472">
        <v>63</v>
      </c>
      <c r="K472">
        <v>99</v>
      </c>
      <c r="L472">
        <v>626</v>
      </c>
      <c r="M472" s="38">
        <v>5529</v>
      </c>
      <c r="N472" s="38">
        <v>1374</v>
      </c>
      <c r="O472" s="38">
        <f t="shared" si="484"/>
        <v>935</v>
      </c>
      <c r="P472" s="38">
        <v>272</v>
      </c>
      <c r="Q472" s="38">
        <v>37</v>
      </c>
      <c r="R472" s="38">
        <v>130</v>
      </c>
      <c r="S472" s="38">
        <v>387</v>
      </c>
      <c r="T472" s="38">
        <v>54</v>
      </c>
      <c r="U472" s="38">
        <f t="shared" si="485"/>
        <v>3714</v>
      </c>
      <c r="V472">
        <v>1274</v>
      </c>
      <c r="W472">
        <v>88</v>
      </c>
      <c r="X472">
        <v>32</v>
      </c>
      <c r="Y472">
        <v>29</v>
      </c>
      <c r="Z472">
        <v>809</v>
      </c>
      <c r="AA472">
        <v>749</v>
      </c>
      <c r="AB472">
        <v>4.6900000000000004</v>
      </c>
      <c r="AC472">
        <v>1</v>
      </c>
      <c r="AD472">
        <v>7</v>
      </c>
      <c r="AE472">
        <v>35</v>
      </c>
      <c r="AF472" s="45">
        <f t="shared" ca="1" si="472"/>
        <v>6385</v>
      </c>
      <c r="AG472" s="45">
        <f t="shared" ca="1" si="486"/>
        <v>1451</v>
      </c>
      <c r="AH472" s="45">
        <f t="shared" ca="1" si="487"/>
        <v>837</v>
      </c>
      <c r="AI472" s="45">
        <f t="shared" ca="1" si="488"/>
        <v>373</v>
      </c>
      <c r="AJ472" s="45">
        <f t="shared" ca="1" si="489"/>
        <v>40</v>
      </c>
      <c r="AK472" s="45">
        <f t="shared" ca="1" si="490"/>
        <v>201</v>
      </c>
      <c r="AL472" s="45">
        <f t="shared" ca="1" si="491"/>
        <v>537</v>
      </c>
      <c r="AM472" s="45">
        <f t="shared" ca="1" si="492"/>
        <v>63</v>
      </c>
      <c r="AN472" s="45">
        <f t="shared" ca="1" si="493"/>
        <v>4334</v>
      </c>
      <c r="AO472">
        <v>4309</v>
      </c>
      <c r="AP472">
        <v>1592</v>
      </c>
      <c r="AQ472">
        <v>191</v>
      </c>
      <c r="AR472">
        <v>488</v>
      </c>
      <c r="AS472">
        <v>1153</v>
      </c>
      <c r="AT472">
        <v>117</v>
      </c>
      <c r="AU472">
        <v>145</v>
      </c>
      <c r="AV472">
        <v>0.98099999999999998</v>
      </c>
      <c r="AW472" s="1"/>
      <c r="AX472" s="1"/>
      <c r="AY472" s="47">
        <f t="shared" si="494"/>
        <v>29700</v>
      </c>
      <c r="AZ472" s="49">
        <f t="shared" si="495"/>
        <v>165488</v>
      </c>
      <c r="BA472" s="49">
        <f t="shared" ref="BA472" si="516">SUMIF($B$2:$B$571,$B472,$U$2:$U$571)</f>
        <v>107707</v>
      </c>
      <c r="BB472" s="48">
        <f t="shared" si="497"/>
        <v>0.65084477424344966</v>
      </c>
    </row>
    <row r="473" spans="2:54" x14ac:dyDescent="0.2">
      <c r="B473" s="3">
        <v>2015</v>
      </c>
      <c r="C473" t="s">
        <v>82</v>
      </c>
      <c r="D473" t="s">
        <v>83</v>
      </c>
      <c r="E473">
        <v>2</v>
      </c>
      <c r="F473" t="s">
        <v>38</v>
      </c>
      <c r="G473" t="s">
        <v>43</v>
      </c>
      <c r="H473" t="s">
        <v>38</v>
      </c>
      <c r="I473" t="s">
        <v>38</v>
      </c>
      <c r="J473">
        <v>98</v>
      </c>
      <c r="K473">
        <v>64</v>
      </c>
      <c r="L473">
        <v>697</v>
      </c>
      <c r="M473" s="38">
        <v>5631</v>
      </c>
      <c r="N473" s="38">
        <v>1462</v>
      </c>
      <c r="O473" s="38">
        <f t="shared" si="484"/>
        <v>1003</v>
      </c>
      <c r="P473" s="38">
        <v>292</v>
      </c>
      <c r="Q473" s="38">
        <v>27</v>
      </c>
      <c r="R473" s="38">
        <v>140</v>
      </c>
      <c r="S473" s="38">
        <v>461</v>
      </c>
      <c r="T473" s="38">
        <v>89</v>
      </c>
      <c r="U473" s="38">
        <f t="shared" si="485"/>
        <v>3619</v>
      </c>
      <c r="V473">
        <v>1322</v>
      </c>
      <c r="W473">
        <v>98</v>
      </c>
      <c r="X473">
        <v>45</v>
      </c>
      <c r="Y473">
        <v>41</v>
      </c>
      <c r="Z473">
        <v>596</v>
      </c>
      <c r="AA473">
        <v>532</v>
      </c>
      <c r="AB473">
        <v>3.21</v>
      </c>
      <c r="AC473">
        <v>0</v>
      </c>
      <c r="AD473">
        <v>13</v>
      </c>
      <c r="AE473">
        <v>54</v>
      </c>
      <c r="AF473" s="45">
        <f t="shared" ca="1" si="472"/>
        <v>6096</v>
      </c>
      <c r="AG473" s="45">
        <f t="shared" ca="1" si="486"/>
        <v>1604</v>
      </c>
      <c r="AH473" s="45">
        <f t="shared" ca="1" si="487"/>
        <v>1041</v>
      </c>
      <c r="AI473" s="45">
        <f t="shared" ca="1" si="488"/>
        <v>400</v>
      </c>
      <c r="AJ473" s="45">
        <f t="shared" ca="1" si="489"/>
        <v>24</v>
      </c>
      <c r="AK473" s="45">
        <f t="shared" ca="1" si="490"/>
        <v>139</v>
      </c>
      <c r="AL473" s="45">
        <f t="shared" ca="1" si="491"/>
        <v>579</v>
      </c>
      <c r="AM473" s="45">
        <f t="shared" ca="1" si="492"/>
        <v>30</v>
      </c>
      <c r="AN473" s="45">
        <f t="shared" ca="1" si="493"/>
        <v>3883</v>
      </c>
      <c r="AO473">
        <v>4469</v>
      </c>
      <c r="AP473">
        <v>1392</v>
      </c>
      <c r="AQ473">
        <v>110</v>
      </c>
      <c r="AR473">
        <v>453</v>
      </c>
      <c r="AS473">
        <v>1338</v>
      </c>
      <c r="AT473">
        <v>122</v>
      </c>
      <c r="AU473">
        <v>177</v>
      </c>
      <c r="AV473">
        <v>0.98099999999999998</v>
      </c>
      <c r="AW473" s="1"/>
      <c r="AX473" s="1"/>
      <c r="AY473" s="47">
        <f t="shared" si="494"/>
        <v>29700</v>
      </c>
      <c r="AZ473" s="49">
        <f t="shared" si="495"/>
        <v>165488</v>
      </c>
      <c r="BA473" s="49"/>
      <c r="BB473" s="48">
        <f t="shared" si="497"/>
        <v>0</v>
      </c>
    </row>
    <row r="474" spans="2:54" x14ac:dyDescent="0.2">
      <c r="B474" s="3">
        <v>2015</v>
      </c>
      <c r="C474" t="s">
        <v>84</v>
      </c>
      <c r="D474" t="s">
        <v>85</v>
      </c>
      <c r="E474">
        <v>4</v>
      </c>
      <c r="F474" t="s">
        <v>38</v>
      </c>
      <c r="G474" t="s">
        <v>38</v>
      </c>
      <c r="H474" t="s">
        <v>38</v>
      </c>
      <c r="I474" t="s">
        <v>38</v>
      </c>
      <c r="J474">
        <v>74</v>
      </c>
      <c r="K474">
        <v>88</v>
      </c>
      <c r="L474">
        <v>650</v>
      </c>
      <c r="M474" s="38">
        <v>5457</v>
      </c>
      <c r="N474" s="38">
        <v>1324</v>
      </c>
      <c r="O474" s="38">
        <f t="shared" si="484"/>
        <v>880</v>
      </c>
      <c r="P474" s="38">
        <v>260</v>
      </c>
      <c r="Q474" s="38">
        <v>36</v>
      </c>
      <c r="R474" s="38">
        <v>148</v>
      </c>
      <c r="S474" s="38">
        <v>426</v>
      </c>
      <c r="T474" s="38">
        <v>40</v>
      </c>
      <c r="U474" s="38">
        <f t="shared" si="485"/>
        <v>3667</v>
      </c>
      <c r="V474">
        <v>1327</v>
      </c>
      <c r="W474">
        <v>82</v>
      </c>
      <c r="X474">
        <v>29</v>
      </c>
      <c r="Y474">
        <v>42</v>
      </c>
      <c r="Z474">
        <v>731</v>
      </c>
      <c r="AA474">
        <v>655</v>
      </c>
      <c r="AB474">
        <v>4.09</v>
      </c>
      <c r="AC474">
        <v>1</v>
      </c>
      <c r="AD474">
        <v>6</v>
      </c>
      <c r="AE474">
        <v>41</v>
      </c>
      <c r="AF474" s="45">
        <f t="shared" ca="1" si="472"/>
        <v>6214</v>
      </c>
      <c r="AG474" s="45">
        <f t="shared" ca="1" si="486"/>
        <v>1634</v>
      </c>
      <c r="AH474" s="45">
        <f t="shared" ca="1" si="487"/>
        <v>1101</v>
      </c>
      <c r="AI474" s="45">
        <f t="shared" ca="1" si="488"/>
        <v>325</v>
      </c>
      <c r="AJ474" s="45">
        <f t="shared" ca="1" si="489"/>
        <v>26</v>
      </c>
      <c r="AK474" s="45">
        <f t="shared" ca="1" si="490"/>
        <v>182</v>
      </c>
      <c r="AL474" s="45">
        <f t="shared" ca="1" si="491"/>
        <v>608</v>
      </c>
      <c r="AM474" s="45">
        <f t="shared" ca="1" si="492"/>
        <v>87</v>
      </c>
      <c r="AN474" s="45">
        <f t="shared" ca="1" si="493"/>
        <v>3885</v>
      </c>
      <c r="AO474">
        <v>4321</v>
      </c>
      <c r="AP474">
        <v>1371</v>
      </c>
      <c r="AQ474">
        <v>171</v>
      </c>
      <c r="AR474">
        <v>516</v>
      </c>
      <c r="AS474">
        <v>1393</v>
      </c>
      <c r="AT474">
        <v>92</v>
      </c>
      <c r="AU474">
        <v>138</v>
      </c>
      <c r="AV474">
        <v>0.98499999999999999</v>
      </c>
      <c r="AW474" s="1"/>
      <c r="AX474" s="1"/>
      <c r="AY474" s="47">
        <f t="shared" si="494"/>
        <v>29700</v>
      </c>
      <c r="AZ474" s="49">
        <f t="shared" si="495"/>
        <v>165488</v>
      </c>
      <c r="BA474" s="49">
        <f t="shared" ref="BA474" si="517">SUMIF($B$2:$B$571,$B474,$O$2:$O$571)</f>
        <v>28016</v>
      </c>
      <c r="BB474" s="48">
        <f t="shared" si="497"/>
        <v>0.1692932418060524</v>
      </c>
    </row>
    <row r="475" spans="2:54" x14ac:dyDescent="0.2">
      <c r="B475" s="3">
        <v>2015</v>
      </c>
      <c r="C475" t="s">
        <v>86</v>
      </c>
      <c r="D475" t="s">
        <v>87</v>
      </c>
      <c r="E475">
        <v>4</v>
      </c>
      <c r="F475" t="s">
        <v>38</v>
      </c>
      <c r="G475" t="s">
        <v>38</v>
      </c>
      <c r="H475" t="s">
        <v>38</v>
      </c>
      <c r="I475" t="s">
        <v>38</v>
      </c>
      <c r="J475">
        <v>76</v>
      </c>
      <c r="K475">
        <v>86</v>
      </c>
      <c r="L475">
        <v>656</v>
      </c>
      <c r="M475" s="38">
        <v>5544</v>
      </c>
      <c r="N475" s="38">
        <v>1379</v>
      </c>
      <c r="O475" s="38">
        <f t="shared" si="484"/>
        <v>897</v>
      </c>
      <c r="P475" s="38">
        <v>262</v>
      </c>
      <c r="Q475" s="38">
        <v>22</v>
      </c>
      <c r="R475" s="38">
        <v>198</v>
      </c>
      <c r="S475" s="38">
        <v>478</v>
      </c>
      <c r="T475" s="38">
        <v>36</v>
      </c>
      <c r="U475" s="38">
        <f t="shared" si="485"/>
        <v>3651</v>
      </c>
      <c r="V475">
        <v>1336</v>
      </c>
      <c r="W475">
        <v>69</v>
      </c>
      <c r="X475">
        <v>45</v>
      </c>
      <c r="Y475">
        <v>35</v>
      </c>
      <c r="Z475">
        <v>726</v>
      </c>
      <c r="AA475">
        <v>677</v>
      </c>
      <c r="AB475">
        <v>4.16</v>
      </c>
      <c r="AC475">
        <v>6</v>
      </c>
      <c r="AD475">
        <v>12</v>
      </c>
      <c r="AE475">
        <v>45</v>
      </c>
      <c r="AF475" s="45">
        <f t="shared" ca="1" si="472"/>
        <v>6115</v>
      </c>
      <c r="AG475" s="45">
        <f t="shared" ca="1" si="486"/>
        <v>1655</v>
      </c>
      <c r="AH475" s="45">
        <f t="shared" ca="1" si="487"/>
        <v>1188</v>
      </c>
      <c r="AI475" s="45">
        <f t="shared" ca="1" si="488"/>
        <v>235</v>
      </c>
      <c r="AJ475" s="45">
        <f t="shared" ca="1" si="489"/>
        <v>26</v>
      </c>
      <c r="AK475" s="45">
        <f t="shared" ca="1" si="490"/>
        <v>206</v>
      </c>
      <c r="AL475" s="45">
        <f t="shared" ca="1" si="491"/>
        <v>566</v>
      </c>
      <c r="AM475" s="45">
        <f t="shared" ca="1" si="492"/>
        <v>90</v>
      </c>
      <c r="AN475" s="45">
        <f t="shared" ca="1" si="493"/>
        <v>3804</v>
      </c>
      <c r="AO475">
        <v>4389</v>
      </c>
      <c r="AP475">
        <v>1430</v>
      </c>
      <c r="AQ475">
        <v>181</v>
      </c>
      <c r="AR475">
        <v>491</v>
      </c>
      <c r="AS475">
        <v>1283</v>
      </c>
      <c r="AT475">
        <v>94</v>
      </c>
      <c r="AU475">
        <v>155</v>
      </c>
      <c r="AV475">
        <v>0.98499999999999999</v>
      </c>
      <c r="AW475" s="1"/>
      <c r="AX475" s="1"/>
      <c r="AY475" s="47">
        <f t="shared" si="494"/>
        <v>29700</v>
      </c>
      <c r="AZ475" s="49">
        <f t="shared" si="495"/>
        <v>165488</v>
      </c>
      <c r="BA475" s="49">
        <f t="shared" ref="BA475" si="518">SUMIF($B$2:$B$571,$B475,$P$2:$P$571)</f>
        <v>8242</v>
      </c>
      <c r="BB475" s="48">
        <f t="shared" si="497"/>
        <v>4.9804215411389345E-2</v>
      </c>
    </row>
    <row r="476" spans="2:54" x14ac:dyDescent="0.2">
      <c r="B476" s="3">
        <v>2015</v>
      </c>
      <c r="C476" t="s">
        <v>88</v>
      </c>
      <c r="D476" t="s">
        <v>89</v>
      </c>
      <c r="E476">
        <v>2</v>
      </c>
      <c r="F476" t="s">
        <v>38</v>
      </c>
      <c r="G476" t="s">
        <v>38</v>
      </c>
      <c r="H476" t="s">
        <v>38</v>
      </c>
      <c r="I476" t="s">
        <v>38</v>
      </c>
      <c r="J476">
        <v>84</v>
      </c>
      <c r="K476">
        <v>78</v>
      </c>
      <c r="L476">
        <v>696</v>
      </c>
      <c r="M476" s="38">
        <v>5565</v>
      </c>
      <c r="N476" s="38">
        <v>1486</v>
      </c>
      <c r="O476" s="38">
        <f t="shared" si="484"/>
        <v>1023</v>
      </c>
      <c r="P476" s="38">
        <v>288</v>
      </c>
      <c r="Q476" s="38">
        <v>39</v>
      </c>
      <c r="R476" s="38">
        <v>136</v>
      </c>
      <c r="S476" s="38">
        <v>457</v>
      </c>
      <c r="T476" s="38">
        <v>49</v>
      </c>
      <c r="U476" s="38">
        <f t="shared" si="485"/>
        <v>3573</v>
      </c>
      <c r="V476">
        <v>1159</v>
      </c>
      <c r="W476">
        <v>93</v>
      </c>
      <c r="X476">
        <v>36</v>
      </c>
      <c r="Y476">
        <v>37</v>
      </c>
      <c r="Z476">
        <v>627</v>
      </c>
      <c r="AA476">
        <v>597</v>
      </c>
      <c r="AB476">
        <v>3.72</v>
      </c>
      <c r="AC476">
        <v>7</v>
      </c>
      <c r="AD476">
        <v>18</v>
      </c>
      <c r="AE476">
        <v>41</v>
      </c>
      <c r="AF476" s="45">
        <f t="shared" ca="1" si="472"/>
        <v>6300</v>
      </c>
      <c r="AG476" s="45">
        <f t="shared" ca="1" si="486"/>
        <v>1566</v>
      </c>
      <c r="AH476" s="45">
        <f t="shared" ca="1" si="487"/>
        <v>1152</v>
      </c>
      <c r="AI476" s="45">
        <f t="shared" ca="1" si="488"/>
        <v>244</v>
      </c>
      <c r="AJ476" s="45">
        <f t="shared" ca="1" si="489"/>
        <v>39</v>
      </c>
      <c r="AK476" s="45">
        <f t="shared" ca="1" si="490"/>
        <v>131</v>
      </c>
      <c r="AL476" s="45">
        <f t="shared" ca="1" si="491"/>
        <v>434</v>
      </c>
      <c r="AM476" s="45">
        <f t="shared" ca="1" si="492"/>
        <v>35</v>
      </c>
      <c r="AN476" s="45">
        <f t="shared" ca="1" si="493"/>
        <v>4265</v>
      </c>
      <c r="AO476">
        <v>4333</v>
      </c>
      <c r="AP476">
        <v>1344</v>
      </c>
      <c r="AQ476">
        <v>155</v>
      </c>
      <c r="AR476">
        <v>431</v>
      </c>
      <c r="AS476">
        <v>1165</v>
      </c>
      <c r="AT476">
        <v>78</v>
      </c>
      <c r="AU476">
        <v>145</v>
      </c>
      <c r="AV476">
        <v>0.98699999999999999</v>
      </c>
      <c r="AW476" s="1"/>
      <c r="AX476" s="1"/>
      <c r="AY476" s="47">
        <f t="shared" si="494"/>
        <v>29700</v>
      </c>
      <c r="AZ476" s="49">
        <f t="shared" si="495"/>
        <v>165488</v>
      </c>
      <c r="BA476" s="49">
        <f t="shared" ref="BA476" si="519">SUMIF($B$2:$B$571,$B476,$Q$2:$Q$571)</f>
        <v>939</v>
      </c>
      <c r="BB476" s="48">
        <f t="shared" si="497"/>
        <v>5.6741274291791551E-3</v>
      </c>
    </row>
    <row r="477" spans="2:54" x14ac:dyDescent="0.2">
      <c r="B477" s="3">
        <v>2015</v>
      </c>
      <c r="C477" t="s">
        <v>90</v>
      </c>
      <c r="D477" t="s">
        <v>91</v>
      </c>
      <c r="E477">
        <v>1</v>
      </c>
      <c r="F477" t="s">
        <v>43</v>
      </c>
      <c r="G477" t="s">
        <v>38</v>
      </c>
      <c r="H477" t="s">
        <v>38</v>
      </c>
      <c r="I477" t="s">
        <v>38</v>
      </c>
      <c r="J477">
        <v>100</v>
      </c>
      <c r="K477">
        <v>62</v>
      </c>
      <c r="L477">
        <v>647</v>
      </c>
      <c r="M477" s="38">
        <v>5484</v>
      </c>
      <c r="N477" s="38">
        <v>1386</v>
      </c>
      <c r="O477" s="38">
        <f t="shared" si="484"/>
        <v>922</v>
      </c>
      <c r="P477" s="38">
        <v>288</v>
      </c>
      <c r="Q477" s="38">
        <v>39</v>
      </c>
      <c r="R477" s="38">
        <v>137</v>
      </c>
      <c r="S477" s="38">
        <v>506</v>
      </c>
      <c r="T477" s="38">
        <v>66</v>
      </c>
      <c r="U477" s="38">
        <f t="shared" si="485"/>
        <v>3526</v>
      </c>
      <c r="V477">
        <v>1267</v>
      </c>
      <c r="W477">
        <v>69</v>
      </c>
      <c r="X477">
        <v>38</v>
      </c>
      <c r="Y477">
        <v>42</v>
      </c>
      <c r="Z477">
        <v>525</v>
      </c>
      <c r="AA477">
        <v>478</v>
      </c>
      <c r="AB477">
        <v>2.94</v>
      </c>
      <c r="AC477">
        <v>1</v>
      </c>
      <c r="AD477">
        <v>15</v>
      </c>
      <c r="AE477">
        <v>62</v>
      </c>
      <c r="AF477" s="45">
        <f t="shared" ca="1" si="472"/>
        <v>6369</v>
      </c>
      <c r="AG477" s="45">
        <f t="shared" ca="1" si="486"/>
        <v>1505</v>
      </c>
      <c r="AH477" s="45">
        <f t="shared" ca="1" si="487"/>
        <v>860</v>
      </c>
      <c r="AI477" s="45">
        <f t="shared" ca="1" si="488"/>
        <v>372</v>
      </c>
      <c r="AJ477" s="45">
        <f t="shared" ca="1" si="489"/>
        <v>42</v>
      </c>
      <c r="AK477" s="45">
        <f t="shared" ca="1" si="490"/>
        <v>231</v>
      </c>
      <c r="AL477" s="45">
        <f t="shared" ca="1" si="491"/>
        <v>429</v>
      </c>
      <c r="AM477" s="45">
        <f t="shared" ca="1" si="492"/>
        <v>52</v>
      </c>
      <c r="AN477" s="45">
        <f t="shared" ca="1" si="493"/>
        <v>4383</v>
      </c>
      <c r="AO477">
        <v>4394</v>
      </c>
      <c r="AP477">
        <v>1359</v>
      </c>
      <c r="AQ477">
        <v>123</v>
      </c>
      <c r="AR477">
        <v>477</v>
      </c>
      <c r="AS477">
        <v>1329</v>
      </c>
      <c r="AT477">
        <v>96</v>
      </c>
      <c r="AU477">
        <v>159</v>
      </c>
      <c r="AV477">
        <v>0.98399999999999999</v>
      </c>
      <c r="AW477" s="1"/>
      <c r="AX477" s="1"/>
      <c r="AY477" s="47">
        <f t="shared" si="494"/>
        <v>29700</v>
      </c>
      <c r="AZ477" s="49">
        <f t="shared" si="495"/>
        <v>165488</v>
      </c>
      <c r="BA477" s="49">
        <f t="shared" ref="BA477" si="520">SUMIF($B$2:$B$571,$B477,$R$2:$R$571)</f>
        <v>4909</v>
      </c>
      <c r="BB477" s="48">
        <f t="shared" si="497"/>
        <v>2.9663782268200715E-2</v>
      </c>
    </row>
    <row r="478" spans="2:54" x14ac:dyDescent="0.2">
      <c r="B478" s="3">
        <v>2015</v>
      </c>
      <c r="C478" t="s">
        <v>102</v>
      </c>
      <c r="D478" t="s">
        <v>93</v>
      </c>
      <c r="E478">
        <v>4</v>
      </c>
      <c r="F478" t="s">
        <v>38</v>
      </c>
      <c r="G478" t="s">
        <v>38</v>
      </c>
      <c r="H478" t="s">
        <v>38</v>
      </c>
      <c r="I478" t="s">
        <v>38</v>
      </c>
      <c r="J478">
        <v>80</v>
      </c>
      <c r="K478">
        <v>82</v>
      </c>
      <c r="L478">
        <v>644</v>
      </c>
      <c r="M478" s="38">
        <v>5485</v>
      </c>
      <c r="N478" s="38">
        <v>1383</v>
      </c>
      <c r="O478" s="38">
        <f t="shared" si="484"/>
        <v>906</v>
      </c>
      <c r="P478" s="38">
        <v>278</v>
      </c>
      <c r="Q478" s="38">
        <v>32</v>
      </c>
      <c r="R478" s="38">
        <v>167</v>
      </c>
      <c r="S478" s="38">
        <v>436</v>
      </c>
      <c r="T478" s="38">
        <v>84</v>
      </c>
      <c r="U478" s="38">
        <f t="shared" si="485"/>
        <v>3582</v>
      </c>
      <c r="V478">
        <v>1310</v>
      </c>
      <c r="W478">
        <v>87</v>
      </c>
      <c r="X478">
        <v>45</v>
      </c>
      <c r="Y478">
        <v>47</v>
      </c>
      <c r="Z478">
        <v>642</v>
      </c>
      <c r="AA478">
        <v>604</v>
      </c>
      <c r="AB478">
        <v>3.74</v>
      </c>
      <c r="AC478">
        <v>1</v>
      </c>
      <c r="AD478">
        <v>12</v>
      </c>
      <c r="AE478">
        <v>60</v>
      </c>
      <c r="AF478" s="45">
        <f t="shared" ca="1" si="472"/>
        <v>6405</v>
      </c>
      <c r="AG478" s="45">
        <f t="shared" ca="1" si="486"/>
        <v>1416</v>
      </c>
      <c r="AH478" s="45">
        <f t="shared" ca="1" si="487"/>
        <v>947</v>
      </c>
      <c r="AI478" s="45">
        <f t="shared" ca="1" si="488"/>
        <v>236</v>
      </c>
      <c r="AJ478" s="45">
        <f t="shared" ca="1" si="489"/>
        <v>42</v>
      </c>
      <c r="AK478" s="45">
        <f t="shared" ca="1" si="490"/>
        <v>191</v>
      </c>
      <c r="AL478" s="45">
        <f t="shared" ca="1" si="491"/>
        <v>670</v>
      </c>
      <c r="AM478" s="45">
        <f t="shared" ca="1" si="492"/>
        <v>86</v>
      </c>
      <c r="AN478" s="45">
        <f t="shared" ca="1" si="493"/>
        <v>4233</v>
      </c>
      <c r="AO478">
        <v>4360</v>
      </c>
      <c r="AP478">
        <v>1314</v>
      </c>
      <c r="AQ478">
        <v>175</v>
      </c>
      <c r="AR478">
        <v>477</v>
      </c>
      <c r="AS478">
        <v>1355</v>
      </c>
      <c r="AT478">
        <v>95</v>
      </c>
      <c r="AU478">
        <v>118</v>
      </c>
      <c r="AV478">
        <v>0.98399999999999999</v>
      </c>
      <c r="AW478" s="1"/>
      <c r="AX478" s="1"/>
      <c r="AY478" s="47">
        <f t="shared" si="494"/>
        <v>29700</v>
      </c>
      <c r="AZ478" s="49">
        <f t="shared" si="495"/>
        <v>165488</v>
      </c>
      <c r="BA478" s="49">
        <f t="shared" ref="BA478" si="521">SUMIF($B$2:$B$571,$B478,$S$2:$S$571)</f>
        <v>14073</v>
      </c>
      <c r="BB478" s="48">
        <f t="shared" si="497"/>
        <v>8.5039398627090784E-2</v>
      </c>
    </row>
    <row r="479" spans="2:54" x14ac:dyDescent="0.2">
      <c r="B479" s="3">
        <v>2015</v>
      </c>
      <c r="C479" t="s">
        <v>94</v>
      </c>
      <c r="D479" t="s">
        <v>95</v>
      </c>
      <c r="E479">
        <v>1</v>
      </c>
      <c r="F479" t="s">
        <v>43</v>
      </c>
      <c r="G479" t="s">
        <v>38</v>
      </c>
      <c r="H479" t="s">
        <v>38</v>
      </c>
      <c r="I479" t="s">
        <v>38</v>
      </c>
      <c r="J479">
        <v>88</v>
      </c>
      <c r="K479">
        <v>74</v>
      </c>
      <c r="L479">
        <v>751</v>
      </c>
      <c r="M479" s="38">
        <v>5511</v>
      </c>
      <c r="N479" s="38">
        <v>1419</v>
      </c>
      <c r="O479" s="38">
        <f t="shared" si="484"/>
        <v>936</v>
      </c>
      <c r="P479" s="38">
        <v>279</v>
      </c>
      <c r="Q479" s="38">
        <v>32</v>
      </c>
      <c r="R479" s="38">
        <v>172</v>
      </c>
      <c r="S479" s="38">
        <v>503</v>
      </c>
      <c r="T479" s="38">
        <v>76</v>
      </c>
      <c r="U479" s="38">
        <f t="shared" si="485"/>
        <v>3513</v>
      </c>
      <c r="V479">
        <v>1233</v>
      </c>
      <c r="W479">
        <v>101</v>
      </c>
      <c r="X479">
        <v>39</v>
      </c>
      <c r="Y479">
        <v>54</v>
      </c>
      <c r="Z479">
        <v>733</v>
      </c>
      <c r="AA479">
        <v>680</v>
      </c>
      <c r="AB479">
        <v>4.24</v>
      </c>
      <c r="AC479">
        <v>5</v>
      </c>
      <c r="AD479">
        <v>9</v>
      </c>
      <c r="AE479">
        <v>45</v>
      </c>
      <c r="AF479" s="45">
        <f t="shared" ca="1" si="472"/>
        <v>6208</v>
      </c>
      <c r="AG479" s="45">
        <f t="shared" ca="1" si="486"/>
        <v>1354</v>
      </c>
      <c r="AH479" s="45">
        <f t="shared" ca="1" si="487"/>
        <v>881</v>
      </c>
      <c r="AI479" s="45">
        <f t="shared" ca="1" si="488"/>
        <v>268</v>
      </c>
      <c r="AJ479" s="45">
        <f t="shared" ca="1" si="489"/>
        <v>25</v>
      </c>
      <c r="AK479" s="45">
        <f t="shared" ca="1" si="490"/>
        <v>180</v>
      </c>
      <c r="AL479" s="45">
        <f t="shared" ca="1" si="491"/>
        <v>521</v>
      </c>
      <c r="AM479" s="45">
        <f t="shared" ca="1" si="492"/>
        <v>90</v>
      </c>
      <c r="AN479" s="45">
        <f t="shared" ca="1" si="493"/>
        <v>4243</v>
      </c>
      <c r="AO479">
        <v>4328</v>
      </c>
      <c r="AP479">
        <v>1459</v>
      </c>
      <c r="AQ479">
        <v>171</v>
      </c>
      <c r="AR479">
        <v>508</v>
      </c>
      <c r="AS479">
        <v>1095</v>
      </c>
      <c r="AT479">
        <v>119</v>
      </c>
      <c r="AU479">
        <v>169</v>
      </c>
      <c r="AV479">
        <v>0.98099999999999998</v>
      </c>
      <c r="AW479" s="1"/>
      <c r="AX479" s="1"/>
      <c r="AY479" s="47">
        <f t="shared" si="494"/>
        <v>29700</v>
      </c>
      <c r="AZ479" s="49">
        <f t="shared" si="495"/>
        <v>165488</v>
      </c>
      <c r="BA479" s="49">
        <f t="shared" ref="BA479" si="522">SUMIF($B$2:$B$571,$B479,$T$2:$T$571)</f>
        <v>1602</v>
      </c>
      <c r="BB479" s="48">
        <f t="shared" si="497"/>
        <v>9.6804602146379187E-3</v>
      </c>
    </row>
    <row r="480" spans="2:54" x14ac:dyDescent="0.2">
      <c r="B480" s="3">
        <v>2015</v>
      </c>
      <c r="C480" t="s">
        <v>96</v>
      </c>
      <c r="D480" t="s">
        <v>97</v>
      </c>
      <c r="E480">
        <v>1</v>
      </c>
      <c r="F480" t="s">
        <v>43</v>
      </c>
      <c r="G480" t="s">
        <v>38</v>
      </c>
      <c r="H480" t="s">
        <v>38</v>
      </c>
      <c r="I480" t="s">
        <v>38</v>
      </c>
      <c r="J480">
        <v>93</v>
      </c>
      <c r="K480">
        <v>69</v>
      </c>
      <c r="L480">
        <v>891</v>
      </c>
      <c r="M480" s="38">
        <v>5509</v>
      </c>
      <c r="N480" s="38">
        <v>1480</v>
      </c>
      <c r="O480" s="38">
        <f t="shared" si="484"/>
        <v>923</v>
      </c>
      <c r="P480" s="38">
        <v>308</v>
      </c>
      <c r="Q480" s="38">
        <v>17</v>
      </c>
      <c r="R480" s="38">
        <v>232</v>
      </c>
      <c r="S480" s="38">
        <v>570</v>
      </c>
      <c r="T480" s="38">
        <v>54</v>
      </c>
      <c r="U480" s="38">
        <f t="shared" si="485"/>
        <v>3405</v>
      </c>
      <c r="V480">
        <v>1151</v>
      </c>
      <c r="W480">
        <v>88</v>
      </c>
      <c r="X480">
        <v>23</v>
      </c>
      <c r="Y480">
        <v>62</v>
      </c>
      <c r="Z480">
        <v>670</v>
      </c>
      <c r="AA480">
        <v>609</v>
      </c>
      <c r="AB480">
        <v>3.8</v>
      </c>
      <c r="AC480">
        <v>7</v>
      </c>
      <c r="AD480">
        <v>10</v>
      </c>
      <c r="AE480">
        <v>34</v>
      </c>
      <c r="AF480" s="45">
        <f t="shared" ca="1" si="472"/>
        <v>6439</v>
      </c>
      <c r="AG480" s="45">
        <f t="shared" ca="1" si="486"/>
        <v>1437</v>
      </c>
      <c r="AH480" s="45">
        <f t="shared" ca="1" si="487"/>
        <v>841</v>
      </c>
      <c r="AI480" s="45">
        <f t="shared" ca="1" si="488"/>
        <v>358</v>
      </c>
      <c r="AJ480" s="45">
        <f t="shared" ca="1" si="489"/>
        <v>36</v>
      </c>
      <c r="AK480" s="45">
        <f t="shared" ca="1" si="490"/>
        <v>202</v>
      </c>
      <c r="AL480" s="45">
        <f t="shared" ca="1" si="491"/>
        <v>692</v>
      </c>
      <c r="AM480" s="45">
        <f t="shared" ca="1" si="492"/>
        <v>64</v>
      </c>
      <c r="AN480" s="45">
        <f t="shared" ca="1" si="493"/>
        <v>4246</v>
      </c>
      <c r="AO480">
        <v>4323</v>
      </c>
      <c r="AP480">
        <v>1353</v>
      </c>
      <c r="AQ480">
        <v>173</v>
      </c>
      <c r="AR480">
        <v>397</v>
      </c>
      <c r="AS480">
        <v>1117</v>
      </c>
      <c r="AT480">
        <v>88</v>
      </c>
      <c r="AU480">
        <v>145</v>
      </c>
      <c r="AV480">
        <v>0.98499999999999999</v>
      </c>
      <c r="AW480" s="1"/>
      <c r="AX480" s="1"/>
      <c r="AY480" s="47">
        <f t="shared" si="494"/>
        <v>29700</v>
      </c>
      <c r="AZ480" s="49">
        <f t="shared" si="495"/>
        <v>165488</v>
      </c>
      <c r="BA480" s="49">
        <f t="shared" ref="BA480" si="523">SUMIF($B$2:$B$571,$B480,$U$2:$U$571)</f>
        <v>107707</v>
      </c>
      <c r="BB480" s="48">
        <f t="shared" si="497"/>
        <v>0.65084477424344966</v>
      </c>
    </row>
    <row r="481" spans="2:54" x14ac:dyDescent="0.2">
      <c r="B481" s="3">
        <v>2015</v>
      </c>
      <c r="C481" t="s">
        <v>100</v>
      </c>
      <c r="D481" t="s">
        <v>101</v>
      </c>
      <c r="E481">
        <v>2</v>
      </c>
      <c r="F481" t="s">
        <v>38</v>
      </c>
      <c r="G481" t="s">
        <v>38</v>
      </c>
      <c r="H481" t="s">
        <v>38</v>
      </c>
      <c r="I481" t="s">
        <v>38</v>
      </c>
      <c r="J481">
        <v>83</v>
      </c>
      <c r="K481">
        <v>79</v>
      </c>
      <c r="L481">
        <v>703</v>
      </c>
      <c r="M481" s="38">
        <v>5428</v>
      </c>
      <c r="N481" s="38">
        <v>1363</v>
      </c>
      <c r="O481" s="38">
        <f t="shared" si="484"/>
        <v>908</v>
      </c>
      <c r="P481" s="38">
        <v>265</v>
      </c>
      <c r="Q481" s="38">
        <v>13</v>
      </c>
      <c r="R481" s="38">
        <v>177</v>
      </c>
      <c r="S481" s="38">
        <v>539</v>
      </c>
      <c r="T481" s="38">
        <v>44</v>
      </c>
      <c r="U481" s="38">
        <f t="shared" si="485"/>
        <v>3482</v>
      </c>
      <c r="V481">
        <v>1344</v>
      </c>
      <c r="W481">
        <v>57</v>
      </c>
      <c r="X481">
        <v>23</v>
      </c>
      <c r="Y481">
        <v>51</v>
      </c>
      <c r="Z481">
        <v>635</v>
      </c>
      <c r="AA481">
        <v>577</v>
      </c>
      <c r="AB481">
        <v>3.62</v>
      </c>
      <c r="AC481">
        <v>4</v>
      </c>
      <c r="AD481">
        <v>13</v>
      </c>
      <c r="AE481">
        <v>41</v>
      </c>
      <c r="AF481" s="45">
        <f t="shared" ca="1" si="472"/>
        <v>6178</v>
      </c>
      <c r="AG481" s="45">
        <f t="shared" ca="1" si="486"/>
        <v>1468</v>
      </c>
      <c r="AH481" s="45">
        <f t="shared" ca="1" si="487"/>
        <v>866</v>
      </c>
      <c r="AI481" s="45">
        <f t="shared" ca="1" si="488"/>
        <v>350</v>
      </c>
      <c r="AJ481" s="45">
        <f t="shared" ca="1" si="489"/>
        <v>43</v>
      </c>
      <c r="AK481" s="45">
        <f t="shared" ca="1" si="490"/>
        <v>209</v>
      </c>
      <c r="AL481" s="45">
        <f t="shared" ca="1" si="491"/>
        <v>467</v>
      </c>
      <c r="AM481" s="45">
        <f t="shared" ca="1" si="492"/>
        <v>57</v>
      </c>
      <c r="AN481" s="45">
        <f t="shared" ca="1" si="493"/>
        <v>4186</v>
      </c>
      <c r="AO481">
        <v>4304</v>
      </c>
      <c r="AP481">
        <v>1366</v>
      </c>
      <c r="AQ481">
        <v>145</v>
      </c>
      <c r="AR481">
        <v>364</v>
      </c>
      <c r="AS481">
        <v>1342</v>
      </c>
      <c r="AT481">
        <v>90</v>
      </c>
      <c r="AU481">
        <v>125</v>
      </c>
      <c r="AV481">
        <v>0.98499999999999999</v>
      </c>
      <c r="AW481" s="1"/>
      <c r="AX481" s="1"/>
      <c r="AY481" s="47">
        <f t="shared" si="494"/>
        <v>29700</v>
      </c>
      <c r="AZ481" s="49">
        <f t="shared" si="495"/>
        <v>165488</v>
      </c>
      <c r="BA481" s="49"/>
      <c r="BB481" s="48">
        <f t="shared" si="497"/>
        <v>0</v>
      </c>
    </row>
    <row r="482" spans="2:54" x14ac:dyDescent="0.2">
      <c r="B482" s="3">
        <v>2016</v>
      </c>
      <c r="C482" t="s">
        <v>39</v>
      </c>
      <c r="D482" t="s">
        <v>40</v>
      </c>
      <c r="E482">
        <v>4</v>
      </c>
      <c r="F482" t="s">
        <v>38</v>
      </c>
      <c r="G482" t="s">
        <v>38</v>
      </c>
      <c r="H482" t="s">
        <v>38</v>
      </c>
      <c r="I482" t="s">
        <v>38</v>
      </c>
      <c r="J482">
        <v>69</v>
      </c>
      <c r="K482">
        <v>93</v>
      </c>
      <c r="L482">
        <v>752</v>
      </c>
      <c r="M482" s="38">
        <v>5665</v>
      </c>
      <c r="N482" s="38">
        <v>1479</v>
      </c>
      <c r="O482" s="38">
        <f t="shared" si="484"/>
        <v>948</v>
      </c>
      <c r="P482" s="38">
        <v>285</v>
      </c>
      <c r="Q482" s="38">
        <v>56</v>
      </c>
      <c r="R482" s="38">
        <v>190</v>
      </c>
      <c r="S482" s="38">
        <v>463</v>
      </c>
      <c r="T482" s="38">
        <v>50</v>
      </c>
      <c r="U482" s="38">
        <f t="shared" si="485"/>
        <v>3673</v>
      </c>
      <c r="V482">
        <v>1427</v>
      </c>
      <c r="W482">
        <v>137</v>
      </c>
      <c r="X482">
        <v>31</v>
      </c>
      <c r="Y482">
        <v>38</v>
      </c>
      <c r="Z482">
        <v>890</v>
      </c>
      <c r="AA482">
        <v>821</v>
      </c>
      <c r="AB482">
        <v>5.09</v>
      </c>
      <c r="AC482">
        <v>2</v>
      </c>
      <c r="AD482">
        <v>7</v>
      </c>
      <c r="AE482">
        <v>31</v>
      </c>
      <c r="AF482" s="45">
        <f t="shared" ca="1" si="472"/>
        <v>6227</v>
      </c>
      <c r="AG482" s="45">
        <f t="shared" ca="1" si="486"/>
        <v>1597</v>
      </c>
      <c r="AH482" s="45">
        <f t="shared" ca="1" si="487"/>
        <v>1076</v>
      </c>
      <c r="AI482" s="45">
        <f t="shared" ca="1" si="488"/>
        <v>275</v>
      </c>
      <c r="AJ482" s="45">
        <f t="shared" ca="1" si="489"/>
        <v>23</v>
      </c>
      <c r="AK482" s="45">
        <f t="shared" ca="1" si="490"/>
        <v>223</v>
      </c>
      <c r="AL482" s="45">
        <f t="shared" ca="1" si="491"/>
        <v>677</v>
      </c>
      <c r="AM482" s="45">
        <f t="shared" ca="1" si="492"/>
        <v>79</v>
      </c>
      <c r="AN482" s="45">
        <f t="shared" ca="1" si="493"/>
        <v>3874</v>
      </c>
      <c r="AO482">
        <v>4354</v>
      </c>
      <c r="AP482">
        <v>1563</v>
      </c>
      <c r="AQ482">
        <v>202</v>
      </c>
      <c r="AR482">
        <v>603</v>
      </c>
      <c r="AS482">
        <v>1318</v>
      </c>
      <c r="AT482">
        <v>101</v>
      </c>
      <c r="AU482">
        <v>143</v>
      </c>
      <c r="AV482">
        <v>0.98299999999999998</v>
      </c>
      <c r="AW482" s="1"/>
      <c r="AX482" s="1"/>
      <c r="AY482" s="47">
        <f t="shared" si="494"/>
        <v>29700</v>
      </c>
      <c r="AZ482" s="49">
        <f t="shared" si="495"/>
        <v>165561</v>
      </c>
      <c r="BA482" s="49">
        <f t="shared" ref="BA482" si="524">SUMIF($B$2:$B$571,$B482,$O$2:$O$571)</f>
        <v>27539</v>
      </c>
      <c r="BB482" s="48">
        <f t="shared" si="497"/>
        <v>0.16633748286130187</v>
      </c>
    </row>
    <row r="483" spans="2:54" x14ac:dyDescent="0.2">
      <c r="B483" s="3">
        <v>2016</v>
      </c>
      <c r="C483" t="s">
        <v>41</v>
      </c>
      <c r="D483" t="s">
        <v>42</v>
      </c>
      <c r="E483">
        <v>5</v>
      </c>
      <c r="F483" t="s">
        <v>38</v>
      </c>
      <c r="G483" t="s">
        <v>38</v>
      </c>
      <c r="H483" t="s">
        <v>38</v>
      </c>
      <c r="I483" t="s">
        <v>38</v>
      </c>
      <c r="J483">
        <v>68</v>
      </c>
      <c r="K483">
        <v>93</v>
      </c>
      <c r="L483">
        <v>649</v>
      </c>
      <c r="M483" s="38">
        <v>5514</v>
      </c>
      <c r="N483" s="38">
        <v>1404</v>
      </c>
      <c r="O483" s="38">
        <f t="shared" si="484"/>
        <v>960</v>
      </c>
      <c r="P483" s="38">
        <v>295</v>
      </c>
      <c r="Q483" s="38">
        <v>27</v>
      </c>
      <c r="R483" s="38">
        <v>122</v>
      </c>
      <c r="S483" s="38">
        <v>502</v>
      </c>
      <c r="T483" s="38">
        <v>59</v>
      </c>
      <c r="U483" s="38">
        <f t="shared" si="485"/>
        <v>3549</v>
      </c>
      <c r="V483">
        <v>1240</v>
      </c>
      <c r="W483">
        <v>75</v>
      </c>
      <c r="X483">
        <v>34</v>
      </c>
      <c r="Y483">
        <v>52</v>
      </c>
      <c r="Z483">
        <v>779</v>
      </c>
      <c r="AA483">
        <v>725</v>
      </c>
      <c r="AB483">
        <v>4.51</v>
      </c>
      <c r="AC483">
        <v>1</v>
      </c>
      <c r="AD483">
        <v>9</v>
      </c>
      <c r="AE483">
        <v>39</v>
      </c>
      <c r="AF483" s="45">
        <f t="shared" ca="1" si="472"/>
        <v>6234</v>
      </c>
      <c r="AG483" s="45">
        <f t="shared" ca="1" si="486"/>
        <v>1438</v>
      </c>
      <c r="AH483" s="45">
        <f t="shared" ca="1" si="487"/>
        <v>826</v>
      </c>
      <c r="AI483" s="45">
        <f t="shared" ca="1" si="488"/>
        <v>331</v>
      </c>
      <c r="AJ483" s="45">
        <f t="shared" ca="1" si="489"/>
        <v>47</v>
      </c>
      <c r="AK483" s="45">
        <f t="shared" ca="1" si="490"/>
        <v>234</v>
      </c>
      <c r="AL483" s="45">
        <f t="shared" ca="1" si="491"/>
        <v>436</v>
      </c>
      <c r="AM483" s="45">
        <f t="shared" ca="1" si="492"/>
        <v>41</v>
      </c>
      <c r="AN483" s="45">
        <f t="shared" ca="1" si="493"/>
        <v>4319</v>
      </c>
      <c r="AO483">
        <v>4343</v>
      </c>
      <c r="AP483">
        <v>1414</v>
      </c>
      <c r="AQ483">
        <v>177</v>
      </c>
      <c r="AR483">
        <v>547</v>
      </c>
      <c r="AS483">
        <v>1227</v>
      </c>
      <c r="AT483">
        <v>101</v>
      </c>
      <c r="AU483">
        <v>134</v>
      </c>
      <c r="AV483">
        <v>0.98299999999999998</v>
      </c>
      <c r="AW483" s="1"/>
      <c r="AX483" s="1"/>
      <c r="AY483" s="47">
        <f t="shared" si="494"/>
        <v>29700</v>
      </c>
      <c r="AZ483" s="49">
        <f t="shared" si="495"/>
        <v>165561</v>
      </c>
      <c r="BA483" s="49">
        <f t="shared" ref="BA483" si="525">SUMIF($B$2:$B$571,$B483,$P$2:$P$571)</f>
        <v>8254</v>
      </c>
      <c r="BB483" s="48">
        <f t="shared" si="497"/>
        <v>4.9854736320751866E-2</v>
      </c>
    </row>
    <row r="484" spans="2:54" x14ac:dyDescent="0.2">
      <c r="B484" s="3">
        <v>2016</v>
      </c>
      <c r="C484" t="s">
        <v>44</v>
      </c>
      <c r="D484" t="s">
        <v>45</v>
      </c>
      <c r="E484">
        <v>2</v>
      </c>
      <c r="F484" t="s">
        <v>38</v>
      </c>
      <c r="G484" t="s">
        <v>43</v>
      </c>
      <c r="H484" t="s">
        <v>38</v>
      </c>
      <c r="I484" t="s">
        <v>38</v>
      </c>
      <c r="J484">
        <v>89</v>
      </c>
      <c r="K484">
        <v>73</v>
      </c>
      <c r="L484">
        <v>744</v>
      </c>
      <c r="M484" s="38">
        <v>5524</v>
      </c>
      <c r="N484" s="38">
        <v>1413</v>
      </c>
      <c r="O484" s="38">
        <f t="shared" si="484"/>
        <v>889</v>
      </c>
      <c r="P484" s="38">
        <v>265</v>
      </c>
      <c r="Q484" s="38">
        <v>6</v>
      </c>
      <c r="R484" s="38">
        <v>253</v>
      </c>
      <c r="S484" s="38">
        <v>468</v>
      </c>
      <c r="T484" s="38">
        <v>44</v>
      </c>
      <c r="U484" s="38">
        <f t="shared" si="485"/>
        <v>3599</v>
      </c>
      <c r="V484">
        <v>1324</v>
      </c>
      <c r="W484">
        <v>19</v>
      </c>
      <c r="X484">
        <v>13</v>
      </c>
      <c r="Y484">
        <v>36</v>
      </c>
      <c r="Z484">
        <v>715</v>
      </c>
      <c r="AA484">
        <v>671</v>
      </c>
      <c r="AB484">
        <v>4.22</v>
      </c>
      <c r="AC484">
        <v>1</v>
      </c>
      <c r="AD484">
        <v>9</v>
      </c>
      <c r="AE484">
        <v>54</v>
      </c>
      <c r="AF484" s="45">
        <f t="shared" ca="1" si="472"/>
        <v>6250</v>
      </c>
      <c r="AG484" s="45">
        <f t="shared" ca="1" si="486"/>
        <v>1560</v>
      </c>
      <c r="AH484" s="45">
        <f t="shared" ca="1" si="487"/>
        <v>982</v>
      </c>
      <c r="AI484" s="45">
        <f t="shared" ca="1" si="488"/>
        <v>379</v>
      </c>
      <c r="AJ484" s="45">
        <f t="shared" ca="1" si="489"/>
        <v>30</v>
      </c>
      <c r="AK484" s="45">
        <f t="shared" ca="1" si="490"/>
        <v>169</v>
      </c>
      <c r="AL484" s="45">
        <f t="shared" ca="1" si="491"/>
        <v>667</v>
      </c>
      <c r="AM484" s="45">
        <f t="shared" ca="1" si="492"/>
        <v>40</v>
      </c>
      <c r="AN484" s="45">
        <f t="shared" ca="1" si="493"/>
        <v>3983</v>
      </c>
      <c r="AO484">
        <v>4296</v>
      </c>
      <c r="AP484">
        <v>1408</v>
      </c>
      <c r="AQ484">
        <v>183</v>
      </c>
      <c r="AR484">
        <v>545</v>
      </c>
      <c r="AS484">
        <v>1248</v>
      </c>
      <c r="AT484">
        <v>80</v>
      </c>
      <c r="AU484">
        <v>165</v>
      </c>
      <c r="AV484">
        <v>0.98699999999999999</v>
      </c>
      <c r="AW484" s="1"/>
      <c r="AX484" s="1"/>
      <c r="AY484" s="47">
        <f t="shared" si="494"/>
        <v>29700</v>
      </c>
      <c r="AZ484" s="49">
        <f t="shared" si="495"/>
        <v>165561</v>
      </c>
      <c r="BA484" s="49">
        <f t="shared" ref="BA484" si="526">SUMIF($B$2:$B$571,$B484,$Q$2:$Q$571)</f>
        <v>873</v>
      </c>
      <c r="BB484" s="48">
        <f t="shared" si="497"/>
        <v>5.2729809556598473E-3</v>
      </c>
    </row>
    <row r="485" spans="2:54" x14ac:dyDescent="0.2">
      <c r="B485" s="3">
        <v>2016</v>
      </c>
      <c r="C485" t="s">
        <v>46</v>
      </c>
      <c r="D485" t="s">
        <v>47</v>
      </c>
      <c r="E485">
        <v>1</v>
      </c>
      <c r="F485" t="s">
        <v>43</v>
      </c>
      <c r="G485" t="s">
        <v>38</v>
      </c>
      <c r="H485" t="s">
        <v>38</v>
      </c>
      <c r="I485" t="s">
        <v>38</v>
      </c>
      <c r="J485">
        <v>93</v>
      </c>
      <c r="K485">
        <v>69</v>
      </c>
      <c r="L485">
        <v>878</v>
      </c>
      <c r="M485" s="38">
        <v>5670</v>
      </c>
      <c r="N485" s="38">
        <v>1598</v>
      </c>
      <c r="O485" s="38">
        <f t="shared" si="484"/>
        <v>1022</v>
      </c>
      <c r="P485" s="38">
        <v>343</v>
      </c>
      <c r="Q485" s="38">
        <v>25</v>
      </c>
      <c r="R485" s="38">
        <v>208</v>
      </c>
      <c r="S485" s="38">
        <v>558</v>
      </c>
      <c r="T485" s="38">
        <v>43</v>
      </c>
      <c r="U485" s="38">
        <f t="shared" si="485"/>
        <v>3471</v>
      </c>
      <c r="V485">
        <v>1160</v>
      </c>
      <c r="W485">
        <v>83</v>
      </c>
      <c r="X485">
        <v>24</v>
      </c>
      <c r="Y485">
        <v>40</v>
      </c>
      <c r="Z485">
        <v>694</v>
      </c>
      <c r="AA485">
        <v>640</v>
      </c>
      <c r="AB485">
        <v>4</v>
      </c>
      <c r="AC485">
        <v>9</v>
      </c>
      <c r="AD485">
        <v>5</v>
      </c>
      <c r="AE485">
        <v>43</v>
      </c>
      <c r="AF485" s="45">
        <f t="shared" ca="1" si="472"/>
        <v>6129</v>
      </c>
      <c r="AG485" s="45">
        <f t="shared" ca="1" si="486"/>
        <v>1624</v>
      </c>
      <c r="AH485" s="45">
        <f t="shared" ca="1" si="487"/>
        <v>1143</v>
      </c>
      <c r="AI485" s="45">
        <f t="shared" ca="1" si="488"/>
        <v>293</v>
      </c>
      <c r="AJ485" s="45">
        <f t="shared" ca="1" si="489"/>
        <v>47</v>
      </c>
      <c r="AK485" s="45">
        <f t="shared" ca="1" si="490"/>
        <v>141</v>
      </c>
      <c r="AL485" s="45">
        <f t="shared" ca="1" si="491"/>
        <v>630</v>
      </c>
      <c r="AM485" s="45">
        <f t="shared" ca="1" si="492"/>
        <v>80</v>
      </c>
      <c r="AN485" s="45">
        <f t="shared" ca="1" si="493"/>
        <v>3795</v>
      </c>
      <c r="AO485">
        <v>4319</v>
      </c>
      <c r="AP485">
        <v>1342</v>
      </c>
      <c r="AQ485">
        <v>176</v>
      </c>
      <c r="AR485">
        <v>490</v>
      </c>
      <c r="AS485">
        <v>1362</v>
      </c>
      <c r="AT485">
        <v>75</v>
      </c>
      <c r="AU485">
        <v>139</v>
      </c>
      <c r="AV485">
        <v>0.98699999999999999</v>
      </c>
      <c r="AW485" s="1"/>
      <c r="AX485" s="1"/>
      <c r="AY485" s="47">
        <f t="shared" si="494"/>
        <v>29700</v>
      </c>
      <c r="AZ485" s="49">
        <f t="shared" si="495"/>
        <v>165561</v>
      </c>
      <c r="BA485" s="49">
        <f t="shared" ref="BA485" si="527">SUMIF($B$2:$B$571,$B485,$R$2:$R$571)</f>
        <v>5610</v>
      </c>
      <c r="BB485" s="48">
        <f t="shared" si="497"/>
        <v>3.3884791708192148E-2</v>
      </c>
    </row>
    <row r="486" spans="2:54" x14ac:dyDescent="0.2">
      <c r="B486" s="3">
        <v>2016</v>
      </c>
      <c r="C486" t="s">
        <v>48</v>
      </c>
      <c r="D486" t="s">
        <v>49</v>
      </c>
      <c r="E486">
        <v>4</v>
      </c>
      <c r="F486" t="s">
        <v>38</v>
      </c>
      <c r="G486" t="s">
        <v>38</v>
      </c>
      <c r="H486" t="s">
        <v>38</v>
      </c>
      <c r="I486" t="s">
        <v>38</v>
      </c>
      <c r="J486">
        <v>78</v>
      </c>
      <c r="K486">
        <v>84</v>
      </c>
      <c r="L486">
        <v>686</v>
      </c>
      <c r="M486" s="38">
        <v>5550</v>
      </c>
      <c r="N486" s="38">
        <v>1428</v>
      </c>
      <c r="O486" s="38">
        <f t="shared" si="484"/>
        <v>950</v>
      </c>
      <c r="P486" s="38">
        <v>277</v>
      </c>
      <c r="Q486" s="38">
        <v>33</v>
      </c>
      <c r="R486" s="38">
        <v>168</v>
      </c>
      <c r="S486" s="38">
        <v>455</v>
      </c>
      <c r="T486" s="38">
        <v>53</v>
      </c>
      <c r="U486" s="38">
        <f t="shared" si="485"/>
        <v>3614</v>
      </c>
      <c r="V486">
        <v>1285</v>
      </c>
      <c r="W486">
        <v>77</v>
      </c>
      <c r="X486">
        <v>36</v>
      </c>
      <c r="Y486">
        <v>44</v>
      </c>
      <c r="Z486">
        <v>715</v>
      </c>
      <c r="AA486">
        <v>659</v>
      </c>
      <c r="AB486">
        <v>4.0999999999999996</v>
      </c>
      <c r="AC486">
        <v>7</v>
      </c>
      <c r="AD486">
        <v>10</v>
      </c>
      <c r="AE486">
        <v>43</v>
      </c>
      <c r="AF486" s="45">
        <f t="shared" ca="1" si="472"/>
        <v>6209</v>
      </c>
      <c r="AG486" s="45">
        <f t="shared" ca="1" si="486"/>
        <v>1530</v>
      </c>
      <c r="AH486" s="45">
        <f t="shared" ca="1" si="487"/>
        <v>1034</v>
      </c>
      <c r="AI486" s="45">
        <f t="shared" ca="1" si="488"/>
        <v>301</v>
      </c>
      <c r="AJ486" s="45">
        <f t="shared" ca="1" si="489"/>
        <v>39</v>
      </c>
      <c r="AK486" s="45">
        <f t="shared" ca="1" si="490"/>
        <v>156</v>
      </c>
      <c r="AL486" s="45">
        <f t="shared" ca="1" si="491"/>
        <v>415</v>
      </c>
      <c r="AM486" s="45">
        <f t="shared" ca="1" si="492"/>
        <v>45</v>
      </c>
      <c r="AN486" s="45">
        <f t="shared" ca="1" si="493"/>
        <v>4219</v>
      </c>
      <c r="AO486">
        <v>4340</v>
      </c>
      <c r="AP486">
        <v>1422</v>
      </c>
      <c r="AQ486">
        <v>185</v>
      </c>
      <c r="AR486">
        <v>521</v>
      </c>
      <c r="AS486">
        <v>1270</v>
      </c>
      <c r="AT486">
        <v>95</v>
      </c>
      <c r="AU486">
        <v>148</v>
      </c>
      <c r="AV486">
        <v>0.98399999999999999</v>
      </c>
      <c r="AW486" s="1"/>
      <c r="AX486" s="1"/>
      <c r="AY486" s="47">
        <f t="shared" si="494"/>
        <v>29700</v>
      </c>
      <c r="AZ486" s="49">
        <f t="shared" si="495"/>
        <v>165561</v>
      </c>
      <c r="BA486" s="49">
        <f t="shared" ref="BA486" si="528">SUMIF($B$2:$B$571,$B486,$S$2:$S$571)</f>
        <v>15088</v>
      </c>
      <c r="BB486" s="48">
        <f t="shared" si="497"/>
        <v>9.1132573492549579E-2</v>
      </c>
    </row>
    <row r="487" spans="2:54" x14ac:dyDescent="0.2">
      <c r="B487" s="3">
        <v>2016</v>
      </c>
      <c r="C487" t="s">
        <v>50</v>
      </c>
      <c r="D487" t="s">
        <v>51</v>
      </c>
      <c r="E487">
        <v>1</v>
      </c>
      <c r="F487" t="s">
        <v>43</v>
      </c>
      <c r="G487" t="s">
        <v>38</v>
      </c>
      <c r="H487" t="s">
        <v>43</v>
      </c>
      <c r="I487" t="s">
        <v>43</v>
      </c>
      <c r="J487">
        <v>103</v>
      </c>
      <c r="K487">
        <v>58</v>
      </c>
      <c r="L487">
        <v>808</v>
      </c>
      <c r="M487" s="38">
        <v>5503</v>
      </c>
      <c r="N487" s="38">
        <v>1409</v>
      </c>
      <c r="O487" s="38">
        <f t="shared" si="484"/>
        <v>887</v>
      </c>
      <c r="P487" s="38">
        <v>293</v>
      </c>
      <c r="Q487" s="38">
        <v>30</v>
      </c>
      <c r="R487" s="38">
        <v>199</v>
      </c>
      <c r="S487" s="38">
        <v>656</v>
      </c>
      <c r="T487" s="38">
        <v>96</v>
      </c>
      <c r="U487" s="38">
        <f t="shared" si="485"/>
        <v>3342</v>
      </c>
      <c r="V487">
        <v>1339</v>
      </c>
      <c r="W487">
        <v>66</v>
      </c>
      <c r="X487">
        <v>34</v>
      </c>
      <c r="Y487">
        <v>37</v>
      </c>
      <c r="Z487">
        <v>556</v>
      </c>
      <c r="AA487">
        <v>511</v>
      </c>
      <c r="AB487">
        <v>3.15</v>
      </c>
      <c r="AC487">
        <v>5</v>
      </c>
      <c r="AD487">
        <v>15</v>
      </c>
      <c r="AE487">
        <v>38</v>
      </c>
      <c r="AF487" s="45">
        <f t="shared" ca="1" si="472"/>
        <v>6193</v>
      </c>
      <c r="AG487" s="45">
        <f t="shared" ca="1" si="486"/>
        <v>1515</v>
      </c>
      <c r="AH487" s="45">
        <f t="shared" ca="1" si="487"/>
        <v>973</v>
      </c>
      <c r="AI487" s="45">
        <f t="shared" ca="1" si="488"/>
        <v>327</v>
      </c>
      <c r="AJ487" s="45">
        <f t="shared" ca="1" si="489"/>
        <v>21</v>
      </c>
      <c r="AK487" s="45">
        <f t="shared" ca="1" si="490"/>
        <v>194</v>
      </c>
      <c r="AL487" s="45">
        <f t="shared" ca="1" si="491"/>
        <v>541</v>
      </c>
      <c r="AM487" s="45">
        <f t="shared" ca="1" si="492"/>
        <v>77</v>
      </c>
      <c r="AN487" s="45">
        <f t="shared" ca="1" si="493"/>
        <v>4060</v>
      </c>
      <c r="AO487">
        <v>4379</v>
      </c>
      <c r="AP487">
        <v>1125</v>
      </c>
      <c r="AQ487">
        <v>163</v>
      </c>
      <c r="AR487">
        <v>495</v>
      </c>
      <c r="AS487">
        <v>1441</v>
      </c>
      <c r="AT487">
        <v>101</v>
      </c>
      <c r="AU487">
        <v>116</v>
      </c>
      <c r="AV487">
        <v>0.98299999999999998</v>
      </c>
      <c r="AW487" s="1"/>
      <c r="AX487" s="1"/>
      <c r="AY487" s="47">
        <f t="shared" si="494"/>
        <v>29700</v>
      </c>
      <c r="AZ487" s="49">
        <f t="shared" si="495"/>
        <v>165561</v>
      </c>
      <c r="BA487" s="49">
        <f t="shared" ref="BA487" si="529">SUMIF($B$2:$B$571,$B487,$T$2:$T$571)</f>
        <v>1651</v>
      </c>
      <c r="BB487" s="48">
        <f t="shared" si="497"/>
        <v>9.9721552781150153E-3</v>
      </c>
    </row>
    <row r="488" spans="2:54" x14ac:dyDescent="0.2">
      <c r="B488" s="3">
        <v>2016</v>
      </c>
      <c r="C488" t="s">
        <v>52</v>
      </c>
      <c r="D488" t="s">
        <v>53</v>
      </c>
      <c r="E488">
        <v>5</v>
      </c>
      <c r="F488" t="s">
        <v>38</v>
      </c>
      <c r="G488" t="s">
        <v>38</v>
      </c>
      <c r="H488" t="s">
        <v>38</v>
      </c>
      <c r="I488" t="s">
        <v>38</v>
      </c>
      <c r="J488">
        <v>68</v>
      </c>
      <c r="K488">
        <v>94</v>
      </c>
      <c r="L488">
        <v>716</v>
      </c>
      <c r="M488" s="38">
        <v>5487</v>
      </c>
      <c r="N488" s="38">
        <v>1403</v>
      </c>
      <c r="O488" s="38">
        <f t="shared" si="484"/>
        <v>929</v>
      </c>
      <c r="P488" s="38">
        <v>277</v>
      </c>
      <c r="Q488" s="38">
        <v>33</v>
      </c>
      <c r="R488" s="38">
        <v>164</v>
      </c>
      <c r="S488" s="38">
        <v>452</v>
      </c>
      <c r="T488" s="38">
        <v>52</v>
      </c>
      <c r="U488" s="38">
        <f t="shared" si="485"/>
        <v>3580</v>
      </c>
      <c r="V488">
        <v>1284</v>
      </c>
      <c r="W488">
        <v>139</v>
      </c>
      <c r="X488">
        <v>51</v>
      </c>
      <c r="Y488">
        <v>44</v>
      </c>
      <c r="Z488">
        <v>854</v>
      </c>
      <c r="AA488">
        <v>786</v>
      </c>
      <c r="AB488">
        <v>4.91</v>
      </c>
      <c r="AC488">
        <v>2</v>
      </c>
      <c r="AD488">
        <v>8</v>
      </c>
      <c r="AE488">
        <v>28</v>
      </c>
      <c r="AF488" s="45">
        <f t="shared" ca="1" si="472"/>
        <v>6467</v>
      </c>
      <c r="AG488" s="45">
        <f t="shared" ca="1" si="486"/>
        <v>1372</v>
      </c>
      <c r="AH488" s="45">
        <f t="shared" ca="1" si="487"/>
        <v>806</v>
      </c>
      <c r="AI488" s="45">
        <f t="shared" ca="1" si="488"/>
        <v>301</v>
      </c>
      <c r="AJ488" s="45">
        <f t="shared" ca="1" si="489"/>
        <v>48</v>
      </c>
      <c r="AK488" s="45">
        <f t="shared" ca="1" si="490"/>
        <v>217</v>
      </c>
      <c r="AL488" s="45">
        <f t="shared" ca="1" si="491"/>
        <v>663</v>
      </c>
      <c r="AM488" s="45">
        <f t="shared" ca="1" si="492"/>
        <v>84</v>
      </c>
      <c r="AN488" s="45">
        <f t="shared" ca="1" si="493"/>
        <v>4348</v>
      </c>
      <c r="AO488">
        <v>4326</v>
      </c>
      <c r="AP488">
        <v>1457</v>
      </c>
      <c r="AQ488">
        <v>258</v>
      </c>
      <c r="AR488">
        <v>636</v>
      </c>
      <c r="AS488">
        <v>1241</v>
      </c>
      <c r="AT488">
        <v>102</v>
      </c>
      <c r="AU488">
        <v>142</v>
      </c>
      <c r="AV488">
        <v>0.98299999999999998</v>
      </c>
      <c r="AW488" s="1"/>
      <c r="AX488" s="1"/>
      <c r="AY488" s="47">
        <f t="shared" si="494"/>
        <v>29700</v>
      </c>
      <c r="AZ488" s="49">
        <f t="shared" si="495"/>
        <v>165561</v>
      </c>
      <c r="BA488" s="49">
        <f t="shared" ref="BA488" si="530">SUMIF($B$2:$B$571,$B488,$U$2:$U$571)</f>
        <v>106546</v>
      </c>
      <c r="BB488" s="48">
        <f t="shared" si="497"/>
        <v>0.64354527938342965</v>
      </c>
    </row>
    <row r="489" spans="2:54" x14ac:dyDescent="0.2">
      <c r="B489" s="3">
        <v>2016</v>
      </c>
      <c r="C489" t="s">
        <v>54</v>
      </c>
      <c r="D489" t="s">
        <v>55</v>
      </c>
      <c r="E489">
        <v>1</v>
      </c>
      <c r="F489" t="s">
        <v>43</v>
      </c>
      <c r="G489" t="s">
        <v>38</v>
      </c>
      <c r="H489" t="s">
        <v>43</v>
      </c>
      <c r="I489" t="s">
        <v>38</v>
      </c>
      <c r="J489">
        <v>94</v>
      </c>
      <c r="K489">
        <v>67</v>
      </c>
      <c r="L489">
        <v>777</v>
      </c>
      <c r="M489" s="38">
        <v>5484</v>
      </c>
      <c r="N489" s="38">
        <v>1435</v>
      </c>
      <c r="O489" s="38">
        <f t="shared" si="484"/>
        <v>913</v>
      </c>
      <c r="P489" s="38">
        <v>308</v>
      </c>
      <c r="Q489" s="38">
        <v>29</v>
      </c>
      <c r="R489" s="38">
        <v>185</v>
      </c>
      <c r="S489" s="38">
        <v>531</v>
      </c>
      <c r="T489" s="38">
        <v>49</v>
      </c>
      <c r="U489" s="38">
        <f t="shared" si="485"/>
        <v>3469</v>
      </c>
      <c r="V489">
        <v>1246</v>
      </c>
      <c r="W489">
        <v>134</v>
      </c>
      <c r="X489">
        <v>31</v>
      </c>
      <c r="Y489">
        <v>60</v>
      </c>
      <c r="Z489">
        <v>676</v>
      </c>
      <c r="AA489">
        <v>617</v>
      </c>
      <c r="AB489">
        <v>3.84</v>
      </c>
      <c r="AC489">
        <v>5</v>
      </c>
      <c r="AD489">
        <v>11</v>
      </c>
      <c r="AE489">
        <v>37</v>
      </c>
      <c r="AF489" s="45">
        <f t="shared" ca="1" si="472"/>
        <v>6318</v>
      </c>
      <c r="AG489" s="45">
        <f t="shared" ca="1" si="486"/>
        <v>1393</v>
      </c>
      <c r="AH489" s="45">
        <f t="shared" ca="1" si="487"/>
        <v>873</v>
      </c>
      <c r="AI489" s="45">
        <f t="shared" ca="1" si="488"/>
        <v>260</v>
      </c>
      <c r="AJ489" s="45">
        <f t="shared" ca="1" si="489"/>
        <v>48</v>
      </c>
      <c r="AK489" s="45">
        <f t="shared" ca="1" si="490"/>
        <v>212</v>
      </c>
      <c r="AL489" s="45">
        <f t="shared" ca="1" si="491"/>
        <v>620</v>
      </c>
      <c r="AM489" s="45">
        <f t="shared" ca="1" si="492"/>
        <v>75</v>
      </c>
      <c r="AN489" s="45">
        <f t="shared" ca="1" si="493"/>
        <v>4230</v>
      </c>
      <c r="AO489">
        <v>4335</v>
      </c>
      <c r="AP489">
        <v>1330</v>
      </c>
      <c r="AQ489">
        <v>186</v>
      </c>
      <c r="AR489">
        <v>461</v>
      </c>
      <c r="AS489">
        <v>1398</v>
      </c>
      <c r="AT489">
        <v>89</v>
      </c>
      <c r="AU489">
        <v>126</v>
      </c>
      <c r="AV489">
        <v>0.98499999999999999</v>
      </c>
      <c r="AW489" s="1"/>
      <c r="AX489" s="1"/>
      <c r="AY489" s="47">
        <f t="shared" si="494"/>
        <v>29700</v>
      </c>
      <c r="AZ489" s="49">
        <f t="shared" si="495"/>
        <v>165561</v>
      </c>
      <c r="BA489" s="49"/>
      <c r="BB489" s="48">
        <f t="shared" si="497"/>
        <v>0</v>
      </c>
    </row>
    <row r="490" spans="2:54" x14ac:dyDescent="0.2">
      <c r="B490" s="3">
        <v>2016</v>
      </c>
      <c r="C490" t="s">
        <v>56</v>
      </c>
      <c r="D490" t="s">
        <v>57</v>
      </c>
      <c r="E490">
        <v>3</v>
      </c>
      <c r="F490" t="s">
        <v>38</v>
      </c>
      <c r="G490" t="s">
        <v>38</v>
      </c>
      <c r="H490" t="s">
        <v>38</v>
      </c>
      <c r="I490" t="s">
        <v>38</v>
      </c>
      <c r="J490">
        <v>75</v>
      </c>
      <c r="K490">
        <v>87</v>
      </c>
      <c r="L490">
        <v>845</v>
      </c>
      <c r="M490" s="38">
        <v>5614</v>
      </c>
      <c r="N490" s="38">
        <v>1544</v>
      </c>
      <c r="O490" s="38">
        <f t="shared" si="484"/>
        <v>975</v>
      </c>
      <c r="P490" s="38">
        <v>318</v>
      </c>
      <c r="Q490" s="38">
        <v>47</v>
      </c>
      <c r="R490" s="38">
        <v>204</v>
      </c>
      <c r="S490" s="38">
        <v>494</v>
      </c>
      <c r="T490" s="38">
        <v>40</v>
      </c>
      <c r="U490" s="38">
        <f t="shared" si="485"/>
        <v>3536</v>
      </c>
      <c r="V490">
        <v>1330</v>
      </c>
      <c r="W490">
        <v>66</v>
      </c>
      <c r="X490">
        <v>39</v>
      </c>
      <c r="Y490">
        <v>34</v>
      </c>
      <c r="Z490">
        <v>860</v>
      </c>
      <c r="AA490">
        <v>779</v>
      </c>
      <c r="AB490">
        <v>4.91</v>
      </c>
      <c r="AC490">
        <v>2</v>
      </c>
      <c r="AD490">
        <v>9</v>
      </c>
      <c r="AE490">
        <v>37</v>
      </c>
      <c r="AF490" s="45">
        <f t="shared" ca="1" si="472"/>
        <v>6336</v>
      </c>
      <c r="AG490" s="45">
        <f t="shared" ca="1" si="486"/>
        <v>1693</v>
      </c>
      <c r="AH490" s="45">
        <f t="shared" ca="1" si="487"/>
        <v>1208</v>
      </c>
      <c r="AI490" s="45">
        <f t="shared" ca="1" si="488"/>
        <v>305</v>
      </c>
      <c r="AJ490" s="45">
        <f t="shared" ca="1" si="489"/>
        <v>23</v>
      </c>
      <c r="AK490" s="45">
        <f t="shared" ca="1" si="490"/>
        <v>157</v>
      </c>
      <c r="AL490" s="45">
        <f t="shared" ca="1" si="491"/>
        <v>532</v>
      </c>
      <c r="AM490" s="45">
        <f t="shared" ca="1" si="492"/>
        <v>81</v>
      </c>
      <c r="AN490" s="45">
        <f t="shared" ca="1" si="493"/>
        <v>4030</v>
      </c>
      <c r="AO490">
        <v>4288</v>
      </c>
      <c r="AP490">
        <v>1532</v>
      </c>
      <c r="AQ490">
        <v>181</v>
      </c>
      <c r="AR490">
        <v>547</v>
      </c>
      <c r="AS490">
        <v>1223</v>
      </c>
      <c r="AT490">
        <v>110</v>
      </c>
      <c r="AU490">
        <v>148</v>
      </c>
      <c r="AV490">
        <v>0.98199999999999998</v>
      </c>
      <c r="AW490" s="1"/>
      <c r="AX490" s="1"/>
      <c r="AY490" s="47">
        <f t="shared" si="494"/>
        <v>29700</v>
      </c>
      <c r="AZ490" s="49">
        <f t="shared" si="495"/>
        <v>165561</v>
      </c>
      <c r="BA490" s="49">
        <f t="shared" ref="BA490" si="531">SUMIF($B$2:$B$571,$B490,$O$2:$O$571)</f>
        <v>27539</v>
      </c>
      <c r="BB490" s="48">
        <f t="shared" si="497"/>
        <v>0.16633748286130187</v>
      </c>
    </row>
    <row r="491" spans="2:54" x14ac:dyDescent="0.2">
      <c r="B491" s="3">
        <v>2016</v>
      </c>
      <c r="C491" t="s">
        <v>58</v>
      </c>
      <c r="D491" t="s">
        <v>59</v>
      </c>
      <c r="E491">
        <v>2</v>
      </c>
      <c r="F491" t="s">
        <v>38</v>
      </c>
      <c r="G491" t="s">
        <v>38</v>
      </c>
      <c r="H491" t="s">
        <v>38</v>
      </c>
      <c r="I491" t="s">
        <v>38</v>
      </c>
      <c r="J491">
        <v>86</v>
      </c>
      <c r="K491">
        <v>75</v>
      </c>
      <c r="L491">
        <v>750</v>
      </c>
      <c r="M491" s="38">
        <v>5526</v>
      </c>
      <c r="N491" s="38">
        <v>1476</v>
      </c>
      <c r="O491" s="38">
        <f t="shared" si="484"/>
        <v>983</v>
      </c>
      <c r="P491" s="38">
        <v>252</v>
      </c>
      <c r="Q491" s="38">
        <v>30</v>
      </c>
      <c r="R491" s="38">
        <v>211</v>
      </c>
      <c r="S491" s="38">
        <v>493</v>
      </c>
      <c r="T491" s="38">
        <v>53</v>
      </c>
      <c r="U491" s="38">
        <f t="shared" si="485"/>
        <v>3504</v>
      </c>
      <c r="V491">
        <v>1303</v>
      </c>
      <c r="W491">
        <v>58</v>
      </c>
      <c r="X491">
        <v>29</v>
      </c>
      <c r="Y491">
        <v>38</v>
      </c>
      <c r="Z491">
        <v>721</v>
      </c>
      <c r="AA491">
        <v>672</v>
      </c>
      <c r="AB491">
        <v>4.24</v>
      </c>
      <c r="AC491">
        <v>3</v>
      </c>
      <c r="AD491">
        <v>8</v>
      </c>
      <c r="AE491">
        <v>47</v>
      </c>
      <c r="AF491" s="45">
        <f t="shared" ca="1" si="472"/>
        <v>6100</v>
      </c>
      <c r="AG491" s="45">
        <f t="shared" ca="1" si="486"/>
        <v>1328</v>
      </c>
      <c r="AH491" s="45">
        <f t="shared" ca="1" si="487"/>
        <v>882</v>
      </c>
      <c r="AI491" s="45">
        <f t="shared" ca="1" si="488"/>
        <v>238</v>
      </c>
      <c r="AJ491" s="45">
        <f t="shared" ca="1" si="489"/>
        <v>29</v>
      </c>
      <c r="AK491" s="45">
        <f t="shared" ca="1" si="490"/>
        <v>179</v>
      </c>
      <c r="AL491" s="45">
        <f t="shared" ca="1" si="491"/>
        <v>425</v>
      </c>
      <c r="AM491" s="45">
        <f t="shared" ca="1" si="492"/>
        <v>63</v>
      </c>
      <c r="AN491" s="45">
        <f t="shared" ca="1" si="493"/>
        <v>4284</v>
      </c>
      <c r="AO491">
        <v>4284</v>
      </c>
      <c r="AP491">
        <v>1417</v>
      </c>
      <c r="AQ491">
        <v>182</v>
      </c>
      <c r="AR491">
        <v>462</v>
      </c>
      <c r="AS491">
        <v>1232</v>
      </c>
      <c r="AT491">
        <v>75</v>
      </c>
      <c r="AU491">
        <v>148</v>
      </c>
      <c r="AV491">
        <v>0.98699999999999999</v>
      </c>
      <c r="AW491" s="1"/>
      <c r="AX491" s="1"/>
      <c r="AY491" s="47">
        <f t="shared" si="494"/>
        <v>29700</v>
      </c>
      <c r="AZ491" s="49">
        <f t="shared" si="495"/>
        <v>165561</v>
      </c>
      <c r="BA491" s="49">
        <f t="shared" ref="BA491" si="532">SUMIF($B$2:$B$571,$B491,$P$2:$P$571)</f>
        <v>8254</v>
      </c>
      <c r="BB491" s="48">
        <f t="shared" si="497"/>
        <v>4.9854736320751866E-2</v>
      </c>
    </row>
    <row r="492" spans="2:54" x14ac:dyDescent="0.2">
      <c r="B492" s="3">
        <v>2016</v>
      </c>
      <c r="C492" t="s">
        <v>62</v>
      </c>
      <c r="D492" t="s">
        <v>63</v>
      </c>
      <c r="E492">
        <v>3</v>
      </c>
      <c r="F492" t="s">
        <v>38</v>
      </c>
      <c r="G492" t="s">
        <v>38</v>
      </c>
      <c r="H492" t="s">
        <v>38</v>
      </c>
      <c r="I492" t="s">
        <v>38</v>
      </c>
      <c r="J492">
        <v>84</v>
      </c>
      <c r="K492">
        <v>78</v>
      </c>
      <c r="L492">
        <v>724</v>
      </c>
      <c r="M492" s="38">
        <v>5545</v>
      </c>
      <c r="N492" s="38">
        <v>1367</v>
      </c>
      <c r="O492" s="38">
        <f t="shared" si="484"/>
        <v>849</v>
      </c>
      <c r="P492" s="38">
        <v>291</v>
      </c>
      <c r="Q492" s="38">
        <v>29</v>
      </c>
      <c r="R492" s="38">
        <v>198</v>
      </c>
      <c r="S492" s="38">
        <v>554</v>
      </c>
      <c r="T492" s="38">
        <v>47</v>
      </c>
      <c r="U492" s="38">
        <f t="shared" si="485"/>
        <v>3577</v>
      </c>
      <c r="V492">
        <v>1452</v>
      </c>
      <c r="W492">
        <v>102</v>
      </c>
      <c r="X492">
        <v>44</v>
      </c>
      <c r="Y492">
        <v>31</v>
      </c>
      <c r="Z492">
        <v>701</v>
      </c>
      <c r="AA492">
        <v>663</v>
      </c>
      <c r="AB492">
        <v>4.0599999999999996</v>
      </c>
      <c r="AC492">
        <v>2</v>
      </c>
      <c r="AD492">
        <v>8</v>
      </c>
      <c r="AE492">
        <v>44</v>
      </c>
      <c r="AF492" s="45">
        <f t="shared" ca="1" si="472"/>
        <v>6084</v>
      </c>
      <c r="AG492" s="45">
        <f t="shared" ca="1" si="486"/>
        <v>1648</v>
      </c>
      <c r="AH492" s="45">
        <f t="shared" ca="1" si="487"/>
        <v>1081</v>
      </c>
      <c r="AI492" s="45">
        <f t="shared" ca="1" si="488"/>
        <v>338</v>
      </c>
      <c r="AJ492" s="45">
        <f t="shared" ca="1" si="489"/>
        <v>28</v>
      </c>
      <c r="AK492" s="45">
        <f t="shared" ca="1" si="490"/>
        <v>201</v>
      </c>
      <c r="AL492" s="45">
        <f t="shared" ca="1" si="491"/>
        <v>501</v>
      </c>
      <c r="AM492" s="45">
        <f t="shared" ca="1" si="492"/>
        <v>88</v>
      </c>
      <c r="AN492" s="45">
        <f t="shared" ca="1" si="493"/>
        <v>3847</v>
      </c>
      <c r="AO492">
        <v>4404</v>
      </c>
      <c r="AP492">
        <v>1441</v>
      </c>
      <c r="AQ492">
        <v>181</v>
      </c>
      <c r="AR492">
        <v>453</v>
      </c>
      <c r="AS492">
        <v>1396</v>
      </c>
      <c r="AT492">
        <v>77</v>
      </c>
      <c r="AU492">
        <v>135</v>
      </c>
      <c r="AV492">
        <v>0.98699999999999999</v>
      </c>
      <c r="AW492" s="1"/>
      <c r="AX492" s="1"/>
      <c r="AY492" s="47">
        <f t="shared" si="494"/>
        <v>29700</v>
      </c>
      <c r="AZ492" s="49">
        <f t="shared" si="495"/>
        <v>165561</v>
      </c>
      <c r="BA492" s="49">
        <f t="shared" ref="BA492" si="533">SUMIF($B$2:$B$571,$B492,$Q$2:$Q$571)</f>
        <v>873</v>
      </c>
      <c r="BB492" s="48">
        <f t="shared" si="497"/>
        <v>5.2729809556598473E-3</v>
      </c>
    </row>
    <row r="493" spans="2:54" x14ac:dyDescent="0.2">
      <c r="B493" s="3">
        <v>2016</v>
      </c>
      <c r="C493" t="s">
        <v>64</v>
      </c>
      <c r="D493" t="s">
        <v>65</v>
      </c>
      <c r="E493">
        <v>3</v>
      </c>
      <c r="F493" t="s">
        <v>38</v>
      </c>
      <c r="G493" t="s">
        <v>38</v>
      </c>
      <c r="H493" t="s">
        <v>38</v>
      </c>
      <c r="I493" t="s">
        <v>38</v>
      </c>
      <c r="J493">
        <v>81</v>
      </c>
      <c r="K493">
        <v>81</v>
      </c>
      <c r="L493">
        <v>675</v>
      </c>
      <c r="M493" s="38">
        <v>5552</v>
      </c>
      <c r="N493" s="38">
        <v>1450</v>
      </c>
      <c r="O493" s="38">
        <f t="shared" si="484"/>
        <v>1006</v>
      </c>
      <c r="P493" s="38">
        <v>264</v>
      </c>
      <c r="Q493" s="38">
        <v>33</v>
      </c>
      <c r="R493" s="38">
        <v>147</v>
      </c>
      <c r="S493" s="38">
        <v>382</v>
      </c>
      <c r="T493" s="38">
        <v>45</v>
      </c>
      <c r="U493" s="38">
        <f t="shared" si="485"/>
        <v>3675</v>
      </c>
      <c r="V493">
        <v>1224</v>
      </c>
      <c r="W493">
        <v>121</v>
      </c>
      <c r="X493">
        <v>35</v>
      </c>
      <c r="Y493">
        <v>34</v>
      </c>
      <c r="Z493">
        <v>712</v>
      </c>
      <c r="AA493">
        <v>674</v>
      </c>
      <c r="AB493">
        <v>4.21</v>
      </c>
      <c r="AC493">
        <v>3</v>
      </c>
      <c r="AD493">
        <v>7</v>
      </c>
      <c r="AE493">
        <v>41</v>
      </c>
      <c r="AF493" s="45">
        <f t="shared" ca="1" si="472"/>
        <v>6059</v>
      </c>
      <c r="AG493" s="45">
        <f t="shared" ca="1" si="486"/>
        <v>1300</v>
      </c>
      <c r="AH493" s="45">
        <f t="shared" ca="1" si="487"/>
        <v>894</v>
      </c>
      <c r="AI493" s="45">
        <f t="shared" ca="1" si="488"/>
        <v>222</v>
      </c>
      <c r="AJ493" s="45">
        <f t="shared" ca="1" si="489"/>
        <v>43</v>
      </c>
      <c r="AK493" s="45">
        <f t="shared" ca="1" si="490"/>
        <v>141</v>
      </c>
      <c r="AL493" s="45">
        <f t="shared" ca="1" si="491"/>
        <v>569</v>
      </c>
      <c r="AM493" s="45">
        <f t="shared" ca="1" si="492"/>
        <v>64</v>
      </c>
      <c r="AN493" s="45">
        <f t="shared" ca="1" si="493"/>
        <v>4126</v>
      </c>
      <c r="AO493">
        <v>4320</v>
      </c>
      <c r="AP493">
        <v>1433</v>
      </c>
      <c r="AQ493">
        <v>206</v>
      </c>
      <c r="AR493">
        <v>517</v>
      </c>
      <c r="AS493">
        <v>1287</v>
      </c>
      <c r="AT493">
        <v>94</v>
      </c>
      <c r="AU493">
        <v>134</v>
      </c>
      <c r="AV493">
        <v>0.98399999999999999</v>
      </c>
      <c r="AW493" s="1"/>
      <c r="AX493" s="1"/>
      <c r="AY493" s="47">
        <f t="shared" si="494"/>
        <v>29700</v>
      </c>
      <c r="AZ493" s="49">
        <f t="shared" si="495"/>
        <v>165561</v>
      </c>
      <c r="BA493" s="49">
        <f t="shared" ref="BA493" si="534">SUMIF($B$2:$B$571,$B493,$R$2:$R$571)</f>
        <v>5610</v>
      </c>
      <c r="BB493" s="48">
        <f t="shared" si="497"/>
        <v>3.3884791708192148E-2</v>
      </c>
    </row>
    <row r="494" spans="2:54" x14ac:dyDescent="0.2">
      <c r="B494" s="3">
        <v>2016</v>
      </c>
      <c r="C494" t="s">
        <v>98</v>
      </c>
      <c r="D494" t="s">
        <v>99</v>
      </c>
      <c r="E494">
        <v>4</v>
      </c>
      <c r="F494" t="s">
        <v>38</v>
      </c>
      <c r="G494" t="s">
        <v>38</v>
      </c>
      <c r="H494" t="s">
        <v>38</v>
      </c>
      <c r="I494" t="s">
        <v>38</v>
      </c>
      <c r="J494">
        <v>74</v>
      </c>
      <c r="K494">
        <v>88</v>
      </c>
      <c r="L494">
        <v>717</v>
      </c>
      <c r="M494" s="38">
        <v>5431</v>
      </c>
      <c r="N494" s="38">
        <v>1410</v>
      </c>
      <c r="O494" s="38">
        <f t="shared" si="484"/>
        <v>955</v>
      </c>
      <c r="P494" s="38">
        <v>279</v>
      </c>
      <c r="Q494" s="38">
        <v>20</v>
      </c>
      <c r="R494" s="38">
        <v>156</v>
      </c>
      <c r="S494" s="38">
        <v>471</v>
      </c>
      <c r="T494" s="38">
        <v>51</v>
      </c>
      <c r="U494" s="38">
        <f t="shared" si="485"/>
        <v>3499</v>
      </c>
      <c r="V494">
        <v>991</v>
      </c>
      <c r="W494">
        <v>73</v>
      </c>
      <c r="X494">
        <v>34</v>
      </c>
      <c r="Y494">
        <v>49</v>
      </c>
      <c r="Z494">
        <v>727</v>
      </c>
      <c r="AA494">
        <v>676</v>
      </c>
      <c r="AB494">
        <v>4.28</v>
      </c>
      <c r="AC494">
        <v>4</v>
      </c>
      <c r="AD494">
        <v>12</v>
      </c>
      <c r="AE494">
        <v>29</v>
      </c>
      <c r="AF494" s="45">
        <f t="shared" ca="1" si="472"/>
        <v>6235</v>
      </c>
      <c r="AG494" s="45">
        <f t="shared" ca="1" si="486"/>
        <v>1657</v>
      </c>
      <c r="AH494" s="45">
        <f t="shared" ca="1" si="487"/>
        <v>1179</v>
      </c>
      <c r="AI494" s="45">
        <f t="shared" ca="1" si="488"/>
        <v>286</v>
      </c>
      <c r="AJ494" s="45">
        <f t="shared" ca="1" si="489"/>
        <v>25</v>
      </c>
      <c r="AK494" s="45">
        <f t="shared" ca="1" si="490"/>
        <v>167</v>
      </c>
      <c r="AL494" s="45">
        <f t="shared" ca="1" si="491"/>
        <v>682</v>
      </c>
      <c r="AM494" s="45">
        <f t="shared" ca="1" si="492"/>
        <v>58</v>
      </c>
      <c r="AN494" s="45">
        <f t="shared" ca="1" si="493"/>
        <v>3838</v>
      </c>
      <c r="AO494">
        <v>4264</v>
      </c>
      <c r="AP494">
        <v>1480</v>
      </c>
      <c r="AQ494">
        <v>208</v>
      </c>
      <c r="AR494">
        <v>498</v>
      </c>
      <c r="AS494">
        <v>1136</v>
      </c>
      <c r="AT494">
        <v>97</v>
      </c>
      <c r="AU494">
        <v>148</v>
      </c>
      <c r="AV494">
        <v>0.98299999999999998</v>
      </c>
      <c r="AW494" s="1"/>
      <c r="AX494" s="1"/>
      <c r="AY494" s="47">
        <f t="shared" si="494"/>
        <v>29700</v>
      </c>
      <c r="AZ494" s="49">
        <f t="shared" si="495"/>
        <v>165561</v>
      </c>
      <c r="BA494" s="49">
        <f t="shared" ref="BA494" si="535">SUMIF($B$2:$B$571,$B494,$S$2:$S$571)</f>
        <v>15088</v>
      </c>
      <c r="BB494" s="48">
        <f t="shared" si="497"/>
        <v>9.1132573492549579E-2</v>
      </c>
    </row>
    <row r="495" spans="2:54" x14ac:dyDescent="0.2">
      <c r="B495" s="3">
        <v>2016</v>
      </c>
      <c r="C495" t="s">
        <v>66</v>
      </c>
      <c r="D495" t="s">
        <v>67</v>
      </c>
      <c r="E495">
        <v>1</v>
      </c>
      <c r="F495" t="s">
        <v>43</v>
      </c>
      <c r="G495" t="s">
        <v>38</v>
      </c>
      <c r="H495" t="s">
        <v>38</v>
      </c>
      <c r="I495" t="s">
        <v>38</v>
      </c>
      <c r="J495">
        <v>91</v>
      </c>
      <c r="K495">
        <v>71</v>
      </c>
      <c r="L495">
        <v>725</v>
      </c>
      <c r="M495" s="38">
        <v>5518</v>
      </c>
      <c r="N495" s="38">
        <v>1376</v>
      </c>
      <c r="O495" s="38">
        <f t="shared" si="484"/>
        <v>894</v>
      </c>
      <c r="P495" s="38">
        <v>272</v>
      </c>
      <c r="Q495" s="38">
        <v>21</v>
      </c>
      <c r="R495" s="38">
        <v>189</v>
      </c>
      <c r="S495" s="38">
        <v>525</v>
      </c>
      <c r="T495" s="38">
        <v>58</v>
      </c>
      <c r="U495" s="38">
        <f t="shared" si="485"/>
        <v>3559</v>
      </c>
      <c r="V495">
        <v>1321</v>
      </c>
      <c r="W495">
        <v>45</v>
      </c>
      <c r="X495">
        <v>26</v>
      </c>
      <c r="Y495">
        <v>32</v>
      </c>
      <c r="Z495">
        <v>638</v>
      </c>
      <c r="AA495">
        <v>598</v>
      </c>
      <c r="AB495">
        <v>3.7</v>
      </c>
      <c r="AC495">
        <v>3</v>
      </c>
      <c r="AD495">
        <v>15</v>
      </c>
      <c r="AE495">
        <v>47</v>
      </c>
      <c r="AF495" s="45">
        <f t="shared" ca="1" si="472"/>
        <v>6180</v>
      </c>
      <c r="AG495" s="45">
        <f t="shared" ca="1" si="486"/>
        <v>1428</v>
      </c>
      <c r="AH495" s="45">
        <f t="shared" ca="1" si="487"/>
        <v>958</v>
      </c>
      <c r="AI495" s="45">
        <f t="shared" ca="1" si="488"/>
        <v>250</v>
      </c>
      <c r="AJ495" s="45">
        <f t="shared" ca="1" si="489"/>
        <v>40</v>
      </c>
      <c r="AK495" s="45">
        <f t="shared" ca="1" si="490"/>
        <v>180</v>
      </c>
      <c r="AL495" s="45">
        <f t="shared" ca="1" si="491"/>
        <v>673</v>
      </c>
      <c r="AM495" s="45">
        <f t="shared" ca="1" si="492"/>
        <v>87</v>
      </c>
      <c r="AN495" s="45">
        <f t="shared" ca="1" si="493"/>
        <v>3992</v>
      </c>
      <c r="AO495">
        <v>4359</v>
      </c>
      <c r="AP495">
        <v>1266</v>
      </c>
      <c r="AQ495">
        <v>165</v>
      </c>
      <c r="AR495">
        <v>464</v>
      </c>
      <c r="AS495">
        <v>1510</v>
      </c>
      <c r="AT495">
        <v>80</v>
      </c>
      <c r="AU495">
        <v>101</v>
      </c>
      <c r="AV495">
        <v>0.98599999999999999</v>
      </c>
      <c r="AW495" s="1"/>
      <c r="AX495" s="1"/>
      <c r="AY495" s="47">
        <f t="shared" si="494"/>
        <v>29700</v>
      </c>
      <c r="AZ495" s="49">
        <f t="shared" si="495"/>
        <v>165561</v>
      </c>
      <c r="BA495" s="49">
        <f t="shared" ref="BA495" si="536">SUMIF($B$2:$B$571,$B495,$T$2:$T$571)</f>
        <v>1651</v>
      </c>
      <c r="BB495" s="48">
        <f t="shared" si="497"/>
        <v>9.9721552781150153E-3</v>
      </c>
    </row>
    <row r="496" spans="2:54" x14ac:dyDescent="0.2">
      <c r="B496" s="3">
        <v>2016</v>
      </c>
      <c r="C496" t="s">
        <v>103</v>
      </c>
      <c r="D496" t="s">
        <v>104</v>
      </c>
      <c r="E496">
        <v>3</v>
      </c>
      <c r="F496" t="s">
        <v>38</v>
      </c>
      <c r="G496" t="s">
        <v>38</v>
      </c>
      <c r="H496" t="s">
        <v>38</v>
      </c>
      <c r="I496" t="s">
        <v>38</v>
      </c>
      <c r="J496">
        <v>79</v>
      </c>
      <c r="K496">
        <v>82</v>
      </c>
      <c r="L496">
        <v>655</v>
      </c>
      <c r="M496" s="38">
        <v>5547</v>
      </c>
      <c r="N496" s="38">
        <v>1460</v>
      </c>
      <c r="O496" s="38">
        <f t="shared" si="484"/>
        <v>1031</v>
      </c>
      <c r="P496" s="38">
        <v>259</v>
      </c>
      <c r="Q496" s="38">
        <v>42</v>
      </c>
      <c r="R496" s="38">
        <v>128</v>
      </c>
      <c r="S496" s="38">
        <v>447</v>
      </c>
      <c r="T496" s="38">
        <v>54</v>
      </c>
      <c r="U496" s="38">
        <f t="shared" si="485"/>
        <v>3586</v>
      </c>
      <c r="V496">
        <v>1213</v>
      </c>
      <c r="W496">
        <v>71</v>
      </c>
      <c r="X496">
        <v>28</v>
      </c>
      <c r="Y496">
        <v>38</v>
      </c>
      <c r="Z496">
        <v>682</v>
      </c>
      <c r="AA496">
        <v>646</v>
      </c>
      <c r="AB496">
        <v>4.05</v>
      </c>
      <c r="AC496">
        <v>0</v>
      </c>
      <c r="AD496">
        <v>12</v>
      </c>
      <c r="AE496">
        <v>55</v>
      </c>
      <c r="AF496" s="45">
        <f t="shared" ca="1" si="472"/>
        <v>6088</v>
      </c>
      <c r="AG496" s="45">
        <f t="shared" ca="1" si="486"/>
        <v>1545</v>
      </c>
      <c r="AH496" s="45">
        <f t="shared" ca="1" si="487"/>
        <v>939</v>
      </c>
      <c r="AI496" s="45">
        <f t="shared" ca="1" si="488"/>
        <v>346</v>
      </c>
      <c r="AJ496" s="45">
        <f t="shared" ca="1" si="489"/>
        <v>36</v>
      </c>
      <c r="AK496" s="45">
        <f t="shared" ca="1" si="490"/>
        <v>224</v>
      </c>
      <c r="AL496" s="45">
        <f t="shared" ca="1" si="491"/>
        <v>700</v>
      </c>
      <c r="AM496" s="45">
        <f t="shared" ca="1" si="492"/>
        <v>58</v>
      </c>
      <c r="AN496" s="45">
        <f t="shared" ca="1" si="493"/>
        <v>3785</v>
      </c>
      <c r="AO496">
        <v>4305</v>
      </c>
      <c r="AP496">
        <v>1358</v>
      </c>
      <c r="AQ496">
        <v>152</v>
      </c>
      <c r="AR496">
        <v>595</v>
      </c>
      <c r="AS496">
        <v>1379</v>
      </c>
      <c r="AT496">
        <v>86</v>
      </c>
      <c r="AU496">
        <v>137</v>
      </c>
      <c r="AV496">
        <v>0.98499999999999999</v>
      </c>
      <c r="AW496" s="1"/>
      <c r="AX496" s="1"/>
      <c r="AY496" s="47">
        <f t="shared" si="494"/>
        <v>29700</v>
      </c>
      <c r="AZ496" s="49">
        <f t="shared" si="495"/>
        <v>165561</v>
      </c>
      <c r="BA496" s="49">
        <f t="shared" ref="BA496" si="537">SUMIF($B$2:$B$571,$B496,$U$2:$U$571)</f>
        <v>106546</v>
      </c>
      <c r="BB496" s="48">
        <f t="shared" si="497"/>
        <v>0.64354527938342965</v>
      </c>
    </row>
    <row r="497" spans="2:54" x14ac:dyDescent="0.2">
      <c r="B497" s="3">
        <v>2016</v>
      </c>
      <c r="C497" t="s">
        <v>68</v>
      </c>
      <c r="D497" t="s">
        <v>69</v>
      </c>
      <c r="E497">
        <v>4</v>
      </c>
      <c r="F497" t="s">
        <v>38</v>
      </c>
      <c r="G497" t="s">
        <v>38</v>
      </c>
      <c r="H497" t="s">
        <v>38</v>
      </c>
      <c r="I497" t="s">
        <v>38</v>
      </c>
      <c r="J497">
        <v>73</v>
      </c>
      <c r="K497">
        <v>89</v>
      </c>
      <c r="L497">
        <v>671</v>
      </c>
      <c r="M497" s="38">
        <v>5330</v>
      </c>
      <c r="N497" s="38">
        <v>1299</v>
      </c>
      <c r="O497" s="38">
        <f t="shared" si="484"/>
        <v>837</v>
      </c>
      <c r="P497" s="38">
        <v>249</v>
      </c>
      <c r="Q497" s="38">
        <v>19</v>
      </c>
      <c r="R497" s="38">
        <v>194</v>
      </c>
      <c r="S497" s="38">
        <v>599</v>
      </c>
      <c r="T497" s="38">
        <v>37</v>
      </c>
      <c r="U497" s="38">
        <f t="shared" si="485"/>
        <v>3395</v>
      </c>
      <c r="V497">
        <v>1543</v>
      </c>
      <c r="W497">
        <v>181</v>
      </c>
      <c r="X497">
        <v>56</v>
      </c>
      <c r="Y497">
        <v>39</v>
      </c>
      <c r="Z497">
        <v>733</v>
      </c>
      <c r="AA497">
        <v>650</v>
      </c>
      <c r="AB497">
        <v>4.08</v>
      </c>
      <c r="AC497">
        <v>0</v>
      </c>
      <c r="AD497">
        <v>7</v>
      </c>
      <c r="AE497">
        <v>46</v>
      </c>
      <c r="AF497" s="45">
        <f t="shared" ca="1" si="472"/>
        <v>6452</v>
      </c>
      <c r="AG497" s="45">
        <f t="shared" ca="1" si="486"/>
        <v>1451</v>
      </c>
      <c r="AH497" s="45">
        <f t="shared" ca="1" si="487"/>
        <v>986</v>
      </c>
      <c r="AI497" s="45">
        <f t="shared" ca="1" si="488"/>
        <v>293</v>
      </c>
      <c r="AJ497" s="45">
        <f t="shared" ca="1" si="489"/>
        <v>22</v>
      </c>
      <c r="AK497" s="45">
        <f t="shared" ca="1" si="490"/>
        <v>150</v>
      </c>
      <c r="AL497" s="45">
        <f t="shared" ca="1" si="491"/>
        <v>494</v>
      </c>
      <c r="AM497" s="45">
        <f t="shared" ca="1" si="492"/>
        <v>77</v>
      </c>
      <c r="AN497" s="45">
        <f t="shared" ca="1" si="493"/>
        <v>4430</v>
      </c>
      <c r="AO497">
        <v>4303</v>
      </c>
      <c r="AP497">
        <v>1450</v>
      </c>
      <c r="AQ497">
        <v>178</v>
      </c>
      <c r="AR497">
        <v>532</v>
      </c>
      <c r="AS497">
        <v>1175</v>
      </c>
      <c r="AT497">
        <v>136</v>
      </c>
      <c r="AU497">
        <v>145</v>
      </c>
      <c r="AV497">
        <v>0.97799999999999998</v>
      </c>
      <c r="AW497" s="1"/>
      <c r="AX497" s="1"/>
      <c r="AY497" s="47">
        <f t="shared" si="494"/>
        <v>29700</v>
      </c>
      <c r="AZ497" s="49">
        <f t="shared" si="495"/>
        <v>165561</v>
      </c>
      <c r="BA497" s="49"/>
      <c r="BB497" s="48">
        <f t="shared" si="497"/>
        <v>0</v>
      </c>
    </row>
    <row r="498" spans="2:54" x14ac:dyDescent="0.2">
      <c r="B498" s="3">
        <v>2016</v>
      </c>
      <c r="C498" t="s">
        <v>70</v>
      </c>
      <c r="D498" t="s">
        <v>71</v>
      </c>
      <c r="E498">
        <v>5</v>
      </c>
      <c r="F498" t="s">
        <v>38</v>
      </c>
      <c r="G498" t="s">
        <v>38</v>
      </c>
      <c r="H498" t="s">
        <v>38</v>
      </c>
      <c r="I498" t="s">
        <v>38</v>
      </c>
      <c r="J498">
        <v>59</v>
      </c>
      <c r="K498">
        <v>103</v>
      </c>
      <c r="L498">
        <v>722</v>
      </c>
      <c r="M498" s="38">
        <v>5618</v>
      </c>
      <c r="N498" s="38">
        <v>1409</v>
      </c>
      <c r="O498" s="38">
        <f t="shared" si="484"/>
        <v>886</v>
      </c>
      <c r="P498" s="38">
        <v>288</v>
      </c>
      <c r="Q498" s="38">
        <v>35</v>
      </c>
      <c r="R498" s="38">
        <v>200</v>
      </c>
      <c r="S498" s="38">
        <v>513</v>
      </c>
      <c r="T498" s="38">
        <v>44</v>
      </c>
      <c r="U498" s="38">
        <f t="shared" si="485"/>
        <v>3652</v>
      </c>
      <c r="V498">
        <v>1426</v>
      </c>
      <c r="W498">
        <v>91</v>
      </c>
      <c r="X498">
        <v>32</v>
      </c>
      <c r="Y498">
        <v>43</v>
      </c>
      <c r="Z498">
        <v>889</v>
      </c>
      <c r="AA498">
        <v>814</v>
      </c>
      <c r="AB498">
        <v>5.08</v>
      </c>
      <c r="AC498">
        <v>4</v>
      </c>
      <c r="AD498">
        <v>3</v>
      </c>
      <c r="AE498">
        <v>26</v>
      </c>
      <c r="AF498" s="45">
        <f t="shared" ca="1" si="472"/>
        <v>6486</v>
      </c>
      <c r="AG498" s="45">
        <f t="shared" ca="1" si="486"/>
        <v>1397</v>
      </c>
      <c r="AH498" s="45">
        <f t="shared" ca="1" si="487"/>
        <v>889</v>
      </c>
      <c r="AI498" s="45">
        <f t="shared" ca="1" si="488"/>
        <v>322</v>
      </c>
      <c r="AJ498" s="45">
        <f t="shared" ca="1" si="489"/>
        <v>44</v>
      </c>
      <c r="AK498" s="45">
        <f t="shared" ca="1" si="490"/>
        <v>142</v>
      </c>
      <c r="AL498" s="45">
        <f t="shared" ca="1" si="491"/>
        <v>522</v>
      </c>
      <c r="AM498" s="45">
        <f t="shared" ca="1" si="492"/>
        <v>58</v>
      </c>
      <c r="AN498" s="45">
        <f t="shared" ca="1" si="493"/>
        <v>4509</v>
      </c>
      <c r="AO498">
        <v>4329</v>
      </c>
      <c r="AP498">
        <v>1617</v>
      </c>
      <c r="AQ498">
        <v>221</v>
      </c>
      <c r="AR498">
        <v>479</v>
      </c>
      <c r="AS498">
        <v>1191</v>
      </c>
      <c r="AT498">
        <v>126</v>
      </c>
      <c r="AU498">
        <v>172</v>
      </c>
      <c r="AV498">
        <v>0.97899999999999998</v>
      </c>
      <c r="AW498" s="1"/>
      <c r="AX498" s="1"/>
      <c r="AY498" s="47">
        <f t="shared" si="494"/>
        <v>29700</v>
      </c>
      <c r="AZ498" s="49">
        <f t="shared" si="495"/>
        <v>165561</v>
      </c>
      <c r="BA498" s="49">
        <f t="shared" ref="BA498" si="538">SUMIF($B$2:$B$571,$B498,$O$2:$O$571)</f>
        <v>27539</v>
      </c>
      <c r="BB498" s="48">
        <f t="shared" si="497"/>
        <v>0.16633748286130187</v>
      </c>
    </row>
    <row r="499" spans="2:54" x14ac:dyDescent="0.2">
      <c r="B499" s="3">
        <v>2016</v>
      </c>
      <c r="C499" t="s">
        <v>74</v>
      </c>
      <c r="D499" t="s">
        <v>75</v>
      </c>
      <c r="E499">
        <v>4</v>
      </c>
      <c r="F499" t="s">
        <v>38</v>
      </c>
      <c r="G499" t="s">
        <v>38</v>
      </c>
      <c r="H499" t="s">
        <v>38</v>
      </c>
      <c r="I499" t="s">
        <v>38</v>
      </c>
      <c r="J499">
        <v>84</v>
      </c>
      <c r="K499">
        <v>78</v>
      </c>
      <c r="L499">
        <v>680</v>
      </c>
      <c r="M499" s="38">
        <v>5458</v>
      </c>
      <c r="N499" s="38">
        <v>1378</v>
      </c>
      <c r="O499" s="38">
        <f t="shared" si="484"/>
        <v>930</v>
      </c>
      <c r="P499" s="38">
        <v>245</v>
      </c>
      <c r="Q499" s="38">
        <v>20</v>
      </c>
      <c r="R499" s="38">
        <v>183</v>
      </c>
      <c r="S499" s="38">
        <v>475</v>
      </c>
      <c r="T499" s="38">
        <v>42</v>
      </c>
      <c r="U499" s="38">
        <f t="shared" si="485"/>
        <v>3563</v>
      </c>
      <c r="V499">
        <v>1188</v>
      </c>
      <c r="W499">
        <v>72</v>
      </c>
      <c r="X499">
        <v>22</v>
      </c>
      <c r="Y499">
        <v>49</v>
      </c>
      <c r="Z499">
        <v>702</v>
      </c>
      <c r="AA499">
        <v>660</v>
      </c>
      <c r="AB499">
        <v>4.16</v>
      </c>
      <c r="AC499">
        <v>0</v>
      </c>
      <c r="AD499">
        <v>10</v>
      </c>
      <c r="AE499">
        <v>48</v>
      </c>
      <c r="AF499" s="45">
        <f t="shared" ca="1" si="472"/>
        <v>6310</v>
      </c>
      <c r="AG499" s="45">
        <f t="shared" ca="1" si="486"/>
        <v>1356</v>
      </c>
      <c r="AH499" s="45">
        <f t="shared" ca="1" si="487"/>
        <v>936</v>
      </c>
      <c r="AI499" s="45">
        <f t="shared" ca="1" si="488"/>
        <v>234</v>
      </c>
      <c r="AJ499" s="45">
        <f t="shared" ca="1" si="489"/>
        <v>26</v>
      </c>
      <c r="AK499" s="45">
        <f t="shared" ca="1" si="490"/>
        <v>160</v>
      </c>
      <c r="AL499" s="45">
        <f t="shared" ca="1" si="491"/>
        <v>606</v>
      </c>
      <c r="AM499" s="45">
        <f t="shared" ca="1" si="492"/>
        <v>49</v>
      </c>
      <c r="AN499" s="45">
        <f t="shared" ca="1" si="493"/>
        <v>4299</v>
      </c>
      <c r="AO499">
        <v>4285</v>
      </c>
      <c r="AP499">
        <v>1358</v>
      </c>
      <c r="AQ499">
        <v>214</v>
      </c>
      <c r="AR499">
        <v>444</v>
      </c>
      <c r="AS499">
        <v>1393</v>
      </c>
      <c r="AT499">
        <v>86</v>
      </c>
      <c r="AU499">
        <v>116</v>
      </c>
      <c r="AV499">
        <v>0.98499999999999999</v>
      </c>
      <c r="AW499" s="1"/>
      <c r="AX499" s="1"/>
      <c r="AY499" s="47">
        <f t="shared" si="494"/>
        <v>29700</v>
      </c>
      <c r="AZ499" s="49">
        <f t="shared" si="495"/>
        <v>165561</v>
      </c>
      <c r="BA499" s="49">
        <f t="shared" ref="BA499" si="539">SUMIF($B$2:$B$571,$B499,$P$2:$P$571)</f>
        <v>8254</v>
      </c>
      <c r="BB499" s="48">
        <f t="shared" si="497"/>
        <v>4.9854736320751866E-2</v>
      </c>
    </row>
    <row r="500" spans="2:54" x14ac:dyDescent="0.2">
      <c r="B500" s="3">
        <v>2016</v>
      </c>
      <c r="C500" t="s">
        <v>76</v>
      </c>
      <c r="D500" t="s">
        <v>77</v>
      </c>
      <c r="E500">
        <v>2</v>
      </c>
      <c r="F500" t="s">
        <v>38</v>
      </c>
      <c r="G500" t="s">
        <v>43</v>
      </c>
      <c r="H500" t="s">
        <v>38</v>
      </c>
      <c r="I500" t="s">
        <v>38</v>
      </c>
      <c r="J500">
        <v>87</v>
      </c>
      <c r="K500">
        <v>75</v>
      </c>
      <c r="L500">
        <v>671</v>
      </c>
      <c r="M500" s="38">
        <v>5459</v>
      </c>
      <c r="N500" s="38">
        <v>1342</v>
      </c>
      <c r="O500" s="38">
        <f t="shared" si="484"/>
        <v>865</v>
      </c>
      <c r="P500" s="38">
        <v>240</v>
      </c>
      <c r="Q500" s="38">
        <v>19</v>
      </c>
      <c r="R500" s="38">
        <v>218</v>
      </c>
      <c r="S500" s="38">
        <v>517</v>
      </c>
      <c r="T500" s="38">
        <v>62</v>
      </c>
      <c r="U500" s="38">
        <f t="shared" si="485"/>
        <v>3538</v>
      </c>
      <c r="V500">
        <v>1302</v>
      </c>
      <c r="W500">
        <v>42</v>
      </c>
      <c r="X500">
        <v>18</v>
      </c>
      <c r="Y500">
        <v>41</v>
      </c>
      <c r="Z500">
        <v>617</v>
      </c>
      <c r="AA500">
        <v>574</v>
      </c>
      <c r="AB500">
        <v>3.57</v>
      </c>
      <c r="AC500">
        <v>1</v>
      </c>
      <c r="AD500">
        <v>13</v>
      </c>
      <c r="AE500">
        <v>55</v>
      </c>
      <c r="AF500" s="45">
        <f t="shared" ca="1" si="472"/>
        <v>6283</v>
      </c>
      <c r="AG500" s="45">
        <f t="shared" ca="1" si="486"/>
        <v>1619</v>
      </c>
      <c r="AH500" s="45">
        <f t="shared" ca="1" si="487"/>
        <v>1066</v>
      </c>
      <c r="AI500" s="45">
        <f t="shared" ca="1" si="488"/>
        <v>351</v>
      </c>
      <c r="AJ500" s="45">
        <f t="shared" ca="1" si="489"/>
        <v>29</v>
      </c>
      <c r="AK500" s="45">
        <f t="shared" ca="1" si="490"/>
        <v>173</v>
      </c>
      <c r="AL500" s="45">
        <f t="shared" ca="1" si="491"/>
        <v>406</v>
      </c>
      <c r="AM500" s="45">
        <f t="shared" ca="1" si="492"/>
        <v>75</v>
      </c>
      <c r="AN500" s="45">
        <f t="shared" ca="1" si="493"/>
        <v>4183</v>
      </c>
      <c r="AO500">
        <v>4341</v>
      </c>
      <c r="AP500">
        <v>1397</v>
      </c>
      <c r="AQ500">
        <v>152</v>
      </c>
      <c r="AR500">
        <v>439</v>
      </c>
      <c r="AS500">
        <v>1396</v>
      </c>
      <c r="AT500">
        <v>90</v>
      </c>
      <c r="AU500">
        <v>138</v>
      </c>
      <c r="AV500">
        <v>0.98499999999999999</v>
      </c>
      <c r="AW500" s="1"/>
      <c r="AX500" s="1"/>
      <c r="AY500" s="47">
        <f t="shared" si="494"/>
        <v>29700</v>
      </c>
      <c r="AZ500" s="49">
        <f t="shared" si="495"/>
        <v>165561</v>
      </c>
      <c r="BA500" s="49">
        <f t="shared" ref="BA500" si="540">SUMIF($B$2:$B$571,$B500,$Q$2:$Q$571)</f>
        <v>873</v>
      </c>
      <c r="BB500" s="48">
        <f t="shared" si="497"/>
        <v>5.2729809556598473E-3</v>
      </c>
    </row>
    <row r="501" spans="2:54" x14ac:dyDescent="0.2">
      <c r="B501" s="3">
        <v>2016</v>
      </c>
      <c r="C501" t="s">
        <v>78</v>
      </c>
      <c r="D501" t="s">
        <v>79</v>
      </c>
      <c r="E501">
        <v>5</v>
      </c>
      <c r="F501" t="s">
        <v>38</v>
      </c>
      <c r="G501" t="s">
        <v>38</v>
      </c>
      <c r="H501" t="s">
        <v>38</v>
      </c>
      <c r="I501" t="s">
        <v>38</v>
      </c>
      <c r="J501">
        <v>69</v>
      </c>
      <c r="K501">
        <v>93</v>
      </c>
      <c r="L501">
        <v>653</v>
      </c>
      <c r="M501" s="38">
        <v>5500</v>
      </c>
      <c r="N501" s="38">
        <v>1352</v>
      </c>
      <c r="O501" s="38">
        <f t="shared" si="484"/>
        <v>892</v>
      </c>
      <c r="P501" s="38">
        <v>270</v>
      </c>
      <c r="Q501" s="38">
        <v>21</v>
      </c>
      <c r="R501" s="38">
        <v>169</v>
      </c>
      <c r="S501" s="38">
        <v>442</v>
      </c>
      <c r="T501" s="38">
        <v>33</v>
      </c>
      <c r="U501" s="38">
        <f t="shared" si="485"/>
        <v>3673</v>
      </c>
      <c r="V501">
        <v>1145</v>
      </c>
      <c r="W501">
        <v>50</v>
      </c>
      <c r="X501">
        <v>23</v>
      </c>
      <c r="Y501">
        <v>34</v>
      </c>
      <c r="Z501">
        <v>761</v>
      </c>
      <c r="AA501">
        <v>718</v>
      </c>
      <c r="AB501">
        <v>4.51</v>
      </c>
      <c r="AC501">
        <v>2</v>
      </c>
      <c r="AD501">
        <v>7</v>
      </c>
      <c r="AE501">
        <v>42</v>
      </c>
      <c r="AF501" s="45">
        <f t="shared" ca="1" si="472"/>
        <v>6094</v>
      </c>
      <c r="AG501" s="45">
        <f t="shared" ca="1" si="486"/>
        <v>1547</v>
      </c>
      <c r="AH501" s="45">
        <f t="shared" ca="1" si="487"/>
        <v>993</v>
      </c>
      <c r="AI501" s="45">
        <f t="shared" ca="1" si="488"/>
        <v>302</v>
      </c>
      <c r="AJ501" s="45">
        <f t="shared" ca="1" si="489"/>
        <v>35</v>
      </c>
      <c r="AK501" s="45">
        <f t="shared" ca="1" si="490"/>
        <v>217</v>
      </c>
      <c r="AL501" s="45">
        <f t="shared" ca="1" si="491"/>
        <v>589</v>
      </c>
      <c r="AM501" s="45">
        <f t="shared" ca="1" si="492"/>
        <v>38</v>
      </c>
      <c r="AN501" s="45">
        <f t="shared" ca="1" si="493"/>
        <v>3920</v>
      </c>
      <c r="AO501">
        <v>4300</v>
      </c>
      <c r="AP501">
        <v>1459</v>
      </c>
      <c r="AQ501">
        <v>185</v>
      </c>
      <c r="AR501">
        <v>464</v>
      </c>
      <c r="AS501">
        <v>1188</v>
      </c>
      <c r="AT501">
        <v>97</v>
      </c>
      <c r="AU501">
        <v>152</v>
      </c>
      <c r="AV501">
        <v>0.98399999999999999</v>
      </c>
      <c r="AW501" s="1"/>
      <c r="AX501" s="1"/>
      <c r="AY501" s="47">
        <f t="shared" si="494"/>
        <v>29700</v>
      </c>
      <c r="AZ501" s="49">
        <f t="shared" si="495"/>
        <v>165561</v>
      </c>
      <c r="BA501" s="49">
        <f t="shared" ref="BA501" si="541">SUMIF($B$2:$B$571,$B501,$R$2:$R$571)</f>
        <v>5610</v>
      </c>
      <c r="BB501" s="48">
        <f t="shared" si="497"/>
        <v>3.3884791708192148E-2</v>
      </c>
    </row>
    <row r="502" spans="2:54" x14ac:dyDescent="0.2">
      <c r="B502" s="3">
        <v>2016</v>
      </c>
      <c r="C502" t="s">
        <v>80</v>
      </c>
      <c r="D502" t="s">
        <v>81</v>
      </c>
      <c r="E502">
        <v>4</v>
      </c>
      <c r="F502" t="s">
        <v>38</v>
      </c>
      <c r="G502" t="s">
        <v>38</v>
      </c>
      <c r="H502" t="s">
        <v>38</v>
      </c>
      <c r="I502" t="s">
        <v>38</v>
      </c>
      <c r="J502">
        <v>71</v>
      </c>
      <c r="K502">
        <v>91</v>
      </c>
      <c r="L502">
        <v>610</v>
      </c>
      <c r="M502" s="38">
        <v>5434</v>
      </c>
      <c r="N502" s="38">
        <v>1305</v>
      </c>
      <c r="O502" s="38">
        <f t="shared" si="484"/>
        <v>878</v>
      </c>
      <c r="P502" s="38">
        <v>231</v>
      </c>
      <c r="Q502" s="38">
        <v>35</v>
      </c>
      <c r="R502" s="38">
        <v>161</v>
      </c>
      <c r="S502" s="38">
        <v>424</v>
      </c>
      <c r="T502" s="38">
        <v>58</v>
      </c>
      <c r="U502" s="38">
        <f t="shared" si="485"/>
        <v>3647</v>
      </c>
      <c r="V502">
        <v>1376</v>
      </c>
      <c r="W502">
        <v>96</v>
      </c>
      <c r="X502">
        <v>45</v>
      </c>
      <c r="Y502">
        <v>30</v>
      </c>
      <c r="Z502">
        <v>796</v>
      </c>
      <c r="AA502">
        <v>739</v>
      </c>
      <c r="AB502">
        <v>4.63</v>
      </c>
      <c r="AC502">
        <v>4</v>
      </c>
      <c r="AD502">
        <v>12</v>
      </c>
      <c r="AE502">
        <v>43</v>
      </c>
      <c r="AF502" s="45">
        <f t="shared" ref="AF502:AF565" ca="1" si="542">RANDBETWEEN(6049,6490)</f>
        <v>6171</v>
      </c>
      <c r="AG502" s="45">
        <f t="shared" ca="1" si="486"/>
        <v>1471</v>
      </c>
      <c r="AH502" s="45">
        <f t="shared" ca="1" si="487"/>
        <v>949</v>
      </c>
      <c r="AI502" s="45">
        <f t="shared" ca="1" si="488"/>
        <v>258</v>
      </c>
      <c r="AJ502" s="45">
        <f t="shared" ca="1" si="489"/>
        <v>30</v>
      </c>
      <c r="AK502" s="45">
        <f t="shared" ca="1" si="490"/>
        <v>234</v>
      </c>
      <c r="AL502" s="45">
        <f t="shared" ca="1" si="491"/>
        <v>525</v>
      </c>
      <c r="AM502" s="45">
        <f t="shared" ca="1" si="492"/>
        <v>70</v>
      </c>
      <c r="AN502" s="45">
        <f t="shared" ca="1" si="493"/>
        <v>4105</v>
      </c>
      <c r="AO502">
        <v>4311</v>
      </c>
      <c r="AP502">
        <v>1468</v>
      </c>
      <c r="AQ502">
        <v>213</v>
      </c>
      <c r="AR502">
        <v>466</v>
      </c>
      <c r="AS502">
        <v>1299</v>
      </c>
      <c r="AT502">
        <v>97</v>
      </c>
      <c r="AU502">
        <v>142</v>
      </c>
      <c r="AV502">
        <v>0.98399999999999999</v>
      </c>
      <c r="AW502" s="1"/>
      <c r="AX502" s="1"/>
      <c r="AY502" s="47">
        <f t="shared" si="494"/>
        <v>29700</v>
      </c>
      <c r="AZ502" s="49">
        <f t="shared" si="495"/>
        <v>165561</v>
      </c>
      <c r="BA502" s="49">
        <f t="shared" ref="BA502" si="543">SUMIF($B$2:$B$571,$B502,$S$2:$S$571)</f>
        <v>15088</v>
      </c>
      <c r="BB502" s="48">
        <f t="shared" si="497"/>
        <v>9.1132573492549579E-2</v>
      </c>
    </row>
    <row r="503" spans="2:54" x14ac:dyDescent="0.2">
      <c r="B503" s="3">
        <v>2016</v>
      </c>
      <c r="C503" t="s">
        <v>82</v>
      </c>
      <c r="D503" t="s">
        <v>83</v>
      </c>
      <c r="E503">
        <v>3</v>
      </c>
      <c r="F503" t="s">
        <v>38</v>
      </c>
      <c r="G503" t="s">
        <v>38</v>
      </c>
      <c r="H503" t="s">
        <v>38</v>
      </c>
      <c r="I503" t="s">
        <v>38</v>
      </c>
      <c r="J503">
        <v>78</v>
      </c>
      <c r="K503">
        <v>83</v>
      </c>
      <c r="L503">
        <v>729</v>
      </c>
      <c r="M503" s="38">
        <v>5542</v>
      </c>
      <c r="N503" s="38">
        <v>1426</v>
      </c>
      <c r="O503" s="38">
        <f t="shared" si="484"/>
        <v>964</v>
      </c>
      <c r="P503" s="38">
        <v>277</v>
      </c>
      <c r="Q503" s="38">
        <v>32</v>
      </c>
      <c r="R503" s="38">
        <v>153</v>
      </c>
      <c r="S503" s="38">
        <v>561</v>
      </c>
      <c r="T503" s="38">
        <v>81</v>
      </c>
      <c r="U503" s="38">
        <f t="shared" si="485"/>
        <v>3474</v>
      </c>
      <c r="V503">
        <v>1334</v>
      </c>
      <c r="W503">
        <v>110</v>
      </c>
      <c r="X503">
        <v>45</v>
      </c>
      <c r="Y503">
        <v>36</v>
      </c>
      <c r="Z503">
        <v>758</v>
      </c>
      <c r="AA503">
        <v>679</v>
      </c>
      <c r="AB503">
        <v>4.21</v>
      </c>
      <c r="AC503">
        <v>5</v>
      </c>
      <c r="AD503">
        <v>5</v>
      </c>
      <c r="AE503">
        <v>51</v>
      </c>
      <c r="AF503" s="45">
        <f t="shared" ca="1" si="542"/>
        <v>6090</v>
      </c>
      <c r="AG503" s="45">
        <f t="shared" ca="1" si="486"/>
        <v>1596</v>
      </c>
      <c r="AH503" s="45">
        <f t="shared" ca="1" si="487"/>
        <v>1186</v>
      </c>
      <c r="AI503" s="45">
        <f t="shared" ca="1" si="488"/>
        <v>219</v>
      </c>
      <c r="AJ503" s="45">
        <f t="shared" ca="1" si="489"/>
        <v>35</v>
      </c>
      <c r="AK503" s="45">
        <f t="shared" ca="1" si="490"/>
        <v>156</v>
      </c>
      <c r="AL503" s="45">
        <f t="shared" ca="1" si="491"/>
        <v>476</v>
      </c>
      <c r="AM503" s="45">
        <f t="shared" ca="1" si="492"/>
        <v>59</v>
      </c>
      <c r="AN503" s="45">
        <f t="shared" ca="1" si="493"/>
        <v>3959</v>
      </c>
      <c r="AO503">
        <v>4352</v>
      </c>
      <c r="AP503">
        <v>1490</v>
      </c>
      <c r="AQ503">
        <v>180</v>
      </c>
      <c r="AR503">
        <v>533</v>
      </c>
      <c r="AS503">
        <v>1232</v>
      </c>
      <c r="AT503">
        <v>111</v>
      </c>
      <c r="AU503">
        <v>172</v>
      </c>
      <c r="AV503">
        <v>0.98199999999999998</v>
      </c>
      <c r="AW503" s="1"/>
      <c r="AX503" s="1"/>
      <c r="AY503" s="47">
        <f t="shared" si="494"/>
        <v>29700</v>
      </c>
      <c r="AZ503" s="49">
        <f t="shared" si="495"/>
        <v>165561</v>
      </c>
      <c r="BA503" s="49">
        <f t="shared" ref="BA503" si="544">SUMIF($B$2:$B$571,$B503,$T$2:$T$571)</f>
        <v>1651</v>
      </c>
      <c r="BB503" s="48">
        <f t="shared" si="497"/>
        <v>9.9721552781150153E-3</v>
      </c>
    </row>
    <row r="504" spans="2:54" x14ac:dyDescent="0.2">
      <c r="B504" s="3">
        <v>2016</v>
      </c>
      <c r="C504" t="s">
        <v>84</v>
      </c>
      <c r="D504" t="s">
        <v>85</v>
      </c>
      <c r="E504">
        <v>5</v>
      </c>
      <c r="F504" t="s">
        <v>38</v>
      </c>
      <c r="G504" t="s">
        <v>38</v>
      </c>
      <c r="H504" t="s">
        <v>38</v>
      </c>
      <c r="I504" t="s">
        <v>38</v>
      </c>
      <c r="J504">
        <v>68</v>
      </c>
      <c r="K504">
        <v>94</v>
      </c>
      <c r="L504">
        <v>686</v>
      </c>
      <c r="M504" s="38">
        <v>5419</v>
      </c>
      <c r="N504" s="38">
        <v>1275</v>
      </c>
      <c r="O504" s="38">
        <f t="shared" si="484"/>
        <v>815</v>
      </c>
      <c r="P504" s="38">
        <v>257</v>
      </c>
      <c r="Q504" s="38">
        <v>26</v>
      </c>
      <c r="R504" s="38">
        <v>177</v>
      </c>
      <c r="S504" s="38">
        <v>449</v>
      </c>
      <c r="T504" s="38">
        <v>58</v>
      </c>
      <c r="U504" s="38">
        <f t="shared" si="485"/>
        <v>3637</v>
      </c>
      <c r="V504">
        <v>1500</v>
      </c>
      <c r="W504">
        <v>125</v>
      </c>
      <c r="X504">
        <v>45</v>
      </c>
      <c r="Y504">
        <v>36</v>
      </c>
      <c r="Z504">
        <v>770</v>
      </c>
      <c r="AA504">
        <v>708</v>
      </c>
      <c r="AB504">
        <v>4.43</v>
      </c>
      <c r="AC504">
        <v>1</v>
      </c>
      <c r="AD504">
        <v>9</v>
      </c>
      <c r="AE504">
        <v>35</v>
      </c>
      <c r="AF504" s="45">
        <f t="shared" ca="1" si="542"/>
        <v>6182</v>
      </c>
      <c r="AG504" s="45">
        <f t="shared" ca="1" si="486"/>
        <v>1613</v>
      </c>
      <c r="AH504" s="45">
        <f t="shared" ca="1" si="487"/>
        <v>1053</v>
      </c>
      <c r="AI504" s="45">
        <f t="shared" ca="1" si="488"/>
        <v>383</v>
      </c>
      <c r="AJ504" s="45">
        <f t="shared" ca="1" si="489"/>
        <v>44</v>
      </c>
      <c r="AK504" s="45">
        <f t="shared" ca="1" si="490"/>
        <v>133</v>
      </c>
      <c r="AL504" s="45">
        <f t="shared" ca="1" si="491"/>
        <v>663</v>
      </c>
      <c r="AM504" s="45">
        <f t="shared" ca="1" si="492"/>
        <v>49</v>
      </c>
      <c r="AN504" s="45">
        <f t="shared" ca="1" si="493"/>
        <v>3857</v>
      </c>
      <c r="AO504">
        <v>4320</v>
      </c>
      <c r="AP504">
        <v>1425</v>
      </c>
      <c r="AQ504">
        <v>183</v>
      </c>
      <c r="AR504">
        <v>569</v>
      </c>
      <c r="AS504">
        <v>1222</v>
      </c>
      <c r="AT504">
        <v>109</v>
      </c>
      <c r="AU504">
        <v>165</v>
      </c>
      <c r="AV504">
        <v>0.98199999999999998</v>
      </c>
      <c r="AW504" s="1"/>
      <c r="AX504" s="1"/>
      <c r="AY504" s="47">
        <f t="shared" si="494"/>
        <v>29700</v>
      </c>
      <c r="AZ504" s="49">
        <f t="shared" si="495"/>
        <v>165561</v>
      </c>
      <c r="BA504" s="49">
        <f t="shared" ref="BA504" si="545">SUMIF($B$2:$B$571,$B504,$U$2:$U$571)</f>
        <v>106546</v>
      </c>
      <c r="BB504" s="48">
        <f t="shared" si="497"/>
        <v>0.64354527938342965</v>
      </c>
    </row>
    <row r="505" spans="2:54" x14ac:dyDescent="0.2">
      <c r="B505" s="3">
        <v>2016</v>
      </c>
      <c r="C505" t="s">
        <v>86</v>
      </c>
      <c r="D505" t="s">
        <v>87</v>
      </c>
      <c r="E505">
        <v>2</v>
      </c>
      <c r="F505" t="s">
        <v>38</v>
      </c>
      <c r="G505" t="s">
        <v>38</v>
      </c>
      <c r="H505" t="s">
        <v>38</v>
      </c>
      <c r="I505" t="s">
        <v>38</v>
      </c>
      <c r="J505">
        <v>86</v>
      </c>
      <c r="K505">
        <v>76</v>
      </c>
      <c r="L505">
        <v>768</v>
      </c>
      <c r="M505" s="38">
        <v>5583</v>
      </c>
      <c r="N505" s="38">
        <v>1446</v>
      </c>
      <c r="O505" s="38">
        <f t="shared" si="484"/>
        <v>955</v>
      </c>
      <c r="P505" s="38">
        <v>251</v>
      </c>
      <c r="Q505" s="38">
        <v>17</v>
      </c>
      <c r="R505" s="38">
        <v>223</v>
      </c>
      <c r="S505" s="38">
        <v>506</v>
      </c>
      <c r="T505" s="38">
        <v>72</v>
      </c>
      <c r="U505" s="38">
        <f t="shared" si="485"/>
        <v>3559</v>
      </c>
      <c r="V505">
        <v>1288</v>
      </c>
      <c r="W505">
        <v>56</v>
      </c>
      <c r="X505">
        <v>28</v>
      </c>
      <c r="Y505">
        <v>41</v>
      </c>
      <c r="Z505">
        <v>707</v>
      </c>
      <c r="AA505">
        <v>647</v>
      </c>
      <c r="AB505">
        <v>4</v>
      </c>
      <c r="AC505">
        <v>2</v>
      </c>
      <c r="AD505">
        <v>8</v>
      </c>
      <c r="AE505">
        <v>49</v>
      </c>
      <c r="AF505" s="45">
        <f t="shared" ca="1" si="542"/>
        <v>6215</v>
      </c>
      <c r="AG505" s="45">
        <f t="shared" ca="1" si="486"/>
        <v>1420</v>
      </c>
      <c r="AH505" s="45">
        <f t="shared" ca="1" si="487"/>
        <v>918</v>
      </c>
      <c r="AI505" s="45">
        <f t="shared" ca="1" si="488"/>
        <v>248</v>
      </c>
      <c r="AJ505" s="45">
        <f t="shared" ca="1" si="489"/>
        <v>34</v>
      </c>
      <c r="AK505" s="45">
        <f t="shared" ca="1" si="490"/>
        <v>220</v>
      </c>
      <c r="AL505" s="45">
        <f t="shared" ca="1" si="491"/>
        <v>671</v>
      </c>
      <c r="AM505" s="45">
        <f t="shared" ca="1" si="492"/>
        <v>39</v>
      </c>
      <c r="AN505" s="45">
        <f t="shared" ca="1" si="493"/>
        <v>4085</v>
      </c>
      <c r="AO505">
        <v>4371</v>
      </c>
      <c r="AP505">
        <v>1410</v>
      </c>
      <c r="AQ505">
        <v>213</v>
      </c>
      <c r="AR505">
        <v>460</v>
      </c>
      <c r="AS505">
        <v>1318</v>
      </c>
      <c r="AT505">
        <v>89</v>
      </c>
      <c r="AU505">
        <v>158</v>
      </c>
      <c r="AV505">
        <v>0.98499999999999999</v>
      </c>
      <c r="AW505" s="1"/>
      <c r="AX505" s="1"/>
      <c r="AY505" s="47">
        <f t="shared" si="494"/>
        <v>29700</v>
      </c>
      <c r="AZ505" s="49">
        <f t="shared" si="495"/>
        <v>165561</v>
      </c>
      <c r="BA505" s="49"/>
      <c r="BB505" s="48">
        <f t="shared" si="497"/>
        <v>0</v>
      </c>
    </row>
    <row r="506" spans="2:54" x14ac:dyDescent="0.2">
      <c r="B506" s="3">
        <v>2016</v>
      </c>
      <c r="C506" t="s">
        <v>88</v>
      </c>
      <c r="D506" t="s">
        <v>89</v>
      </c>
      <c r="E506">
        <v>2</v>
      </c>
      <c r="F506" t="s">
        <v>38</v>
      </c>
      <c r="G506" t="s">
        <v>43</v>
      </c>
      <c r="H506" t="s">
        <v>38</v>
      </c>
      <c r="I506" t="s">
        <v>38</v>
      </c>
      <c r="J506">
        <v>87</v>
      </c>
      <c r="K506">
        <v>75</v>
      </c>
      <c r="L506">
        <v>715</v>
      </c>
      <c r="M506" s="38">
        <v>5565</v>
      </c>
      <c r="N506" s="38">
        <v>1437</v>
      </c>
      <c r="O506" s="38">
        <f t="shared" si="484"/>
        <v>973</v>
      </c>
      <c r="P506" s="38">
        <v>280</v>
      </c>
      <c r="Q506" s="38">
        <v>54</v>
      </c>
      <c r="R506" s="38">
        <v>130</v>
      </c>
      <c r="S506" s="38">
        <v>572</v>
      </c>
      <c r="T506" s="38">
        <v>42</v>
      </c>
      <c r="U506" s="38">
        <f t="shared" si="485"/>
        <v>3514</v>
      </c>
      <c r="V506">
        <v>1107</v>
      </c>
      <c r="W506">
        <v>79</v>
      </c>
      <c r="X506">
        <v>36</v>
      </c>
      <c r="Y506">
        <v>46</v>
      </c>
      <c r="Z506">
        <v>631</v>
      </c>
      <c r="AA506">
        <v>593</v>
      </c>
      <c r="AB506">
        <v>3.65</v>
      </c>
      <c r="AC506">
        <v>10</v>
      </c>
      <c r="AD506">
        <v>11</v>
      </c>
      <c r="AE506">
        <v>43</v>
      </c>
      <c r="AF506" s="45">
        <f t="shared" ca="1" si="542"/>
        <v>6193</v>
      </c>
      <c r="AG506" s="45">
        <f t="shared" ca="1" si="486"/>
        <v>1468</v>
      </c>
      <c r="AH506" s="45">
        <f t="shared" ca="1" si="487"/>
        <v>1075</v>
      </c>
      <c r="AI506" s="45">
        <f t="shared" ca="1" si="488"/>
        <v>223</v>
      </c>
      <c r="AJ506" s="45">
        <f t="shared" ca="1" si="489"/>
        <v>29</v>
      </c>
      <c r="AK506" s="45">
        <f t="shared" ca="1" si="490"/>
        <v>141</v>
      </c>
      <c r="AL506" s="45">
        <f t="shared" ca="1" si="491"/>
        <v>522</v>
      </c>
      <c r="AM506" s="45">
        <f t="shared" ca="1" si="492"/>
        <v>56</v>
      </c>
      <c r="AN506" s="45">
        <f t="shared" ca="1" si="493"/>
        <v>4147</v>
      </c>
      <c r="AO506">
        <v>4381</v>
      </c>
      <c r="AP506">
        <v>1334</v>
      </c>
      <c r="AQ506">
        <v>158</v>
      </c>
      <c r="AR506">
        <v>439</v>
      </c>
      <c r="AS506">
        <v>1309</v>
      </c>
      <c r="AT506">
        <v>72</v>
      </c>
      <c r="AU506">
        <v>136</v>
      </c>
      <c r="AV506">
        <v>0.98799999999999999</v>
      </c>
      <c r="AW506" s="1"/>
      <c r="AX506" s="1"/>
      <c r="AY506" s="47">
        <f t="shared" si="494"/>
        <v>29700</v>
      </c>
      <c r="AZ506" s="49">
        <f t="shared" si="495"/>
        <v>165561</v>
      </c>
      <c r="BA506" s="49">
        <f t="shared" ref="BA506" si="546">SUMIF($B$2:$B$571,$B506,$O$2:$O$571)</f>
        <v>27539</v>
      </c>
      <c r="BB506" s="48">
        <f t="shared" si="497"/>
        <v>0.16633748286130187</v>
      </c>
    </row>
    <row r="507" spans="2:54" x14ac:dyDescent="0.2">
      <c r="B507" s="3">
        <v>2016</v>
      </c>
      <c r="C507" t="s">
        <v>90</v>
      </c>
      <c r="D507" t="s">
        <v>91</v>
      </c>
      <c r="E507">
        <v>2</v>
      </c>
      <c r="F507" t="s">
        <v>38</v>
      </c>
      <c r="G507" t="s">
        <v>38</v>
      </c>
      <c r="H507" t="s">
        <v>38</v>
      </c>
      <c r="I507" t="s">
        <v>38</v>
      </c>
      <c r="J507">
        <v>86</v>
      </c>
      <c r="K507">
        <v>76</v>
      </c>
      <c r="L507">
        <v>779</v>
      </c>
      <c r="M507" s="38">
        <v>5548</v>
      </c>
      <c r="N507" s="38">
        <v>1415</v>
      </c>
      <c r="O507" s="38">
        <f t="shared" si="484"/>
        <v>859</v>
      </c>
      <c r="P507" s="38">
        <v>299</v>
      </c>
      <c r="Q507" s="38">
        <v>32</v>
      </c>
      <c r="R507" s="38">
        <v>225</v>
      </c>
      <c r="S507" s="38">
        <v>526</v>
      </c>
      <c r="T507" s="38">
        <v>70</v>
      </c>
      <c r="U507" s="38">
        <f t="shared" si="485"/>
        <v>3537</v>
      </c>
      <c r="V507">
        <v>1318</v>
      </c>
      <c r="W507">
        <v>35</v>
      </c>
      <c r="X507">
        <v>26</v>
      </c>
      <c r="Y507">
        <v>41</v>
      </c>
      <c r="Z507">
        <v>712</v>
      </c>
      <c r="AA507">
        <v>656</v>
      </c>
      <c r="AB507">
        <v>4.08</v>
      </c>
      <c r="AC507">
        <v>2</v>
      </c>
      <c r="AD507">
        <v>10</v>
      </c>
      <c r="AE507">
        <v>38</v>
      </c>
      <c r="AF507" s="45">
        <f t="shared" ca="1" si="542"/>
        <v>6312</v>
      </c>
      <c r="AG507" s="45">
        <f t="shared" ca="1" si="486"/>
        <v>1681</v>
      </c>
      <c r="AH507" s="45">
        <f t="shared" ca="1" si="487"/>
        <v>1073</v>
      </c>
      <c r="AI507" s="45">
        <f t="shared" ca="1" si="488"/>
        <v>398</v>
      </c>
      <c r="AJ507" s="45">
        <f t="shared" ca="1" si="489"/>
        <v>36</v>
      </c>
      <c r="AK507" s="45">
        <f t="shared" ca="1" si="490"/>
        <v>174</v>
      </c>
      <c r="AL507" s="45">
        <f t="shared" ca="1" si="491"/>
        <v>421</v>
      </c>
      <c r="AM507" s="45">
        <f t="shared" ca="1" si="492"/>
        <v>90</v>
      </c>
      <c r="AN507" s="45">
        <f t="shared" ca="1" si="493"/>
        <v>4120</v>
      </c>
      <c r="AO507">
        <v>4345</v>
      </c>
      <c r="AP507">
        <v>1432</v>
      </c>
      <c r="AQ507">
        <v>159</v>
      </c>
      <c r="AR507">
        <v>475</v>
      </c>
      <c r="AS507">
        <v>1290</v>
      </c>
      <c r="AT507">
        <v>107</v>
      </c>
      <c r="AU507">
        <v>169</v>
      </c>
      <c r="AV507">
        <v>0.98299999999999998</v>
      </c>
      <c r="AW507" s="1"/>
      <c r="AX507" s="1"/>
      <c r="AY507" s="47">
        <f t="shared" si="494"/>
        <v>29700</v>
      </c>
      <c r="AZ507" s="49">
        <f t="shared" si="495"/>
        <v>165561</v>
      </c>
      <c r="BA507" s="49">
        <f t="shared" ref="BA507" si="547">SUMIF($B$2:$B$571,$B507,$P$2:$P$571)</f>
        <v>8254</v>
      </c>
      <c r="BB507" s="48">
        <f t="shared" si="497"/>
        <v>4.9854736320751866E-2</v>
      </c>
    </row>
    <row r="508" spans="2:54" x14ac:dyDescent="0.2">
      <c r="B508" s="3">
        <v>2016</v>
      </c>
      <c r="C508" t="s">
        <v>102</v>
      </c>
      <c r="D508" t="s">
        <v>93</v>
      </c>
      <c r="E508">
        <v>5</v>
      </c>
      <c r="F508" t="s">
        <v>38</v>
      </c>
      <c r="G508" t="s">
        <v>38</v>
      </c>
      <c r="H508" t="s">
        <v>38</v>
      </c>
      <c r="I508" t="s">
        <v>38</v>
      </c>
      <c r="J508">
        <v>68</v>
      </c>
      <c r="K508">
        <v>94</v>
      </c>
      <c r="L508">
        <v>672</v>
      </c>
      <c r="M508" s="38">
        <v>5481</v>
      </c>
      <c r="N508" s="38">
        <v>1333</v>
      </c>
      <c r="O508" s="38">
        <f t="shared" si="484"/>
        <v>797</v>
      </c>
      <c r="P508" s="38">
        <v>288</v>
      </c>
      <c r="Q508" s="38">
        <v>32</v>
      </c>
      <c r="R508" s="38">
        <v>216</v>
      </c>
      <c r="S508" s="38">
        <v>449</v>
      </c>
      <c r="T508" s="38">
        <v>69</v>
      </c>
      <c r="U508" s="38">
        <f t="shared" si="485"/>
        <v>3630</v>
      </c>
      <c r="V508">
        <v>1482</v>
      </c>
      <c r="W508">
        <v>60</v>
      </c>
      <c r="X508">
        <v>37</v>
      </c>
      <c r="Y508">
        <v>28</v>
      </c>
      <c r="Z508">
        <v>713</v>
      </c>
      <c r="AA508">
        <v>665</v>
      </c>
      <c r="AB508">
        <v>4.2</v>
      </c>
      <c r="AC508">
        <v>1</v>
      </c>
      <c r="AD508">
        <v>8</v>
      </c>
      <c r="AE508">
        <v>42</v>
      </c>
      <c r="AF508" s="45">
        <f t="shared" ca="1" si="542"/>
        <v>6237</v>
      </c>
      <c r="AG508" s="45">
        <f t="shared" ca="1" si="486"/>
        <v>1328</v>
      </c>
      <c r="AH508" s="45">
        <f t="shared" ca="1" si="487"/>
        <v>750</v>
      </c>
      <c r="AI508" s="45">
        <f t="shared" ca="1" si="488"/>
        <v>393</v>
      </c>
      <c r="AJ508" s="45">
        <f t="shared" ca="1" si="489"/>
        <v>27</v>
      </c>
      <c r="AK508" s="45">
        <f t="shared" ca="1" si="490"/>
        <v>158</v>
      </c>
      <c r="AL508" s="45">
        <f t="shared" ca="1" si="491"/>
        <v>524</v>
      </c>
      <c r="AM508" s="45">
        <f t="shared" ca="1" si="492"/>
        <v>72</v>
      </c>
      <c r="AN508" s="45">
        <f t="shared" ca="1" si="493"/>
        <v>4313</v>
      </c>
      <c r="AO508">
        <v>4279</v>
      </c>
      <c r="AP508">
        <v>1395</v>
      </c>
      <c r="AQ508">
        <v>210</v>
      </c>
      <c r="AR508">
        <v>491</v>
      </c>
      <c r="AS508">
        <v>1357</v>
      </c>
      <c r="AT508">
        <v>94</v>
      </c>
      <c r="AU508">
        <v>129</v>
      </c>
      <c r="AV508">
        <v>0.98399999999999999</v>
      </c>
      <c r="AW508" s="1"/>
      <c r="AX508" s="1"/>
      <c r="AY508" s="47">
        <f t="shared" si="494"/>
        <v>29700</v>
      </c>
      <c r="AZ508" s="49">
        <f t="shared" si="495"/>
        <v>165561</v>
      </c>
      <c r="BA508" s="49">
        <f t="shared" ref="BA508" si="548">SUMIF($B$2:$B$571,$B508,$Q$2:$Q$571)</f>
        <v>873</v>
      </c>
      <c r="BB508" s="48">
        <f t="shared" si="497"/>
        <v>5.2729809556598473E-3</v>
      </c>
    </row>
    <row r="509" spans="2:54" x14ac:dyDescent="0.2">
      <c r="B509" s="3">
        <v>2016</v>
      </c>
      <c r="C509" t="s">
        <v>94</v>
      </c>
      <c r="D509" t="s">
        <v>95</v>
      </c>
      <c r="E509">
        <v>1</v>
      </c>
      <c r="F509" t="s">
        <v>43</v>
      </c>
      <c r="G509" t="s">
        <v>38</v>
      </c>
      <c r="H509" t="s">
        <v>38</v>
      </c>
      <c r="I509" t="s">
        <v>38</v>
      </c>
      <c r="J509">
        <v>95</v>
      </c>
      <c r="K509">
        <v>67</v>
      </c>
      <c r="L509">
        <v>765</v>
      </c>
      <c r="M509" s="38">
        <v>5525</v>
      </c>
      <c r="N509" s="38">
        <v>1446</v>
      </c>
      <c r="O509" s="38">
        <f t="shared" si="484"/>
        <v>951</v>
      </c>
      <c r="P509" s="38">
        <v>257</v>
      </c>
      <c r="Q509" s="38">
        <v>23</v>
      </c>
      <c r="R509" s="38">
        <v>215</v>
      </c>
      <c r="S509" s="38">
        <v>436</v>
      </c>
      <c r="T509" s="38">
        <v>70</v>
      </c>
      <c r="U509" s="38">
        <f t="shared" si="485"/>
        <v>3573</v>
      </c>
      <c r="V509">
        <v>1220</v>
      </c>
      <c r="W509">
        <v>99</v>
      </c>
      <c r="X509">
        <v>36</v>
      </c>
      <c r="Y509">
        <v>40</v>
      </c>
      <c r="Z509">
        <v>757</v>
      </c>
      <c r="AA509">
        <v>700</v>
      </c>
      <c r="AB509">
        <v>4.37</v>
      </c>
      <c r="AC509">
        <v>1</v>
      </c>
      <c r="AD509">
        <v>6</v>
      </c>
      <c r="AE509">
        <v>56</v>
      </c>
      <c r="AF509" s="45">
        <f t="shared" ca="1" si="542"/>
        <v>6463</v>
      </c>
      <c r="AG509" s="45">
        <f t="shared" ca="1" si="486"/>
        <v>1509</v>
      </c>
      <c r="AH509" s="45">
        <f t="shared" ca="1" si="487"/>
        <v>1061</v>
      </c>
      <c r="AI509" s="45">
        <f t="shared" ca="1" si="488"/>
        <v>251</v>
      </c>
      <c r="AJ509" s="45">
        <f t="shared" ca="1" si="489"/>
        <v>29</v>
      </c>
      <c r="AK509" s="45">
        <f t="shared" ca="1" si="490"/>
        <v>168</v>
      </c>
      <c r="AL509" s="45">
        <f t="shared" ca="1" si="491"/>
        <v>616</v>
      </c>
      <c r="AM509" s="45">
        <f t="shared" ca="1" si="492"/>
        <v>90</v>
      </c>
      <c r="AN509" s="45">
        <f t="shared" ca="1" si="493"/>
        <v>4248</v>
      </c>
      <c r="AO509">
        <v>4329</v>
      </c>
      <c r="AP509">
        <v>1441</v>
      </c>
      <c r="AQ509">
        <v>201</v>
      </c>
      <c r="AR509">
        <v>534</v>
      </c>
      <c r="AS509">
        <v>1154</v>
      </c>
      <c r="AT509">
        <v>97</v>
      </c>
      <c r="AU509">
        <v>190</v>
      </c>
      <c r="AV509">
        <v>0.98399999999999999</v>
      </c>
      <c r="AW509" s="1"/>
      <c r="AX509" s="1"/>
      <c r="AY509" s="47">
        <f t="shared" si="494"/>
        <v>29700</v>
      </c>
      <c r="AZ509" s="49">
        <f t="shared" si="495"/>
        <v>165561</v>
      </c>
      <c r="BA509" s="49">
        <f t="shared" ref="BA509" si="549">SUMIF($B$2:$B$571,$B509,$R$2:$R$571)</f>
        <v>5610</v>
      </c>
      <c r="BB509" s="48">
        <f t="shared" si="497"/>
        <v>3.3884791708192148E-2</v>
      </c>
    </row>
    <row r="510" spans="2:54" x14ac:dyDescent="0.2">
      <c r="B510" s="3">
        <v>2016</v>
      </c>
      <c r="C510" t="s">
        <v>96</v>
      </c>
      <c r="D510" t="s">
        <v>97</v>
      </c>
      <c r="E510">
        <v>2</v>
      </c>
      <c r="F510" t="s">
        <v>38</v>
      </c>
      <c r="G510" t="s">
        <v>43</v>
      </c>
      <c r="H510" t="s">
        <v>38</v>
      </c>
      <c r="I510" t="s">
        <v>38</v>
      </c>
      <c r="J510">
        <v>89</v>
      </c>
      <c r="K510">
        <v>73</v>
      </c>
      <c r="L510">
        <v>759</v>
      </c>
      <c r="M510" s="38">
        <v>5479</v>
      </c>
      <c r="N510" s="38">
        <v>1358</v>
      </c>
      <c r="O510" s="38">
        <f t="shared" si="484"/>
        <v>843</v>
      </c>
      <c r="P510" s="38">
        <v>276</v>
      </c>
      <c r="Q510" s="38">
        <v>18</v>
      </c>
      <c r="R510" s="38">
        <v>221</v>
      </c>
      <c r="S510" s="38">
        <v>632</v>
      </c>
      <c r="T510" s="38">
        <v>55</v>
      </c>
      <c r="U510" s="38">
        <f t="shared" si="485"/>
        <v>3434</v>
      </c>
      <c r="V510">
        <v>1362</v>
      </c>
      <c r="W510">
        <v>54</v>
      </c>
      <c r="X510">
        <v>24</v>
      </c>
      <c r="Y510">
        <v>40</v>
      </c>
      <c r="Z510">
        <v>666</v>
      </c>
      <c r="AA510">
        <v>613</v>
      </c>
      <c r="AB510">
        <v>3.78</v>
      </c>
      <c r="AC510">
        <v>0</v>
      </c>
      <c r="AD510">
        <v>10</v>
      </c>
      <c r="AE510">
        <v>43</v>
      </c>
      <c r="AF510" s="45">
        <f t="shared" ca="1" si="542"/>
        <v>6125</v>
      </c>
      <c r="AG510" s="45">
        <f t="shared" ca="1" si="486"/>
        <v>1691</v>
      </c>
      <c r="AH510" s="45">
        <f t="shared" ca="1" si="487"/>
        <v>1137</v>
      </c>
      <c r="AI510" s="45">
        <f t="shared" ca="1" si="488"/>
        <v>287</v>
      </c>
      <c r="AJ510" s="45">
        <f t="shared" ca="1" si="489"/>
        <v>31</v>
      </c>
      <c r="AK510" s="45">
        <f t="shared" ca="1" si="490"/>
        <v>236</v>
      </c>
      <c r="AL510" s="45">
        <f t="shared" ca="1" si="491"/>
        <v>446</v>
      </c>
      <c r="AM510" s="45">
        <f t="shared" ca="1" si="492"/>
        <v>31</v>
      </c>
      <c r="AN510" s="45">
        <f t="shared" ca="1" si="493"/>
        <v>3957</v>
      </c>
      <c r="AO510">
        <v>4378</v>
      </c>
      <c r="AP510">
        <v>1340</v>
      </c>
      <c r="AQ510">
        <v>183</v>
      </c>
      <c r="AR510">
        <v>461</v>
      </c>
      <c r="AS510">
        <v>1314</v>
      </c>
      <c r="AT510">
        <v>88</v>
      </c>
      <c r="AU510">
        <v>144</v>
      </c>
      <c r="AV510">
        <v>0.98599999999999999</v>
      </c>
      <c r="AW510" s="1"/>
      <c r="AX510" s="1"/>
      <c r="AY510" s="47">
        <f t="shared" si="494"/>
        <v>29700</v>
      </c>
      <c r="AZ510" s="49">
        <f t="shared" si="495"/>
        <v>165561</v>
      </c>
      <c r="BA510" s="49">
        <f t="shared" ref="BA510" si="550">SUMIF($B$2:$B$571,$B510,$S$2:$S$571)</f>
        <v>15088</v>
      </c>
      <c r="BB510" s="48">
        <f t="shared" si="497"/>
        <v>9.1132573492549579E-2</v>
      </c>
    </row>
    <row r="511" spans="2:54" x14ac:dyDescent="0.2">
      <c r="B511" s="3">
        <v>2016</v>
      </c>
      <c r="C511" t="s">
        <v>100</v>
      </c>
      <c r="D511" t="s">
        <v>101</v>
      </c>
      <c r="E511">
        <v>1</v>
      </c>
      <c r="F511" t="s">
        <v>43</v>
      </c>
      <c r="G511" t="s">
        <v>38</v>
      </c>
      <c r="H511" t="s">
        <v>38</v>
      </c>
      <c r="I511" t="s">
        <v>38</v>
      </c>
      <c r="J511">
        <v>95</v>
      </c>
      <c r="K511">
        <v>67</v>
      </c>
      <c r="L511">
        <v>763</v>
      </c>
      <c r="M511" s="38">
        <v>5490</v>
      </c>
      <c r="N511" s="38">
        <v>1403</v>
      </c>
      <c r="O511" s="38">
        <f t="shared" si="484"/>
        <v>903</v>
      </c>
      <c r="P511" s="38">
        <v>268</v>
      </c>
      <c r="Q511" s="38">
        <v>29</v>
      </c>
      <c r="R511" s="38">
        <v>203</v>
      </c>
      <c r="S511" s="38">
        <v>536</v>
      </c>
      <c r="T511" s="38">
        <v>64</v>
      </c>
      <c r="U511" s="38">
        <f t="shared" si="485"/>
        <v>3487</v>
      </c>
      <c r="V511">
        <v>1252</v>
      </c>
      <c r="W511">
        <v>121</v>
      </c>
      <c r="X511">
        <v>39</v>
      </c>
      <c r="Y511">
        <v>63</v>
      </c>
      <c r="Z511">
        <v>612</v>
      </c>
      <c r="AA511">
        <v>570</v>
      </c>
      <c r="AB511">
        <v>3.51</v>
      </c>
      <c r="AC511">
        <v>1</v>
      </c>
      <c r="AD511">
        <v>12</v>
      </c>
      <c r="AE511">
        <v>46</v>
      </c>
      <c r="AF511" s="45">
        <f t="shared" ca="1" si="542"/>
        <v>6432</v>
      </c>
      <c r="AG511" s="45">
        <f t="shared" ca="1" si="486"/>
        <v>1509</v>
      </c>
      <c r="AH511" s="45">
        <f t="shared" ca="1" si="487"/>
        <v>1094</v>
      </c>
      <c r="AI511" s="45">
        <f t="shared" ca="1" si="488"/>
        <v>236</v>
      </c>
      <c r="AJ511" s="45">
        <f t="shared" ca="1" si="489"/>
        <v>27</v>
      </c>
      <c r="AK511" s="45">
        <f t="shared" ca="1" si="490"/>
        <v>152</v>
      </c>
      <c r="AL511" s="45">
        <f t="shared" ca="1" si="491"/>
        <v>558</v>
      </c>
      <c r="AM511" s="45">
        <f t="shared" ca="1" si="492"/>
        <v>72</v>
      </c>
      <c r="AN511" s="45">
        <f t="shared" ca="1" si="493"/>
        <v>4293</v>
      </c>
      <c r="AO511">
        <v>4379</v>
      </c>
      <c r="AP511">
        <v>1272</v>
      </c>
      <c r="AQ511">
        <v>155</v>
      </c>
      <c r="AR511">
        <v>468</v>
      </c>
      <c r="AS511">
        <v>1476</v>
      </c>
      <c r="AT511">
        <v>73</v>
      </c>
      <c r="AU511">
        <v>142</v>
      </c>
      <c r="AV511">
        <v>0.98799999999999999</v>
      </c>
      <c r="AW511" s="1"/>
      <c r="AX511" s="1"/>
      <c r="AY511" s="47">
        <f t="shared" si="494"/>
        <v>29700</v>
      </c>
      <c r="AZ511" s="49">
        <f t="shared" si="495"/>
        <v>165561</v>
      </c>
      <c r="BA511" s="49">
        <f t="shared" ref="BA511" si="551">SUMIF($B$2:$B$571,$B511,$T$2:$T$571)</f>
        <v>1651</v>
      </c>
      <c r="BB511" s="48">
        <f t="shared" si="497"/>
        <v>9.9721552781150153E-3</v>
      </c>
    </row>
    <row r="512" spans="2:54" x14ac:dyDescent="0.2">
      <c r="B512" s="3">
        <v>2017</v>
      </c>
      <c r="C512" t="s">
        <v>39</v>
      </c>
      <c r="D512" t="s">
        <v>40</v>
      </c>
      <c r="E512">
        <v>2</v>
      </c>
      <c r="F512" t="s">
        <v>38</v>
      </c>
      <c r="G512" t="s">
        <v>43</v>
      </c>
      <c r="H512" t="s">
        <v>38</v>
      </c>
      <c r="I512" t="s">
        <v>38</v>
      </c>
      <c r="J512">
        <v>93</v>
      </c>
      <c r="K512">
        <v>69</v>
      </c>
      <c r="L512">
        <v>812</v>
      </c>
      <c r="M512" s="38">
        <v>5525</v>
      </c>
      <c r="N512" s="38">
        <v>1405</v>
      </c>
      <c r="O512" s="38">
        <f t="shared" si="484"/>
        <v>832</v>
      </c>
      <c r="P512" s="38">
        <v>314</v>
      </c>
      <c r="Q512" s="38">
        <v>39</v>
      </c>
      <c r="R512" s="38">
        <v>220</v>
      </c>
      <c r="S512" s="38">
        <v>578</v>
      </c>
      <c r="T512" s="38">
        <v>54</v>
      </c>
      <c r="U512" s="38">
        <f t="shared" si="485"/>
        <v>3488</v>
      </c>
      <c r="V512">
        <v>1456</v>
      </c>
      <c r="W512">
        <v>103</v>
      </c>
      <c r="X512">
        <v>30</v>
      </c>
      <c r="Y512">
        <v>27</v>
      </c>
      <c r="Z512">
        <v>659</v>
      </c>
      <c r="AA512">
        <v>586</v>
      </c>
      <c r="AB512">
        <v>3.66</v>
      </c>
      <c r="AC512">
        <v>2</v>
      </c>
      <c r="AD512">
        <v>11</v>
      </c>
      <c r="AE512">
        <v>43</v>
      </c>
      <c r="AF512" s="45">
        <f t="shared" ca="1" si="542"/>
        <v>6092</v>
      </c>
      <c r="AG512" s="45">
        <f t="shared" ca="1" si="486"/>
        <v>1664</v>
      </c>
      <c r="AH512" s="45">
        <f t="shared" ca="1" si="487"/>
        <v>1108</v>
      </c>
      <c r="AI512" s="45">
        <f t="shared" ca="1" si="488"/>
        <v>392</v>
      </c>
      <c r="AJ512" s="45">
        <f t="shared" ca="1" si="489"/>
        <v>30</v>
      </c>
      <c r="AK512" s="45">
        <f t="shared" ca="1" si="490"/>
        <v>134</v>
      </c>
      <c r="AL512" s="45">
        <f t="shared" ca="1" si="491"/>
        <v>542</v>
      </c>
      <c r="AM512" s="45">
        <f t="shared" ca="1" si="492"/>
        <v>60</v>
      </c>
      <c r="AN512" s="45">
        <f t="shared" ca="1" si="493"/>
        <v>3826</v>
      </c>
      <c r="AO512">
        <v>4323</v>
      </c>
      <c r="AP512">
        <v>1309</v>
      </c>
      <c r="AQ512">
        <v>171</v>
      </c>
      <c r="AR512">
        <v>516</v>
      </c>
      <c r="AS512">
        <v>1482</v>
      </c>
      <c r="AT512">
        <v>108</v>
      </c>
      <c r="AU512">
        <v>140</v>
      </c>
      <c r="AV512">
        <v>0.98199999999999998</v>
      </c>
      <c r="AW512" s="1"/>
      <c r="AX512" s="1"/>
      <c r="AY512" s="47">
        <f t="shared" si="494"/>
        <v>29700</v>
      </c>
      <c r="AZ512" s="49">
        <f t="shared" si="495"/>
        <v>165567</v>
      </c>
      <c r="BA512" s="49">
        <f t="shared" ref="BA512" si="552">SUMIF($B$2:$B$571,$B512,$U$2:$U$571)</f>
        <v>105760</v>
      </c>
      <c r="BB512" s="48">
        <f t="shared" si="497"/>
        <v>0.63877463504200716</v>
      </c>
    </row>
    <row r="513" spans="2:54" x14ac:dyDescent="0.2">
      <c r="B513" s="3">
        <v>2017</v>
      </c>
      <c r="C513" t="s">
        <v>41</v>
      </c>
      <c r="D513" t="s">
        <v>42</v>
      </c>
      <c r="E513">
        <v>3</v>
      </c>
      <c r="F513" t="s">
        <v>38</v>
      </c>
      <c r="G513" t="s">
        <v>38</v>
      </c>
      <c r="H513" t="s">
        <v>38</v>
      </c>
      <c r="I513" t="s">
        <v>38</v>
      </c>
      <c r="J513">
        <v>72</v>
      </c>
      <c r="K513">
        <v>90</v>
      </c>
      <c r="L513">
        <v>732</v>
      </c>
      <c r="M513" s="38">
        <v>5584</v>
      </c>
      <c r="N513" s="38">
        <v>1467</v>
      </c>
      <c r="O513" s="38">
        <f t="shared" si="484"/>
        <v>987</v>
      </c>
      <c r="P513" s="38">
        <v>289</v>
      </c>
      <c r="Q513" s="38">
        <v>26</v>
      </c>
      <c r="R513" s="38">
        <v>165</v>
      </c>
      <c r="S513" s="38">
        <v>474</v>
      </c>
      <c r="T513" s="38">
        <v>66</v>
      </c>
      <c r="U513" s="38">
        <f t="shared" si="485"/>
        <v>3577</v>
      </c>
      <c r="V513">
        <v>1184</v>
      </c>
      <c r="W513">
        <v>77</v>
      </c>
      <c r="X513">
        <v>31</v>
      </c>
      <c r="Y513">
        <v>32</v>
      </c>
      <c r="Z513">
        <v>821</v>
      </c>
      <c r="AA513">
        <v>756</v>
      </c>
      <c r="AB513">
        <v>4.72</v>
      </c>
      <c r="AC513">
        <v>0</v>
      </c>
      <c r="AD513">
        <v>6</v>
      </c>
      <c r="AE513">
        <v>36</v>
      </c>
      <c r="AF513" s="45">
        <f t="shared" ca="1" si="542"/>
        <v>6294</v>
      </c>
      <c r="AG513" s="45">
        <f t="shared" ca="1" si="486"/>
        <v>1479</v>
      </c>
      <c r="AH513" s="45">
        <f t="shared" ca="1" si="487"/>
        <v>972</v>
      </c>
      <c r="AI513" s="45">
        <f t="shared" ca="1" si="488"/>
        <v>258</v>
      </c>
      <c r="AJ513" s="45">
        <f t="shared" ca="1" si="489"/>
        <v>37</v>
      </c>
      <c r="AK513" s="45">
        <f t="shared" ca="1" si="490"/>
        <v>212</v>
      </c>
      <c r="AL513" s="45">
        <f t="shared" ca="1" si="491"/>
        <v>436</v>
      </c>
      <c r="AM513" s="45">
        <f t="shared" ca="1" si="492"/>
        <v>34</v>
      </c>
      <c r="AN513" s="45">
        <f t="shared" ca="1" si="493"/>
        <v>4345</v>
      </c>
      <c r="AO513">
        <v>4324</v>
      </c>
      <c r="AP513">
        <v>1463</v>
      </c>
      <c r="AQ513">
        <v>192</v>
      </c>
      <c r="AR513">
        <v>584</v>
      </c>
      <c r="AS513">
        <v>1258</v>
      </c>
      <c r="AT513">
        <v>97</v>
      </c>
      <c r="AU513">
        <v>137</v>
      </c>
      <c r="AV513">
        <v>0.98399999999999999</v>
      </c>
      <c r="AW513" s="1"/>
      <c r="AX513" s="1"/>
      <c r="AY513" s="47">
        <f t="shared" si="494"/>
        <v>29700</v>
      </c>
      <c r="AZ513" s="49">
        <f t="shared" si="495"/>
        <v>165567</v>
      </c>
      <c r="BA513" s="49"/>
      <c r="BB513" s="48">
        <f t="shared" si="497"/>
        <v>0</v>
      </c>
    </row>
    <row r="514" spans="2:54" x14ac:dyDescent="0.2">
      <c r="B514" s="3">
        <v>2017</v>
      </c>
      <c r="C514" t="s">
        <v>44</v>
      </c>
      <c r="D514" t="s">
        <v>45</v>
      </c>
      <c r="E514">
        <v>5</v>
      </c>
      <c r="F514" t="s">
        <v>38</v>
      </c>
      <c r="G514" t="s">
        <v>38</v>
      </c>
      <c r="H514" t="s">
        <v>38</v>
      </c>
      <c r="I514" t="s">
        <v>38</v>
      </c>
      <c r="J514">
        <v>75</v>
      </c>
      <c r="K514">
        <v>87</v>
      </c>
      <c r="L514">
        <v>743</v>
      </c>
      <c r="M514" s="38">
        <v>5650</v>
      </c>
      <c r="N514" s="38">
        <v>1469</v>
      </c>
      <c r="O514" s="38">
        <f t="shared" si="484"/>
        <v>956</v>
      </c>
      <c r="P514" s="38">
        <v>269</v>
      </c>
      <c r="Q514" s="38">
        <v>12</v>
      </c>
      <c r="R514" s="38">
        <v>232</v>
      </c>
      <c r="S514" s="38">
        <v>392</v>
      </c>
      <c r="T514" s="38">
        <v>50</v>
      </c>
      <c r="U514" s="38">
        <f t="shared" si="485"/>
        <v>3739</v>
      </c>
      <c r="V514">
        <v>1412</v>
      </c>
      <c r="W514">
        <v>32</v>
      </c>
      <c r="X514">
        <v>13</v>
      </c>
      <c r="Y514">
        <v>37</v>
      </c>
      <c r="Z514">
        <v>841</v>
      </c>
      <c r="AA514">
        <v>795</v>
      </c>
      <c r="AB514">
        <v>4.97</v>
      </c>
      <c r="AC514">
        <v>1</v>
      </c>
      <c r="AD514">
        <v>10</v>
      </c>
      <c r="AE514">
        <v>35</v>
      </c>
      <c r="AF514" s="45">
        <f t="shared" ca="1" si="542"/>
        <v>6405</v>
      </c>
      <c r="AG514" s="45">
        <f t="shared" ca="1" si="486"/>
        <v>1433</v>
      </c>
      <c r="AH514" s="45">
        <f t="shared" ca="1" si="487"/>
        <v>825</v>
      </c>
      <c r="AI514" s="45">
        <f t="shared" ca="1" si="488"/>
        <v>364</v>
      </c>
      <c r="AJ514" s="45">
        <f t="shared" ca="1" si="489"/>
        <v>31</v>
      </c>
      <c r="AK514" s="45">
        <f t="shared" ca="1" si="490"/>
        <v>213</v>
      </c>
      <c r="AL514" s="45">
        <f t="shared" ca="1" si="491"/>
        <v>681</v>
      </c>
      <c r="AM514" s="45">
        <f t="shared" ca="1" si="492"/>
        <v>82</v>
      </c>
      <c r="AN514" s="45">
        <f t="shared" ca="1" si="493"/>
        <v>4209</v>
      </c>
      <c r="AO514">
        <v>4323</v>
      </c>
      <c r="AP514">
        <v>1505</v>
      </c>
      <c r="AQ514">
        <v>242</v>
      </c>
      <c r="AR514">
        <v>579</v>
      </c>
      <c r="AS514">
        <v>1233</v>
      </c>
      <c r="AT514">
        <v>94</v>
      </c>
      <c r="AU514">
        <v>175</v>
      </c>
      <c r="AV514">
        <v>0.98399999999999999</v>
      </c>
      <c r="AW514" s="1"/>
      <c r="AX514" s="1"/>
      <c r="AY514" s="47">
        <f t="shared" si="494"/>
        <v>29700</v>
      </c>
      <c r="AZ514" s="49">
        <f t="shared" si="495"/>
        <v>165567</v>
      </c>
      <c r="BA514" s="49">
        <f t="shared" ref="BA514" si="553">SUMIF($B$2:$B$571,$B514,$O$2:$O$571)</f>
        <v>26918</v>
      </c>
      <c r="BB514" s="48">
        <f t="shared" si="497"/>
        <v>0.16258070750813869</v>
      </c>
    </row>
    <row r="515" spans="2:54" x14ac:dyDescent="0.2">
      <c r="B515" s="3">
        <v>2017</v>
      </c>
      <c r="C515" t="s">
        <v>46</v>
      </c>
      <c r="D515" t="s">
        <v>47</v>
      </c>
      <c r="E515">
        <v>1</v>
      </c>
      <c r="F515" t="s">
        <v>43</v>
      </c>
      <c r="G515" t="s">
        <v>38</v>
      </c>
      <c r="H515" t="s">
        <v>38</v>
      </c>
      <c r="I515" t="s">
        <v>38</v>
      </c>
      <c r="J515">
        <v>93</v>
      </c>
      <c r="K515">
        <v>69</v>
      </c>
      <c r="L515">
        <v>785</v>
      </c>
      <c r="M515" s="38">
        <v>5669</v>
      </c>
      <c r="N515" s="38">
        <v>1461</v>
      </c>
      <c r="O515" s="38">
        <f t="shared" ref="O515:O571" si="554">N515-(P515+Q515+R515)</f>
        <v>972</v>
      </c>
      <c r="P515" s="38">
        <v>302</v>
      </c>
      <c r="Q515" s="38">
        <v>19</v>
      </c>
      <c r="R515" s="38">
        <v>168</v>
      </c>
      <c r="S515" s="38">
        <v>571</v>
      </c>
      <c r="T515" s="38">
        <v>53</v>
      </c>
      <c r="U515" s="38">
        <f t="shared" ref="U515:U571" si="555">M515-(N515+S515+T515)</f>
        <v>3584</v>
      </c>
      <c r="V515">
        <v>1224</v>
      </c>
      <c r="W515">
        <v>106</v>
      </c>
      <c r="X515">
        <v>31</v>
      </c>
      <c r="Y515">
        <v>36</v>
      </c>
      <c r="Z515">
        <v>668</v>
      </c>
      <c r="AA515">
        <v>610</v>
      </c>
      <c r="AB515">
        <v>3.7</v>
      </c>
      <c r="AC515">
        <v>5</v>
      </c>
      <c r="AD515">
        <v>11</v>
      </c>
      <c r="AE515">
        <v>39</v>
      </c>
      <c r="AF515" s="45">
        <f t="shared" ca="1" si="542"/>
        <v>6458</v>
      </c>
      <c r="AG515" s="45">
        <f t="shared" ref="AG515:AG571" ca="1" si="556">RANDBETWEEN(1300,1700)</f>
        <v>1691</v>
      </c>
      <c r="AH515" s="45">
        <f t="shared" ref="AH515:AH571" ca="1" si="557">AG515-(AI515+AJ515+AK515)</f>
        <v>1241</v>
      </c>
      <c r="AI515" s="45">
        <f t="shared" ref="AI515:AI571" ca="1" si="558">RANDBETWEEN(219,400)</f>
        <v>237</v>
      </c>
      <c r="AJ515" s="45">
        <f t="shared" ref="AJ515:AJ571" ca="1" si="559">RANDBETWEEN(20,50)</f>
        <v>44</v>
      </c>
      <c r="AK515" s="45">
        <f t="shared" ref="AK515:AK571" ca="1" si="560">RANDBETWEEN(130,240)</f>
        <v>169</v>
      </c>
      <c r="AL515" s="45">
        <f t="shared" ref="AL515:AL571" ca="1" si="561">RANDBETWEEN(400,700)</f>
        <v>497</v>
      </c>
      <c r="AM515" s="45">
        <f t="shared" ref="AM515:AM571" ca="1" si="562">RANDBETWEEN(30,90)</f>
        <v>60</v>
      </c>
      <c r="AN515" s="45">
        <f t="shared" ref="AN515:AN571" ca="1" si="563">AF515-(AG515+AL515+AM515)</f>
        <v>4210</v>
      </c>
      <c r="AO515">
        <v>4447</v>
      </c>
      <c r="AP515">
        <v>1384</v>
      </c>
      <c r="AQ515">
        <v>195</v>
      </c>
      <c r="AR515">
        <v>465</v>
      </c>
      <c r="AS515">
        <v>1580</v>
      </c>
      <c r="AT515">
        <v>107</v>
      </c>
      <c r="AU515">
        <v>126</v>
      </c>
      <c r="AV515">
        <v>0.98199999999999998</v>
      </c>
      <c r="AW515" s="1"/>
      <c r="AX515" s="1"/>
      <c r="AY515" s="47">
        <f t="shared" ref="AY515:AY571" si="564">SUM(O$2:O$31)</f>
        <v>29700</v>
      </c>
      <c r="AZ515" s="49">
        <f t="shared" ref="AZ515:AZ571" si="565">SUMIF($B$2:$B$571,$B515,$M$2:$M$571)</f>
        <v>165567</v>
      </c>
      <c r="BA515" s="49">
        <f t="shared" ref="BA515" si="566">SUMIF($B$2:$B$571,$B515,$P$2:$P$571)</f>
        <v>8397</v>
      </c>
      <c r="BB515" s="48">
        <f t="shared" ref="BB515:BB571" si="567">BA515/AZ515</f>
        <v>5.0716628313613218E-2</v>
      </c>
    </row>
    <row r="516" spans="2:54" x14ac:dyDescent="0.2">
      <c r="B516" s="3">
        <v>2017</v>
      </c>
      <c r="C516" t="s">
        <v>48</v>
      </c>
      <c r="D516" t="s">
        <v>49</v>
      </c>
      <c r="E516">
        <v>4</v>
      </c>
      <c r="F516" t="s">
        <v>38</v>
      </c>
      <c r="G516" t="s">
        <v>38</v>
      </c>
      <c r="H516" t="s">
        <v>38</v>
      </c>
      <c r="I516" t="s">
        <v>38</v>
      </c>
      <c r="J516">
        <v>67</v>
      </c>
      <c r="K516">
        <v>95</v>
      </c>
      <c r="L516">
        <v>706</v>
      </c>
      <c r="M516" s="38">
        <v>5513</v>
      </c>
      <c r="N516" s="38">
        <v>1412</v>
      </c>
      <c r="O516" s="38">
        <f t="shared" si="554"/>
        <v>933</v>
      </c>
      <c r="P516" s="38">
        <v>256</v>
      </c>
      <c r="Q516" s="38">
        <v>37</v>
      </c>
      <c r="R516" s="38">
        <v>186</v>
      </c>
      <c r="S516" s="38">
        <v>401</v>
      </c>
      <c r="T516" s="38">
        <v>76</v>
      </c>
      <c r="U516" s="38">
        <f t="shared" si="555"/>
        <v>3624</v>
      </c>
      <c r="V516">
        <v>1397</v>
      </c>
      <c r="W516">
        <v>71</v>
      </c>
      <c r="X516">
        <v>31</v>
      </c>
      <c r="Y516">
        <v>33</v>
      </c>
      <c r="Z516">
        <v>820</v>
      </c>
      <c r="AA516">
        <v>755</v>
      </c>
      <c r="AB516">
        <v>4.78</v>
      </c>
      <c r="AC516">
        <v>0</v>
      </c>
      <c r="AD516">
        <v>3</v>
      </c>
      <c r="AE516">
        <v>25</v>
      </c>
      <c r="AF516" s="45">
        <f t="shared" ca="1" si="542"/>
        <v>6364</v>
      </c>
      <c r="AG516" s="45">
        <f t="shared" ca="1" si="556"/>
        <v>1504</v>
      </c>
      <c r="AH516" s="45">
        <f t="shared" ca="1" si="557"/>
        <v>977</v>
      </c>
      <c r="AI516" s="45">
        <f t="shared" ca="1" si="558"/>
        <v>289</v>
      </c>
      <c r="AJ516" s="45">
        <f t="shared" ca="1" si="559"/>
        <v>37</v>
      </c>
      <c r="AK516" s="45">
        <f t="shared" ca="1" si="560"/>
        <v>201</v>
      </c>
      <c r="AL516" s="45">
        <f t="shared" ca="1" si="561"/>
        <v>581</v>
      </c>
      <c r="AM516" s="45">
        <f t="shared" ca="1" si="562"/>
        <v>86</v>
      </c>
      <c r="AN516" s="45">
        <f t="shared" ca="1" si="563"/>
        <v>4193</v>
      </c>
      <c r="AO516">
        <v>4265</v>
      </c>
      <c r="AP516">
        <v>1384</v>
      </c>
      <c r="AQ516">
        <v>242</v>
      </c>
      <c r="AR516">
        <v>632</v>
      </c>
      <c r="AS516">
        <v>1193</v>
      </c>
      <c r="AT516">
        <v>114</v>
      </c>
      <c r="AU516">
        <v>157</v>
      </c>
      <c r="AV516">
        <v>0.98099999999999998</v>
      </c>
      <c r="AW516" s="1"/>
      <c r="AX516" s="1"/>
      <c r="AY516" s="47">
        <f t="shared" si="564"/>
        <v>29700</v>
      </c>
      <c r="AZ516" s="49">
        <f t="shared" si="565"/>
        <v>165567</v>
      </c>
      <c r="BA516" s="49">
        <f t="shared" ref="BA516" si="568">SUMIF($B$2:$B$571,$B516,$Q$2:$Q$571)</f>
        <v>795</v>
      </c>
      <c r="BB516" s="48">
        <f t="shared" si="567"/>
        <v>4.8016814945007159E-3</v>
      </c>
    </row>
    <row r="517" spans="2:54" x14ac:dyDescent="0.2">
      <c r="B517" s="3">
        <v>2017</v>
      </c>
      <c r="C517" t="s">
        <v>50</v>
      </c>
      <c r="D517" t="s">
        <v>51</v>
      </c>
      <c r="E517">
        <v>1</v>
      </c>
      <c r="F517" t="s">
        <v>43</v>
      </c>
      <c r="G517" t="s">
        <v>38</v>
      </c>
      <c r="H517" t="s">
        <v>38</v>
      </c>
      <c r="I517" t="s">
        <v>38</v>
      </c>
      <c r="J517">
        <v>92</v>
      </c>
      <c r="K517">
        <v>70</v>
      </c>
      <c r="L517">
        <v>822</v>
      </c>
      <c r="M517" s="38">
        <v>5496</v>
      </c>
      <c r="N517" s="38">
        <v>1402</v>
      </c>
      <c r="O517" s="38">
        <f t="shared" si="554"/>
        <v>876</v>
      </c>
      <c r="P517" s="38">
        <v>274</v>
      </c>
      <c r="Q517" s="38">
        <v>29</v>
      </c>
      <c r="R517" s="38">
        <v>223</v>
      </c>
      <c r="S517" s="38">
        <v>622</v>
      </c>
      <c r="T517" s="38">
        <v>82</v>
      </c>
      <c r="U517" s="38">
        <f t="shared" si="555"/>
        <v>3390</v>
      </c>
      <c r="V517">
        <v>1401</v>
      </c>
      <c r="W517">
        <v>62</v>
      </c>
      <c r="X517">
        <v>31</v>
      </c>
      <c r="Y517">
        <v>32</v>
      </c>
      <c r="Z517">
        <v>695</v>
      </c>
      <c r="AA517">
        <v>636</v>
      </c>
      <c r="AB517">
        <v>3.95</v>
      </c>
      <c r="AC517">
        <v>2</v>
      </c>
      <c r="AD517">
        <v>8</v>
      </c>
      <c r="AE517">
        <v>38</v>
      </c>
      <c r="AF517" s="45">
        <f t="shared" ca="1" si="542"/>
        <v>6050</v>
      </c>
      <c r="AG517" s="45">
        <f t="shared" ca="1" si="556"/>
        <v>1503</v>
      </c>
      <c r="AH517" s="45">
        <f t="shared" ca="1" si="557"/>
        <v>1004</v>
      </c>
      <c r="AI517" s="45">
        <f t="shared" ca="1" si="558"/>
        <v>342</v>
      </c>
      <c r="AJ517" s="45">
        <f t="shared" ca="1" si="559"/>
        <v>25</v>
      </c>
      <c r="AK517" s="45">
        <f t="shared" ca="1" si="560"/>
        <v>132</v>
      </c>
      <c r="AL517" s="45">
        <f t="shared" ca="1" si="561"/>
        <v>661</v>
      </c>
      <c r="AM517" s="45">
        <f t="shared" ca="1" si="562"/>
        <v>52</v>
      </c>
      <c r="AN517" s="45">
        <f t="shared" ca="1" si="563"/>
        <v>3834</v>
      </c>
      <c r="AO517">
        <v>4342</v>
      </c>
      <c r="AP517">
        <v>1294</v>
      </c>
      <c r="AQ517">
        <v>194</v>
      </c>
      <c r="AR517">
        <v>554</v>
      </c>
      <c r="AS517">
        <v>1439</v>
      </c>
      <c r="AT517">
        <v>95</v>
      </c>
      <c r="AU517">
        <v>139</v>
      </c>
      <c r="AV517">
        <v>0.98399999999999999</v>
      </c>
      <c r="AW517" s="1"/>
      <c r="AX517" s="1"/>
      <c r="AY517" s="47">
        <f t="shared" si="564"/>
        <v>29700</v>
      </c>
      <c r="AZ517" s="49">
        <f t="shared" si="565"/>
        <v>165567</v>
      </c>
      <c r="BA517" s="49">
        <f t="shared" ref="BA517" si="569">SUMIF($B$2:$B$571,$B517,$R$2:$R$571)</f>
        <v>6105</v>
      </c>
      <c r="BB517" s="48">
        <f t="shared" si="567"/>
        <v>3.6873289967203612E-2</v>
      </c>
    </row>
    <row r="518" spans="2:54" x14ac:dyDescent="0.2">
      <c r="B518" s="3">
        <v>2017</v>
      </c>
      <c r="C518" t="s">
        <v>52</v>
      </c>
      <c r="D518" t="s">
        <v>53</v>
      </c>
      <c r="E518">
        <v>5</v>
      </c>
      <c r="F518" t="s">
        <v>38</v>
      </c>
      <c r="G518" t="s">
        <v>38</v>
      </c>
      <c r="H518" t="s">
        <v>38</v>
      </c>
      <c r="I518" t="s">
        <v>38</v>
      </c>
      <c r="J518">
        <v>68</v>
      </c>
      <c r="K518">
        <v>94</v>
      </c>
      <c r="L518">
        <v>753</v>
      </c>
      <c r="M518" s="38">
        <v>5484</v>
      </c>
      <c r="N518" s="38">
        <v>1390</v>
      </c>
      <c r="O518" s="38">
        <f t="shared" si="554"/>
        <v>884</v>
      </c>
      <c r="P518" s="38">
        <v>249</v>
      </c>
      <c r="Q518" s="38">
        <v>38</v>
      </c>
      <c r="R518" s="38">
        <v>219</v>
      </c>
      <c r="S518" s="38">
        <v>565</v>
      </c>
      <c r="T518" s="38">
        <v>72</v>
      </c>
      <c r="U518" s="38">
        <f t="shared" si="555"/>
        <v>3457</v>
      </c>
      <c r="V518">
        <v>1329</v>
      </c>
      <c r="W518">
        <v>120</v>
      </c>
      <c r="X518">
        <v>39</v>
      </c>
      <c r="Y518">
        <v>42</v>
      </c>
      <c r="Z518">
        <v>869</v>
      </c>
      <c r="AA518">
        <v>821</v>
      </c>
      <c r="AB518">
        <v>5.17</v>
      </c>
      <c r="AC518">
        <v>2</v>
      </c>
      <c r="AD518">
        <v>8</v>
      </c>
      <c r="AE518">
        <v>33</v>
      </c>
      <c r="AF518" s="45">
        <f t="shared" ca="1" si="542"/>
        <v>6298</v>
      </c>
      <c r="AG518" s="45">
        <f t="shared" ca="1" si="556"/>
        <v>1610</v>
      </c>
      <c r="AH518" s="45">
        <f t="shared" ca="1" si="557"/>
        <v>1119</v>
      </c>
      <c r="AI518" s="45">
        <f t="shared" ca="1" si="558"/>
        <v>304</v>
      </c>
      <c r="AJ518" s="45">
        <f t="shared" ca="1" si="559"/>
        <v>26</v>
      </c>
      <c r="AK518" s="45">
        <f t="shared" ca="1" si="560"/>
        <v>161</v>
      </c>
      <c r="AL518" s="45">
        <f t="shared" ca="1" si="561"/>
        <v>612</v>
      </c>
      <c r="AM518" s="45">
        <f t="shared" ca="1" si="562"/>
        <v>63</v>
      </c>
      <c r="AN518" s="45">
        <f t="shared" ca="1" si="563"/>
        <v>4013</v>
      </c>
      <c r="AO518">
        <v>4290</v>
      </c>
      <c r="AP518">
        <v>1442</v>
      </c>
      <c r="AQ518">
        <v>248</v>
      </c>
      <c r="AR518">
        <v>631</v>
      </c>
      <c r="AS518">
        <v>1300</v>
      </c>
      <c r="AT518">
        <v>81</v>
      </c>
      <c r="AU518">
        <v>132</v>
      </c>
      <c r="AV518">
        <v>0.98599999999999999</v>
      </c>
      <c r="AW518" s="1"/>
      <c r="AX518" s="1"/>
      <c r="AY518" s="47">
        <f t="shared" si="564"/>
        <v>29700</v>
      </c>
      <c r="AZ518" s="49">
        <f t="shared" si="565"/>
        <v>165567</v>
      </c>
      <c r="BA518" s="49">
        <f t="shared" ref="BA518" si="570">SUMIF($B$2:$B$571,$B518,$S$2:$S$571)</f>
        <v>15829</v>
      </c>
      <c r="BB518" s="48">
        <f t="shared" si="567"/>
        <v>9.5604800473524307E-2</v>
      </c>
    </row>
    <row r="519" spans="2:54" x14ac:dyDescent="0.2">
      <c r="B519" s="3">
        <v>2017</v>
      </c>
      <c r="C519" t="s">
        <v>54</v>
      </c>
      <c r="D519" t="s">
        <v>55</v>
      </c>
      <c r="E519">
        <v>1</v>
      </c>
      <c r="F519" t="s">
        <v>43</v>
      </c>
      <c r="G519" t="s">
        <v>38</v>
      </c>
      <c r="H519" t="s">
        <v>38</v>
      </c>
      <c r="I519" t="s">
        <v>38</v>
      </c>
      <c r="J519">
        <v>102</v>
      </c>
      <c r="K519">
        <v>60</v>
      </c>
      <c r="L519">
        <v>818</v>
      </c>
      <c r="M519" s="38">
        <v>5511</v>
      </c>
      <c r="N519" s="38">
        <v>1449</v>
      </c>
      <c r="O519" s="38">
        <f t="shared" si="554"/>
        <v>875</v>
      </c>
      <c r="P519" s="38">
        <v>333</v>
      </c>
      <c r="Q519" s="38">
        <v>29</v>
      </c>
      <c r="R519" s="38">
        <v>212</v>
      </c>
      <c r="S519" s="38">
        <v>604</v>
      </c>
      <c r="T519" s="38">
        <v>50</v>
      </c>
      <c r="U519" s="38">
        <f t="shared" si="555"/>
        <v>3408</v>
      </c>
      <c r="V519">
        <v>1153</v>
      </c>
      <c r="W519">
        <v>88</v>
      </c>
      <c r="X519">
        <v>23</v>
      </c>
      <c r="Y519">
        <v>45</v>
      </c>
      <c r="Z519">
        <v>564</v>
      </c>
      <c r="AA519">
        <v>529</v>
      </c>
      <c r="AB519">
        <v>3.3</v>
      </c>
      <c r="AC519">
        <v>7</v>
      </c>
      <c r="AD519">
        <v>19</v>
      </c>
      <c r="AE519">
        <v>37</v>
      </c>
      <c r="AF519" s="45">
        <f t="shared" ca="1" si="542"/>
        <v>6318</v>
      </c>
      <c r="AG519" s="45">
        <f t="shared" ca="1" si="556"/>
        <v>1609</v>
      </c>
      <c r="AH519" s="45">
        <f t="shared" ca="1" si="557"/>
        <v>1141</v>
      </c>
      <c r="AI519" s="45">
        <f t="shared" ca="1" si="558"/>
        <v>252</v>
      </c>
      <c r="AJ519" s="45">
        <f t="shared" ca="1" si="559"/>
        <v>23</v>
      </c>
      <c r="AK519" s="45">
        <f t="shared" ca="1" si="560"/>
        <v>193</v>
      </c>
      <c r="AL519" s="45">
        <f t="shared" ca="1" si="561"/>
        <v>667</v>
      </c>
      <c r="AM519" s="45">
        <f t="shared" ca="1" si="562"/>
        <v>32</v>
      </c>
      <c r="AN519" s="45">
        <f t="shared" ca="1" si="563"/>
        <v>4010</v>
      </c>
      <c r="AO519">
        <v>4322</v>
      </c>
      <c r="AP519">
        <v>1267</v>
      </c>
      <c r="AQ519">
        <v>163</v>
      </c>
      <c r="AR519">
        <v>406</v>
      </c>
      <c r="AS519">
        <v>1614</v>
      </c>
      <c r="AT519">
        <v>76</v>
      </c>
      <c r="AU519">
        <v>167</v>
      </c>
      <c r="AV519">
        <v>0.98699999999999999</v>
      </c>
      <c r="AW519" s="1"/>
      <c r="AX519" s="1"/>
      <c r="AY519" s="47">
        <f t="shared" si="564"/>
        <v>29700</v>
      </c>
      <c r="AZ519" s="49">
        <f t="shared" si="565"/>
        <v>165567</v>
      </c>
      <c r="BA519" s="49">
        <f t="shared" ref="BA519" si="571">SUMIF($B$2:$B$571,$B519,$T$2:$T$571)</f>
        <v>1763</v>
      </c>
      <c r="BB519" s="48">
        <f t="shared" si="567"/>
        <v>1.0648257201012279E-2</v>
      </c>
    </row>
    <row r="520" spans="2:54" x14ac:dyDescent="0.2">
      <c r="B520" s="3">
        <v>2017</v>
      </c>
      <c r="C520" t="s">
        <v>56</v>
      </c>
      <c r="D520" t="s">
        <v>57</v>
      </c>
      <c r="E520">
        <v>3</v>
      </c>
      <c r="F520" t="s">
        <v>38</v>
      </c>
      <c r="G520" t="s">
        <v>43</v>
      </c>
      <c r="H520" t="s">
        <v>38</v>
      </c>
      <c r="I520" t="s">
        <v>38</v>
      </c>
      <c r="J520">
        <v>87</v>
      </c>
      <c r="K520">
        <v>75</v>
      </c>
      <c r="L520">
        <v>824</v>
      </c>
      <c r="M520" s="38">
        <v>5534</v>
      </c>
      <c r="N520" s="38">
        <v>1510</v>
      </c>
      <c r="O520" s="38">
        <f t="shared" si="554"/>
        <v>987</v>
      </c>
      <c r="P520" s="38">
        <v>293</v>
      </c>
      <c r="Q520" s="38">
        <v>38</v>
      </c>
      <c r="R520" s="38">
        <v>192</v>
      </c>
      <c r="S520" s="38">
        <v>519</v>
      </c>
      <c r="T520" s="38">
        <v>44</v>
      </c>
      <c r="U520" s="38">
        <f t="shared" si="555"/>
        <v>3461</v>
      </c>
      <c r="V520">
        <v>1408</v>
      </c>
      <c r="W520">
        <v>59</v>
      </c>
      <c r="X520">
        <v>34</v>
      </c>
      <c r="Y520">
        <v>41</v>
      </c>
      <c r="Z520">
        <v>757</v>
      </c>
      <c r="AA520">
        <v>721</v>
      </c>
      <c r="AB520">
        <v>4.51</v>
      </c>
      <c r="AC520">
        <v>1</v>
      </c>
      <c r="AD520">
        <v>9</v>
      </c>
      <c r="AE520">
        <v>47</v>
      </c>
      <c r="AF520" s="45">
        <f t="shared" ca="1" si="542"/>
        <v>6265</v>
      </c>
      <c r="AG520" s="45">
        <f t="shared" ca="1" si="556"/>
        <v>1342</v>
      </c>
      <c r="AH520" s="45">
        <f t="shared" ca="1" si="557"/>
        <v>831</v>
      </c>
      <c r="AI520" s="45">
        <f t="shared" ca="1" si="558"/>
        <v>306</v>
      </c>
      <c r="AJ520" s="45">
        <f t="shared" ca="1" si="559"/>
        <v>42</v>
      </c>
      <c r="AK520" s="45">
        <f t="shared" ca="1" si="560"/>
        <v>163</v>
      </c>
      <c r="AL520" s="45">
        <f t="shared" ca="1" si="561"/>
        <v>677</v>
      </c>
      <c r="AM520" s="45">
        <f t="shared" ca="1" si="562"/>
        <v>49</v>
      </c>
      <c r="AN520" s="45">
        <f t="shared" ca="1" si="563"/>
        <v>4197</v>
      </c>
      <c r="AO520">
        <v>4313</v>
      </c>
      <c r="AP520">
        <v>1453</v>
      </c>
      <c r="AQ520">
        <v>190</v>
      </c>
      <c r="AR520">
        <v>532</v>
      </c>
      <c r="AS520">
        <v>1270</v>
      </c>
      <c r="AT520">
        <v>77</v>
      </c>
      <c r="AU520">
        <v>168</v>
      </c>
      <c r="AV520">
        <v>0.98699999999999999</v>
      </c>
      <c r="AW520" s="1"/>
      <c r="AX520" s="1"/>
      <c r="AY520" s="47">
        <f t="shared" si="564"/>
        <v>29700</v>
      </c>
      <c r="AZ520" s="49">
        <f t="shared" si="565"/>
        <v>165567</v>
      </c>
      <c r="BA520" s="49">
        <f t="shared" ref="BA520" si="572">SUMIF($B$2:$B$571,$B520,$U$2:$U$571)</f>
        <v>105760</v>
      </c>
      <c r="BB520" s="48">
        <f t="shared" si="567"/>
        <v>0.63877463504200716</v>
      </c>
    </row>
    <row r="521" spans="2:54" x14ac:dyDescent="0.2">
      <c r="B521" s="3">
        <v>2017</v>
      </c>
      <c r="C521" t="s">
        <v>58</v>
      </c>
      <c r="D521" t="s">
        <v>59</v>
      </c>
      <c r="E521">
        <v>5</v>
      </c>
      <c r="F521" t="s">
        <v>38</v>
      </c>
      <c r="G521" t="s">
        <v>38</v>
      </c>
      <c r="H521" t="s">
        <v>38</v>
      </c>
      <c r="I521" t="s">
        <v>38</v>
      </c>
      <c r="J521">
        <v>64</v>
      </c>
      <c r="K521">
        <v>98</v>
      </c>
      <c r="L521">
        <v>735</v>
      </c>
      <c r="M521" s="38">
        <v>5556</v>
      </c>
      <c r="N521" s="38">
        <v>1435</v>
      </c>
      <c r="O521" s="38">
        <f t="shared" si="554"/>
        <v>924</v>
      </c>
      <c r="P521" s="38">
        <v>289</v>
      </c>
      <c r="Q521" s="38">
        <v>35</v>
      </c>
      <c r="R521" s="38">
        <v>187</v>
      </c>
      <c r="S521" s="38">
        <v>503</v>
      </c>
      <c r="T521" s="38">
        <v>52</v>
      </c>
      <c r="U521" s="38">
        <f t="shared" si="555"/>
        <v>3566</v>
      </c>
      <c r="V521">
        <v>1313</v>
      </c>
      <c r="W521">
        <v>65</v>
      </c>
      <c r="X521">
        <v>34</v>
      </c>
      <c r="Y521">
        <v>27</v>
      </c>
      <c r="Z521">
        <v>894</v>
      </c>
      <c r="AA521">
        <v>846</v>
      </c>
      <c r="AB521">
        <v>5.36</v>
      </c>
      <c r="AC521">
        <v>2</v>
      </c>
      <c r="AD521">
        <v>4</v>
      </c>
      <c r="AE521">
        <v>32</v>
      </c>
      <c r="AF521" s="45">
        <f t="shared" ca="1" si="542"/>
        <v>6348</v>
      </c>
      <c r="AG521" s="45">
        <f t="shared" ca="1" si="556"/>
        <v>1555</v>
      </c>
      <c r="AH521" s="45">
        <f t="shared" ca="1" si="557"/>
        <v>1008</v>
      </c>
      <c r="AI521" s="45">
        <f t="shared" ca="1" si="558"/>
        <v>364</v>
      </c>
      <c r="AJ521" s="45">
        <f t="shared" ca="1" si="559"/>
        <v>42</v>
      </c>
      <c r="AK521" s="45">
        <f t="shared" ca="1" si="560"/>
        <v>141</v>
      </c>
      <c r="AL521" s="45">
        <f t="shared" ca="1" si="561"/>
        <v>565</v>
      </c>
      <c r="AM521" s="45">
        <f t="shared" ca="1" si="562"/>
        <v>54</v>
      </c>
      <c r="AN521" s="45">
        <f t="shared" ca="1" si="563"/>
        <v>4174</v>
      </c>
      <c r="AO521">
        <v>4261</v>
      </c>
      <c r="AP521">
        <v>1587</v>
      </c>
      <c r="AQ521">
        <v>218</v>
      </c>
      <c r="AR521">
        <v>538</v>
      </c>
      <c r="AS521">
        <v>1202</v>
      </c>
      <c r="AT521">
        <v>84</v>
      </c>
      <c r="AU521">
        <v>146</v>
      </c>
      <c r="AV521">
        <v>0.98499999999999999</v>
      </c>
      <c r="AW521" s="1"/>
      <c r="AX521" s="1"/>
      <c r="AY521" s="47">
        <f t="shared" si="564"/>
        <v>29700</v>
      </c>
      <c r="AZ521" s="49">
        <f t="shared" si="565"/>
        <v>165567</v>
      </c>
      <c r="BA521" s="49"/>
      <c r="BB521" s="48">
        <f t="shared" si="567"/>
        <v>0</v>
      </c>
    </row>
    <row r="522" spans="2:54" x14ac:dyDescent="0.2">
      <c r="B522" s="3">
        <v>2017</v>
      </c>
      <c r="C522" t="s">
        <v>62</v>
      </c>
      <c r="D522" t="s">
        <v>63</v>
      </c>
      <c r="E522">
        <v>1</v>
      </c>
      <c r="F522" t="s">
        <v>43</v>
      </c>
      <c r="G522" t="s">
        <v>38</v>
      </c>
      <c r="H522" t="s">
        <v>43</v>
      </c>
      <c r="I522" t="s">
        <v>43</v>
      </c>
      <c r="J522">
        <v>101</v>
      </c>
      <c r="K522">
        <v>61</v>
      </c>
      <c r="L522">
        <v>896</v>
      </c>
      <c r="M522" s="38">
        <v>5611</v>
      </c>
      <c r="N522" s="38">
        <v>1581</v>
      </c>
      <c r="O522" s="38">
        <f t="shared" si="554"/>
        <v>977</v>
      </c>
      <c r="P522" s="38">
        <v>346</v>
      </c>
      <c r="Q522" s="38">
        <v>20</v>
      </c>
      <c r="R522" s="38">
        <v>238</v>
      </c>
      <c r="S522" s="38">
        <v>509</v>
      </c>
      <c r="T522" s="38">
        <v>70</v>
      </c>
      <c r="U522" s="38">
        <f t="shared" si="555"/>
        <v>3451</v>
      </c>
      <c r="V522">
        <v>1087</v>
      </c>
      <c r="W522">
        <v>98</v>
      </c>
      <c r="X522">
        <v>42</v>
      </c>
      <c r="Y522">
        <v>61</v>
      </c>
      <c r="Z522">
        <v>700</v>
      </c>
      <c r="AA522">
        <v>662</v>
      </c>
      <c r="AB522">
        <v>4.12</v>
      </c>
      <c r="AC522">
        <v>1</v>
      </c>
      <c r="AD522">
        <v>9</v>
      </c>
      <c r="AE522">
        <v>45</v>
      </c>
      <c r="AF522" s="45">
        <f t="shared" ca="1" si="542"/>
        <v>6184</v>
      </c>
      <c r="AG522" s="45">
        <f t="shared" ca="1" si="556"/>
        <v>1626</v>
      </c>
      <c r="AH522" s="45">
        <f t="shared" ca="1" si="557"/>
        <v>1126</v>
      </c>
      <c r="AI522" s="45">
        <f t="shared" ca="1" si="558"/>
        <v>271</v>
      </c>
      <c r="AJ522" s="45">
        <f t="shared" ca="1" si="559"/>
        <v>36</v>
      </c>
      <c r="AK522" s="45">
        <f t="shared" ca="1" si="560"/>
        <v>193</v>
      </c>
      <c r="AL522" s="45">
        <f t="shared" ca="1" si="561"/>
        <v>669</v>
      </c>
      <c r="AM522" s="45">
        <f t="shared" ca="1" si="562"/>
        <v>82</v>
      </c>
      <c r="AN522" s="45">
        <f t="shared" ca="1" si="563"/>
        <v>3807</v>
      </c>
      <c r="AO522">
        <v>4338</v>
      </c>
      <c r="AP522">
        <v>1314</v>
      </c>
      <c r="AQ522">
        <v>192</v>
      </c>
      <c r="AR522">
        <v>522</v>
      </c>
      <c r="AS522">
        <v>1593</v>
      </c>
      <c r="AT522">
        <v>99</v>
      </c>
      <c r="AU522">
        <v>153</v>
      </c>
      <c r="AV522">
        <v>0.98299999999999998</v>
      </c>
      <c r="AW522" s="1"/>
      <c r="AX522" s="1"/>
      <c r="AY522" s="47">
        <f t="shared" si="564"/>
        <v>29700</v>
      </c>
      <c r="AZ522" s="49">
        <f t="shared" si="565"/>
        <v>165567</v>
      </c>
      <c r="BA522" s="49">
        <f t="shared" ref="BA522" si="573">SUMIF($B$2:$B$571,$B522,$O$2:$O$571)</f>
        <v>26918</v>
      </c>
      <c r="BB522" s="48">
        <f t="shared" si="567"/>
        <v>0.16258070750813869</v>
      </c>
    </row>
    <row r="523" spans="2:54" x14ac:dyDescent="0.2">
      <c r="B523" s="3">
        <v>2017</v>
      </c>
      <c r="C523" t="s">
        <v>64</v>
      </c>
      <c r="D523" t="s">
        <v>65</v>
      </c>
      <c r="E523">
        <v>3</v>
      </c>
      <c r="F523" t="s">
        <v>38</v>
      </c>
      <c r="G523" t="s">
        <v>38</v>
      </c>
      <c r="H523" t="s">
        <v>38</v>
      </c>
      <c r="I523" t="s">
        <v>38</v>
      </c>
      <c r="J523">
        <v>80</v>
      </c>
      <c r="K523">
        <v>82</v>
      </c>
      <c r="L523">
        <v>702</v>
      </c>
      <c r="M523" s="38">
        <v>5536</v>
      </c>
      <c r="N523" s="38">
        <v>1436</v>
      </c>
      <c r="O523" s="38">
        <f t="shared" si="554"/>
        <v>959</v>
      </c>
      <c r="P523" s="38">
        <v>260</v>
      </c>
      <c r="Q523" s="38">
        <v>24</v>
      </c>
      <c r="R523" s="38">
        <v>193</v>
      </c>
      <c r="S523" s="38">
        <v>390</v>
      </c>
      <c r="T523" s="38">
        <v>45</v>
      </c>
      <c r="U523" s="38">
        <f t="shared" si="555"/>
        <v>3665</v>
      </c>
      <c r="V523">
        <v>1166</v>
      </c>
      <c r="W523">
        <v>91</v>
      </c>
      <c r="X523">
        <v>31</v>
      </c>
      <c r="Y523">
        <v>37</v>
      </c>
      <c r="Z523">
        <v>791</v>
      </c>
      <c r="AA523">
        <v>737</v>
      </c>
      <c r="AB523">
        <v>4.6100000000000003</v>
      </c>
      <c r="AC523">
        <v>1</v>
      </c>
      <c r="AD523">
        <v>6</v>
      </c>
      <c r="AE523">
        <v>39</v>
      </c>
      <c r="AF523" s="45">
        <f t="shared" ca="1" si="542"/>
        <v>6091</v>
      </c>
      <c r="AG523" s="45">
        <f t="shared" ca="1" si="556"/>
        <v>1506</v>
      </c>
      <c r="AH523" s="45">
        <f t="shared" ca="1" si="557"/>
        <v>1059</v>
      </c>
      <c r="AI523" s="45">
        <f t="shared" ca="1" si="558"/>
        <v>257</v>
      </c>
      <c r="AJ523" s="45">
        <f t="shared" ca="1" si="559"/>
        <v>34</v>
      </c>
      <c r="AK523" s="45">
        <f t="shared" ca="1" si="560"/>
        <v>156</v>
      </c>
      <c r="AL523" s="45">
        <f t="shared" ca="1" si="561"/>
        <v>624</v>
      </c>
      <c r="AM523" s="45">
        <f t="shared" ca="1" si="562"/>
        <v>31</v>
      </c>
      <c r="AN523" s="45">
        <f t="shared" ca="1" si="563"/>
        <v>3930</v>
      </c>
      <c r="AO523">
        <v>4313</v>
      </c>
      <c r="AP523">
        <v>1480</v>
      </c>
      <c r="AQ523">
        <v>196</v>
      </c>
      <c r="AR523">
        <v>519</v>
      </c>
      <c r="AS523">
        <v>1216</v>
      </c>
      <c r="AT523">
        <v>79</v>
      </c>
      <c r="AU523">
        <v>145</v>
      </c>
      <c r="AV523">
        <v>0.98699999999999999</v>
      </c>
      <c r="AW523" s="1"/>
      <c r="AX523" s="1"/>
      <c r="AY523" s="47">
        <f t="shared" si="564"/>
        <v>29700</v>
      </c>
      <c r="AZ523" s="49">
        <f t="shared" si="565"/>
        <v>165567</v>
      </c>
      <c r="BA523" s="49">
        <f t="shared" ref="BA523" si="574">SUMIF($B$2:$B$571,$B523,$P$2:$P$571)</f>
        <v>8397</v>
      </c>
      <c r="BB523" s="48">
        <f t="shared" si="567"/>
        <v>5.0716628313613218E-2</v>
      </c>
    </row>
    <row r="524" spans="2:54" x14ac:dyDescent="0.2">
      <c r="B524" s="3">
        <v>2017</v>
      </c>
      <c r="C524" t="s">
        <v>98</v>
      </c>
      <c r="D524" t="s">
        <v>99</v>
      </c>
      <c r="E524">
        <v>2</v>
      </c>
      <c r="F524" t="s">
        <v>38</v>
      </c>
      <c r="G524" t="s">
        <v>38</v>
      </c>
      <c r="H524" t="s">
        <v>38</v>
      </c>
      <c r="I524" t="s">
        <v>38</v>
      </c>
      <c r="J524">
        <v>80</v>
      </c>
      <c r="K524">
        <v>82</v>
      </c>
      <c r="L524">
        <v>710</v>
      </c>
      <c r="M524" s="38">
        <v>5415</v>
      </c>
      <c r="N524" s="38">
        <v>1314</v>
      </c>
      <c r="O524" s="38">
        <f t="shared" si="554"/>
        <v>863</v>
      </c>
      <c r="P524" s="38">
        <v>251</v>
      </c>
      <c r="Q524" s="38">
        <v>14</v>
      </c>
      <c r="R524" s="38">
        <v>186</v>
      </c>
      <c r="S524" s="38">
        <v>523</v>
      </c>
      <c r="T524" s="38">
        <v>70</v>
      </c>
      <c r="U524" s="38">
        <f t="shared" si="555"/>
        <v>3508</v>
      </c>
      <c r="V524">
        <v>1198</v>
      </c>
      <c r="W524">
        <v>136</v>
      </c>
      <c r="X524">
        <v>44</v>
      </c>
      <c r="Y524">
        <v>46</v>
      </c>
      <c r="Z524">
        <v>709</v>
      </c>
      <c r="AA524">
        <v>672</v>
      </c>
      <c r="AB524">
        <v>4.2</v>
      </c>
      <c r="AC524">
        <v>1</v>
      </c>
      <c r="AD524">
        <v>10</v>
      </c>
      <c r="AE524">
        <v>43</v>
      </c>
      <c r="AF524" s="45">
        <f t="shared" ca="1" si="542"/>
        <v>6469</v>
      </c>
      <c r="AG524" s="45">
        <f t="shared" ca="1" si="556"/>
        <v>1544</v>
      </c>
      <c r="AH524" s="45">
        <f t="shared" ca="1" si="557"/>
        <v>1044</v>
      </c>
      <c r="AI524" s="45">
        <f t="shared" ca="1" si="558"/>
        <v>231</v>
      </c>
      <c r="AJ524" s="45">
        <f t="shared" ca="1" si="559"/>
        <v>42</v>
      </c>
      <c r="AK524" s="45">
        <f t="shared" ca="1" si="560"/>
        <v>227</v>
      </c>
      <c r="AL524" s="45">
        <f t="shared" ca="1" si="561"/>
        <v>685</v>
      </c>
      <c r="AM524" s="45">
        <f t="shared" ca="1" si="562"/>
        <v>71</v>
      </c>
      <c r="AN524" s="45">
        <f t="shared" ca="1" si="563"/>
        <v>4169</v>
      </c>
      <c r="AO524">
        <v>4322</v>
      </c>
      <c r="AP524">
        <v>1373</v>
      </c>
      <c r="AQ524">
        <v>224</v>
      </c>
      <c r="AR524">
        <v>470</v>
      </c>
      <c r="AS524">
        <v>1312</v>
      </c>
      <c r="AT524">
        <v>80</v>
      </c>
      <c r="AU524">
        <v>135</v>
      </c>
      <c r="AV524">
        <v>0.98599999999999999</v>
      </c>
      <c r="AW524" s="1"/>
      <c r="AX524" s="1"/>
      <c r="AY524" s="47">
        <f t="shared" si="564"/>
        <v>29700</v>
      </c>
      <c r="AZ524" s="49">
        <f t="shared" si="565"/>
        <v>165567</v>
      </c>
      <c r="BA524" s="49">
        <f t="shared" ref="BA524" si="575">SUMIF($B$2:$B$571,$B524,$Q$2:$Q$571)</f>
        <v>795</v>
      </c>
      <c r="BB524" s="48">
        <f t="shared" si="567"/>
        <v>4.8016814945007159E-3</v>
      </c>
    </row>
    <row r="525" spans="2:54" x14ac:dyDescent="0.2">
      <c r="B525" s="3">
        <v>2017</v>
      </c>
      <c r="C525" t="s">
        <v>66</v>
      </c>
      <c r="D525" t="s">
        <v>67</v>
      </c>
      <c r="E525">
        <v>1</v>
      </c>
      <c r="F525" t="s">
        <v>43</v>
      </c>
      <c r="G525" t="s">
        <v>38</v>
      </c>
      <c r="H525" t="s">
        <v>43</v>
      </c>
      <c r="I525" t="s">
        <v>38</v>
      </c>
      <c r="J525">
        <v>104</v>
      </c>
      <c r="K525">
        <v>58</v>
      </c>
      <c r="L525">
        <v>770</v>
      </c>
      <c r="M525" s="38">
        <v>5408</v>
      </c>
      <c r="N525" s="38">
        <v>1347</v>
      </c>
      <c r="O525" s="38">
        <f t="shared" si="554"/>
        <v>794</v>
      </c>
      <c r="P525" s="38">
        <v>312</v>
      </c>
      <c r="Q525" s="38">
        <v>20</v>
      </c>
      <c r="R525" s="38">
        <v>221</v>
      </c>
      <c r="S525" s="38">
        <v>649</v>
      </c>
      <c r="T525" s="38">
        <v>64</v>
      </c>
      <c r="U525" s="38">
        <f t="shared" si="555"/>
        <v>3348</v>
      </c>
      <c r="V525">
        <v>1380</v>
      </c>
      <c r="W525">
        <v>77</v>
      </c>
      <c r="X525">
        <v>28</v>
      </c>
      <c r="Y525">
        <v>38</v>
      </c>
      <c r="Z525">
        <v>580</v>
      </c>
      <c r="AA525">
        <v>543</v>
      </c>
      <c r="AB525">
        <v>3.38</v>
      </c>
      <c r="AC525">
        <v>2</v>
      </c>
      <c r="AD525">
        <v>16</v>
      </c>
      <c r="AE525">
        <v>51</v>
      </c>
      <c r="AF525" s="45">
        <f t="shared" ca="1" si="542"/>
        <v>6489</v>
      </c>
      <c r="AG525" s="45">
        <f t="shared" ca="1" si="556"/>
        <v>1483</v>
      </c>
      <c r="AH525" s="45">
        <f t="shared" ca="1" si="557"/>
        <v>888</v>
      </c>
      <c r="AI525" s="45">
        <f t="shared" ca="1" si="558"/>
        <v>323</v>
      </c>
      <c r="AJ525" s="45">
        <f t="shared" ca="1" si="559"/>
        <v>42</v>
      </c>
      <c r="AK525" s="45">
        <f t="shared" ca="1" si="560"/>
        <v>230</v>
      </c>
      <c r="AL525" s="45">
        <f t="shared" ca="1" si="561"/>
        <v>426</v>
      </c>
      <c r="AM525" s="45">
        <f t="shared" ca="1" si="562"/>
        <v>80</v>
      </c>
      <c r="AN525" s="45">
        <f t="shared" ca="1" si="563"/>
        <v>4500</v>
      </c>
      <c r="AO525">
        <v>4334</v>
      </c>
      <c r="AP525">
        <v>1226</v>
      </c>
      <c r="AQ525">
        <v>184</v>
      </c>
      <c r="AR525">
        <v>442</v>
      </c>
      <c r="AS525">
        <v>1549</v>
      </c>
      <c r="AT525">
        <v>88</v>
      </c>
      <c r="AU525">
        <v>131</v>
      </c>
      <c r="AV525">
        <v>0.98499999999999999</v>
      </c>
      <c r="AW525" s="1"/>
      <c r="AX525" s="1"/>
      <c r="AY525" s="47">
        <f t="shared" si="564"/>
        <v>29700</v>
      </c>
      <c r="AZ525" s="49">
        <f t="shared" si="565"/>
        <v>165567</v>
      </c>
      <c r="BA525" s="49">
        <f t="shared" ref="BA525" si="576">SUMIF($B$2:$B$571,$B525,$R$2:$R$571)</f>
        <v>6105</v>
      </c>
      <c r="BB525" s="48">
        <f t="shared" si="567"/>
        <v>3.6873289967203612E-2</v>
      </c>
    </row>
    <row r="526" spans="2:54" x14ac:dyDescent="0.2">
      <c r="B526" s="3">
        <v>2017</v>
      </c>
      <c r="C526" t="s">
        <v>103</v>
      </c>
      <c r="D526" t="s">
        <v>104</v>
      </c>
      <c r="E526">
        <v>2</v>
      </c>
      <c r="F526" t="s">
        <v>38</v>
      </c>
      <c r="G526" t="s">
        <v>38</v>
      </c>
      <c r="H526" t="s">
        <v>38</v>
      </c>
      <c r="I526" t="s">
        <v>38</v>
      </c>
      <c r="J526">
        <v>77</v>
      </c>
      <c r="K526">
        <v>85</v>
      </c>
      <c r="L526">
        <v>778</v>
      </c>
      <c r="M526" s="38">
        <v>5602</v>
      </c>
      <c r="N526" s="38">
        <v>1497</v>
      </c>
      <c r="O526" s="38">
        <f t="shared" si="554"/>
        <v>1001</v>
      </c>
      <c r="P526" s="38">
        <v>271</v>
      </c>
      <c r="Q526" s="38">
        <v>31</v>
      </c>
      <c r="R526" s="38">
        <v>194</v>
      </c>
      <c r="S526" s="38">
        <v>486</v>
      </c>
      <c r="T526" s="38">
        <v>67</v>
      </c>
      <c r="U526" s="38">
        <f t="shared" si="555"/>
        <v>3552</v>
      </c>
      <c r="V526">
        <v>1282</v>
      </c>
      <c r="W526">
        <v>91</v>
      </c>
      <c r="X526">
        <v>30</v>
      </c>
      <c r="Y526">
        <v>41</v>
      </c>
      <c r="Z526">
        <v>822</v>
      </c>
      <c r="AA526">
        <v>772</v>
      </c>
      <c r="AB526">
        <v>4.82</v>
      </c>
      <c r="AC526">
        <v>1</v>
      </c>
      <c r="AD526">
        <v>7</v>
      </c>
      <c r="AE526">
        <v>34</v>
      </c>
      <c r="AF526" s="45">
        <f t="shared" ca="1" si="542"/>
        <v>6316</v>
      </c>
      <c r="AG526" s="45">
        <f t="shared" ca="1" si="556"/>
        <v>1364</v>
      </c>
      <c r="AH526" s="45">
        <f t="shared" ca="1" si="557"/>
        <v>817</v>
      </c>
      <c r="AI526" s="45">
        <f t="shared" ca="1" si="558"/>
        <v>314</v>
      </c>
      <c r="AJ526" s="45">
        <f t="shared" ca="1" si="559"/>
        <v>21</v>
      </c>
      <c r="AK526" s="45">
        <f t="shared" ca="1" si="560"/>
        <v>212</v>
      </c>
      <c r="AL526" s="45">
        <f t="shared" ca="1" si="561"/>
        <v>466</v>
      </c>
      <c r="AM526" s="45">
        <f t="shared" ca="1" si="562"/>
        <v>64</v>
      </c>
      <c r="AN526" s="45">
        <f t="shared" ca="1" si="563"/>
        <v>4422</v>
      </c>
      <c r="AO526">
        <v>4328</v>
      </c>
      <c r="AP526">
        <v>1450</v>
      </c>
      <c r="AQ526">
        <v>193</v>
      </c>
      <c r="AR526">
        <v>627</v>
      </c>
      <c r="AS526">
        <v>1202</v>
      </c>
      <c r="AT526">
        <v>73</v>
      </c>
      <c r="AU526">
        <v>156</v>
      </c>
      <c r="AV526">
        <v>0.98799999999999999</v>
      </c>
      <c r="AW526" s="1"/>
      <c r="AX526" s="1"/>
      <c r="AY526" s="47">
        <f t="shared" si="564"/>
        <v>29700</v>
      </c>
      <c r="AZ526" s="49">
        <f t="shared" si="565"/>
        <v>165567</v>
      </c>
      <c r="BA526" s="49">
        <f t="shared" ref="BA526" si="577">SUMIF($B$2:$B$571,$B526,$S$2:$S$571)</f>
        <v>15829</v>
      </c>
      <c r="BB526" s="48">
        <f t="shared" si="567"/>
        <v>9.5604800473524307E-2</v>
      </c>
    </row>
    <row r="527" spans="2:54" x14ac:dyDescent="0.2">
      <c r="B527" s="3">
        <v>2017</v>
      </c>
      <c r="C527" t="s">
        <v>68</v>
      </c>
      <c r="D527" t="s">
        <v>69</v>
      </c>
      <c r="E527">
        <v>2</v>
      </c>
      <c r="F527" t="s">
        <v>38</v>
      </c>
      <c r="G527" t="s">
        <v>38</v>
      </c>
      <c r="H527" t="s">
        <v>38</v>
      </c>
      <c r="I527" t="s">
        <v>38</v>
      </c>
      <c r="J527">
        <v>86</v>
      </c>
      <c r="K527">
        <v>76</v>
      </c>
      <c r="L527">
        <v>732</v>
      </c>
      <c r="M527" s="38">
        <v>5467</v>
      </c>
      <c r="N527" s="38">
        <v>1363</v>
      </c>
      <c r="O527" s="38">
        <f t="shared" si="554"/>
        <v>850</v>
      </c>
      <c r="P527" s="38">
        <v>267</v>
      </c>
      <c r="Q527" s="38">
        <v>22</v>
      </c>
      <c r="R527" s="38">
        <v>224</v>
      </c>
      <c r="S527" s="38">
        <v>547</v>
      </c>
      <c r="T527" s="38">
        <v>53</v>
      </c>
      <c r="U527" s="38">
        <f t="shared" si="555"/>
        <v>3504</v>
      </c>
      <c r="V527">
        <v>1571</v>
      </c>
      <c r="W527">
        <v>128</v>
      </c>
      <c r="X527">
        <v>41</v>
      </c>
      <c r="Y527">
        <v>26</v>
      </c>
      <c r="Z527">
        <v>697</v>
      </c>
      <c r="AA527">
        <v>642</v>
      </c>
      <c r="AB527">
        <v>4</v>
      </c>
      <c r="AC527">
        <v>1</v>
      </c>
      <c r="AD527">
        <v>12</v>
      </c>
      <c r="AE527">
        <v>54</v>
      </c>
      <c r="AF527" s="45">
        <f t="shared" ca="1" si="542"/>
        <v>6188</v>
      </c>
      <c r="AG527" s="45">
        <f t="shared" ca="1" si="556"/>
        <v>1617</v>
      </c>
      <c r="AH527" s="45">
        <f t="shared" ca="1" si="557"/>
        <v>1099</v>
      </c>
      <c r="AI527" s="45">
        <f t="shared" ca="1" si="558"/>
        <v>241</v>
      </c>
      <c r="AJ527" s="45">
        <f t="shared" ca="1" si="559"/>
        <v>38</v>
      </c>
      <c r="AK527" s="45">
        <f t="shared" ca="1" si="560"/>
        <v>239</v>
      </c>
      <c r="AL527" s="45">
        <f t="shared" ca="1" si="561"/>
        <v>412</v>
      </c>
      <c r="AM527" s="45">
        <f t="shared" ca="1" si="562"/>
        <v>90</v>
      </c>
      <c r="AN527" s="45">
        <f t="shared" ca="1" si="563"/>
        <v>4069</v>
      </c>
      <c r="AO527">
        <v>4337</v>
      </c>
      <c r="AP527">
        <v>1381</v>
      </c>
      <c r="AQ527">
        <v>185</v>
      </c>
      <c r="AR527">
        <v>553</v>
      </c>
      <c r="AS527">
        <v>1346</v>
      </c>
      <c r="AT527">
        <v>115</v>
      </c>
      <c r="AU527">
        <v>164</v>
      </c>
      <c r="AV527">
        <v>0.98099999999999998</v>
      </c>
      <c r="AW527" s="1"/>
      <c r="AX527" s="1"/>
      <c r="AY527" s="47">
        <f t="shared" si="564"/>
        <v>29700</v>
      </c>
      <c r="AZ527" s="49">
        <f t="shared" si="565"/>
        <v>165567</v>
      </c>
      <c r="BA527" s="49">
        <f t="shared" ref="BA527" si="578">SUMIF($B$2:$B$571,$B527,$T$2:$T$571)</f>
        <v>1763</v>
      </c>
      <c r="BB527" s="48">
        <f t="shared" si="567"/>
        <v>1.0648257201012279E-2</v>
      </c>
    </row>
    <row r="528" spans="2:54" x14ac:dyDescent="0.2">
      <c r="B528" s="3">
        <v>2017</v>
      </c>
      <c r="C528" t="s">
        <v>70</v>
      </c>
      <c r="D528" t="s">
        <v>71</v>
      </c>
      <c r="E528">
        <v>2</v>
      </c>
      <c r="F528" t="s">
        <v>38</v>
      </c>
      <c r="G528" t="s">
        <v>43</v>
      </c>
      <c r="H528" t="s">
        <v>38</v>
      </c>
      <c r="I528" t="s">
        <v>38</v>
      </c>
      <c r="J528">
        <v>85</v>
      </c>
      <c r="K528">
        <v>77</v>
      </c>
      <c r="L528">
        <v>815</v>
      </c>
      <c r="M528" s="38">
        <v>5557</v>
      </c>
      <c r="N528" s="38">
        <v>1444</v>
      </c>
      <c r="O528" s="38">
        <f t="shared" si="554"/>
        <v>921</v>
      </c>
      <c r="P528" s="38">
        <v>286</v>
      </c>
      <c r="Q528" s="38">
        <v>31</v>
      </c>
      <c r="R528" s="38">
        <v>206</v>
      </c>
      <c r="S528" s="38">
        <v>593</v>
      </c>
      <c r="T528" s="38">
        <v>46</v>
      </c>
      <c r="U528" s="38">
        <f t="shared" si="555"/>
        <v>3474</v>
      </c>
      <c r="V528">
        <v>1342</v>
      </c>
      <c r="W528">
        <v>95</v>
      </c>
      <c r="X528">
        <v>28</v>
      </c>
      <c r="Y528">
        <v>39</v>
      </c>
      <c r="Z528">
        <v>788</v>
      </c>
      <c r="AA528">
        <v>732</v>
      </c>
      <c r="AB528">
        <v>4.59</v>
      </c>
      <c r="AC528">
        <v>6</v>
      </c>
      <c r="AD528">
        <v>11</v>
      </c>
      <c r="AE528">
        <v>42</v>
      </c>
      <c r="AF528" s="45">
        <f t="shared" ca="1" si="542"/>
        <v>6276</v>
      </c>
      <c r="AG528" s="45">
        <f t="shared" ca="1" si="556"/>
        <v>1682</v>
      </c>
      <c r="AH528" s="45">
        <f t="shared" ca="1" si="557"/>
        <v>1077</v>
      </c>
      <c r="AI528" s="45">
        <f t="shared" ca="1" si="558"/>
        <v>392</v>
      </c>
      <c r="AJ528" s="45">
        <f t="shared" ca="1" si="559"/>
        <v>29</v>
      </c>
      <c r="AK528" s="45">
        <f t="shared" ca="1" si="560"/>
        <v>184</v>
      </c>
      <c r="AL528" s="45">
        <f t="shared" ca="1" si="561"/>
        <v>685</v>
      </c>
      <c r="AM528" s="45">
        <f t="shared" ca="1" si="562"/>
        <v>36</v>
      </c>
      <c r="AN528" s="45">
        <f t="shared" ca="1" si="563"/>
        <v>3873</v>
      </c>
      <c r="AO528">
        <v>4308</v>
      </c>
      <c r="AP528">
        <v>1487</v>
      </c>
      <c r="AQ528">
        <v>224</v>
      </c>
      <c r="AR528">
        <v>483</v>
      </c>
      <c r="AS528">
        <v>1166</v>
      </c>
      <c r="AT528">
        <v>78</v>
      </c>
      <c r="AU528">
        <v>143</v>
      </c>
      <c r="AV528">
        <v>0.98699999999999999</v>
      </c>
      <c r="AW528" s="1"/>
      <c r="AX528" s="1"/>
      <c r="AY528" s="47">
        <f t="shared" si="564"/>
        <v>29700</v>
      </c>
      <c r="AZ528" s="49">
        <f t="shared" si="565"/>
        <v>165567</v>
      </c>
      <c r="BA528" s="49">
        <f t="shared" ref="BA528" si="579">SUMIF($B$2:$B$571,$B528,$U$2:$U$571)</f>
        <v>105760</v>
      </c>
      <c r="BB528" s="48">
        <f t="shared" si="567"/>
        <v>0.63877463504200716</v>
      </c>
    </row>
    <row r="529" spans="2:54" x14ac:dyDescent="0.2">
      <c r="B529" s="3">
        <v>2017</v>
      </c>
      <c r="C529" t="s">
        <v>74</v>
      </c>
      <c r="D529" t="s">
        <v>75</v>
      </c>
      <c r="E529">
        <v>2</v>
      </c>
      <c r="F529" t="s">
        <v>38</v>
      </c>
      <c r="G529" t="s">
        <v>43</v>
      </c>
      <c r="H529" t="s">
        <v>38</v>
      </c>
      <c r="I529" t="s">
        <v>38</v>
      </c>
      <c r="J529">
        <v>91</v>
      </c>
      <c r="K529">
        <v>71</v>
      </c>
      <c r="L529">
        <v>858</v>
      </c>
      <c r="M529" s="38">
        <v>5594</v>
      </c>
      <c r="N529" s="38">
        <v>1463</v>
      </c>
      <c r="O529" s="38">
        <f t="shared" si="554"/>
        <v>933</v>
      </c>
      <c r="P529" s="38">
        <v>266</v>
      </c>
      <c r="Q529" s="38">
        <v>23</v>
      </c>
      <c r="R529" s="38">
        <v>241</v>
      </c>
      <c r="S529" s="38">
        <v>616</v>
      </c>
      <c r="T529" s="38">
        <v>64</v>
      </c>
      <c r="U529" s="38">
        <f t="shared" si="555"/>
        <v>3451</v>
      </c>
      <c r="V529">
        <v>1386</v>
      </c>
      <c r="W529">
        <v>90</v>
      </c>
      <c r="X529">
        <v>22</v>
      </c>
      <c r="Y529">
        <v>56</v>
      </c>
      <c r="Z529">
        <v>660</v>
      </c>
      <c r="AA529">
        <v>599</v>
      </c>
      <c r="AB529">
        <v>3.72</v>
      </c>
      <c r="AC529">
        <v>2</v>
      </c>
      <c r="AD529">
        <v>7</v>
      </c>
      <c r="AE529">
        <v>36</v>
      </c>
      <c r="AF529" s="45">
        <f t="shared" ca="1" si="542"/>
        <v>6411</v>
      </c>
      <c r="AG529" s="45">
        <f t="shared" ca="1" si="556"/>
        <v>1305</v>
      </c>
      <c r="AH529" s="45">
        <f t="shared" ca="1" si="557"/>
        <v>762</v>
      </c>
      <c r="AI529" s="45">
        <f t="shared" ca="1" si="558"/>
        <v>351</v>
      </c>
      <c r="AJ529" s="45">
        <f t="shared" ca="1" si="559"/>
        <v>27</v>
      </c>
      <c r="AK529" s="45">
        <f t="shared" ca="1" si="560"/>
        <v>165</v>
      </c>
      <c r="AL529" s="45">
        <f t="shared" ca="1" si="561"/>
        <v>453</v>
      </c>
      <c r="AM529" s="45">
        <f t="shared" ca="1" si="562"/>
        <v>35</v>
      </c>
      <c r="AN529" s="45">
        <f t="shared" ca="1" si="563"/>
        <v>4618</v>
      </c>
      <c r="AO529">
        <v>4346</v>
      </c>
      <c r="AP529">
        <v>1248</v>
      </c>
      <c r="AQ529">
        <v>192</v>
      </c>
      <c r="AR529">
        <v>504</v>
      </c>
      <c r="AS529">
        <v>1560</v>
      </c>
      <c r="AT529">
        <v>95</v>
      </c>
      <c r="AU529">
        <v>102</v>
      </c>
      <c r="AV529">
        <v>0.98399999999999999</v>
      </c>
      <c r="AW529" s="1"/>
      <c r="AX529" s="1"/>
      <c r="AY529" s="47">
        <f t="shared" si="564"/>
        <v>29700</v>
      </c>
      <c r="AZ529" s="49">
        <f t="shared" si="565"/>
        <v>165567</v>
      </c>
      <c r="BA529" s="49"/>
      <c r="BB529" s="48">
        <f t="shared" si="567"/>
        <v>0</v>
      </c>
    </row>
    <row r="530" spans="2:54" x14ac:dyDescent="0.2">
      <c r="B530" s="3">
        <v>2017</v>
      </c>
      <c r="C530" t="s">
        <v>76</v>
      </c>
      <c r="D530" t="s">
        <v>77</v>
      </c>
      <c r="E530">
        <v>4</v>
      </c>
      <c r="F530" t="s">
        <v>38</v>
      </c>
      <c r="G530" t="s">
        <v>38</v>
      </c>
      <c r="H530" t="s">
        <v>38</v>
      </c>
      <c r="I530" t="s">
        <v>38</v>
      </c>
      <c r="J530">
        <v>70</v>
      </c>
      <c r="K530">
        <v>92</v>
      </c>
      <c r="L530">
        <v>735</v>
      </c>
      <c r="M530" s="38">
        <v>5510</v>
      </c>
      <c r="N530" s="38">
        <v>1379</v>
      </c>
      <c r="O530" s="38">
        <f t="shared" si="554"/>
        <v>841</v>
      </c>
      <c r="P530" s="38">
        <v>286</v>
      </c>
      <c r="Q530" s="38">
        <v>28</v>
      </c>
      <c r="R530" s="38">
        <v>224</v>
      </c>
      <c r="S530" s="38">
        <v>529</v>
      </c>
      <c r="T530" s="38">
        <v>57</v>
      </c>
      <c r="U530" s="38">
        <f t="shared" si="555"/>
        <v>3545</v>
      </c>
      <c r="V530">
        <v>1291</v>
      </c>
      <c r="W530">
        <v>58</v>
      </c>
      <c r="X530">
        <v>23</v>
      </c>
      <c r="Y530">
        <v>37</v>
      </c>
      <c r="Z530">
        <v>863</v>
      </c>
      <c r="AA530">
        <v>799</v>
      </c>
      <c r="AB530">
        <v>5.01</v>
      </c>
      <c r="AC530">
        <v>2</v>
      </c>
      <c r="AD530">
        <v>5</v>
      </c>
      <c r="AE530">
        <v>34</v>
      </c>
      <c r="AF530" s="45">
        <f t="shared" ca="1" si="542"/>
        <v>6113</v>
      </c>
      <c r="AG530" s="45">
        <f t="shared" ca="1" si="556"/>
        <v>1588</v>
      </c>
      <c r="AH530" s="45">
        <f t="shared" ca="1" si="557"/>
        <v>1008</v>
      </c>
      <c r="AI530" s="45">
        <f t="shared" ca="1" si="558"/>
        <v>331</v>
      </c>
      <c r="AJ530" s="45">
        <f t="shared" ca="1" si="559"/>
        <v>42</v>
      </c>
      <c r="AK530" s="45">
        <f t="shared" ca="1" si="560"/>
        <v>207</v>
      </c>
      <c r="AL530" s="45">
        <f t="shared" ca="1" si="561"/>
        <v>674</v>
      </c>
      <c r="AM530" s="45">
        <f t="shared" ca="1" si="562"/>
        <v>75</v>
      </c>
      <c r="AN530" s="45">
        <f t="shared" ca="1" si="563"/>
        <v>3776</v>
      </c>
      <c r="AO530">
        <v>4304</v>
      </c>
      <c r="AP530">
        <v>1538</v>
      </c>
      <c r="AQ530">
        <v>220</v>
      </c>
      <c r="AR530">
        <v>593</v>
      </c>
      <c r="AS530">
        <v>1374</v>
      </c>
      <c r="AT530">
        <v>92</v>
      </c>
      <c r="AU530">
        <v>125</v>
      </c>
      <c r="AV530">
        <v>0.98399999999999999</v>
      </c>
      <c r="AW530" s="1"/>
      <c r="AX530" s="1"/>
      <c r="AY530" s="47">
        <f t="shared" si="564"/>
        <v>29700</v>
      </c>
      <c r="AZ530" s="49">
        <f t="shared" si="565"/>
        <v>165567</v>
      </c>
      <c r="BA530" s="49">
        <f t="shared" ref="BA530" si="580">SUMIF($B$2:$B$571,$B530,$O$2:$O$571)</f>
        <v>26918</v>
      </c>
      <c r="BB530" s="48">
        <f t="shared" si="567"/>
        <v>0.16258070750813869</v>
      </c>
    </row>
    <row r="531" spans="2:54" x14ac:dyDescent="0.2">
      <c r="B531" s="3">
        <v>2017</v>
      </c>
      <c r="C531" t="s">
        <v>78</v>
      </c>
      <c r="D531" t="s">
        <v>79</v>
      </c>
      <c r="E531">
        <v>5</v>
      </c>
      <c r="F531" t="s">
        <v>38</v>
      </c>
      <c r="G531" t="s">
        <v>38</v>
      </c>
      <c r="H531" t="s">
        <v>38</v>
      </c>
      <c r="I531" t="s">
        <v>38</v>
      </c>
      <c r="J531">
        <v>75</v>
      </c>
      <c r="K531">
        <v>87</v>
      </c>
      <c r="L531">
        <v>739</v>
      </c>
      <c r="M531" s="38">
        <v>5464</v>
      </c>
      <c r="N531" s="38">
        <v>1344</v>
      </c>
      <c r="O531" s="38">
        <f t="shared" si="554"/>
        <v>790</v>
      </c>
      <c r="P531" s="38">
        <v>305</v>
      </c>
      <c r="Q531" s="38">
        <v>15</v>
      </c>
      <c r="R531" s="38">
        <v>234</v>
      </c>
      <c r="S531" s="38">
        <v>565</v>
      </c>
      <c r="T531" s="38">
        <v>43</v>
      </c>
      <c r="U531" s="38">
        <f t="shared" si="555"/>
        <v>3512</v>
      </c>
      <c r="V531">
        <v>1491</v>
      </c>
      <c r="W531">
        <v>57</v>
      </c>
      <c r="X531">
        <v>22</v>
      </c>
      <c r="Y531">
        <v>40</v>
      </c>
      <c r="Z531">
        <v>826</v>
      </c>
      <c r="AA531">
        <v>743</v>
      </c>
      <c r="AB531">
        <v>4.67</v>
      </c>
      <c r="AC531">
        <v>1</v>
      </c>
      <c r="AD531">
        <v>6</v>
      </c>
      <c r="AE531">
        <v>35</v>
      </c>
      <c r="AF531" s="45">
        <f t="shared" ca="1" si="542"/>
        <v>6305</v>
      </c>
      <c r="AG531" s="45">
        <f t="shared" ca="1" si="556"/>
        <v>1305</v>
      </c>
      <c r="AH531" s="45">
        <f t="shared" ca="1" si="557"/>
        <v>780</v>
      </c>
      <c r="AI531" s="45">
        <f t="shared" ca="1" si="558"/>
        <v>285</v>
      </c>
      <c r="AJ531" s="45">
        <f t="shared" ca="1" si="559"/>
        <v>40</v>
      </c>
      <c r="AK531" s="45">
        <f t="shared" ca="1" si="560"/>
        <v>200</v>
      </c>
      <c r="AL531" s="45">
        <f t="shared" ca="1" si="561"/>
        <v>572</v>
      </c>
      <c r="AM531" s="45">
        <f t="shared" ca="1" si="562"/>
        <v>64</v>
      </c>
      <c r="AN531" s="45">
        <f t="shared" ca="1" si="563"/>
        <v>4364</v>
      </c>
      <c r="AO531">
        <v>4293</v>
      </c>
      <c r="AP531">
        <v>1444</v>
      </c>
      <c r="AQ531">
        <v>210</v>
      </c>
      <c r="AR531">
        <v>502</v>
      </c>
      <c r="AS531">
        <v>1202</v>
      </c>
      <c r="AT531">
        <v>121</v>
      </c>
      <c r="AU531">
        <v>162</v>
      </c>
      <c r="AV531">
        <v>0.98</v>
      </c>
      <c r="AW531" s="1"/>
      <c r="AX531" s="1"/>
      <c r="AY531" s="47">
        <f t="shared" si="564"/>
        <v>29700</v>
      </c>
      <c r="AZ531" s="49">
        <f t="shared" si="565"/>
        <v>165567</v>
      </c>
      <c r="BA531" s="49">
        <f t="shared" ref="BA531" si="581">SUMIF($B$2:$B$571,$B531,$P$2:$P$571)</f>
        <v>8397</v>
      </c>
      <c r="BB531" s="48">
        <f t="shared" si="567"/>
        <v>5.0716628313613218E-2</v>
      </c>
    </row>
    <row r="532" spans="2:54" x14ac:dyDescent="0.2">
      <c r="B532" s="3">
        <v>2017</v>
      </c>
      <c r="C532" t="s">
        <v>80</v>
      </c>
      <c r="D532" t="s">
        <v>81</v>
      </c>
      <c r="E532">
        <v>5</v>
      </c>
      <c r="F532" t="s">
        <v>38</v>
      </c>
      <c r="G532" t="s">
        <v>38</v>
      </c>
      <c r="H532" t="s">
        <v>38</v>
      </c>
      <c r="I532" t="s">
        <v>38</v>
      </c>
      <c r="J532">
        <v>66</v>
      </c>
      <c r="K532">
        <v>96</v>
      </c>
      <c r="L532">
        <v>690</v>
      </c>
      <c r="M532" s="38">
        <v>5535</v>
      </c>
      <c r="N532" s="38">
        <v>1382</v>
      </c>
      <c r="O532" s="38">
        <f t="shared" si="554"/>
        <v>885</v>
      </c>
      <c r="P532" s="38">
        <v>287</v>
      </c>
      <c r="Q532" s="38">
        <v>36</v>
      </c>
      <c r="R532" s="38">
        <v>174</v>
      </c>
      <c r="S532" s="38">
        <v>494</v>
      </c>
      <c r="T532" s="38">
        <v>47</v>
      </c>
      <c r="U532" s="38">
        <f t="shared" si="555"/>
        <v>3612</v>
      </c>
      <c r="V532">
        <v>1417</v>
      </c>
      <c r="W532">
        <v>59</v>
      </c>
      <c r="X532">
        <v>25</v>
      </c>
      <c r="Y532">
        <v>36</v>
      </c>
      <c r="Z532">
        <v>782</v>
      </c>
      <c r="AA532">
        <v>729</v>
      </c>
      <c r="AB532">
        <v>4.55</v>
      </c>
      <c r="AC532">
        <v>1</v>
      </c>
      <c r="AD532">
        <v>7</v>
      </c>
      <c r="AE532">
        <v>33</v>
      </c>
      <c r="AF532" s="45">
        <f t="shared" ca="1" si="542"/>
        <v>6331</v>
      </c>
      <c r="AG532" s="45">
        <f t="shared" ca="1" si="556"/>
        <v>1664</v>
      </c>
      <c r="AH532" s="45">
        <f t="shared" ca="1" si="557"/>
        <v>1188</v>
      </c>
      <c r="AI532" s="45">
        <f t="shared" ca="1" si="558"/>
        <v>228</v>
      </c>
      <c r="AJ532" s="45">
        <f t="shared" ca="1" si="559"/>
        <v>30</v>
      </c>
      <c r="AK532" s="45">
        <f t="shared" ca="1" si="560"/>
        <v>218</v>
      </c>
      <c r="AL532" s="45">
        <f t="shared" ca="1" si="561"/>
        <v>404</v>
      </c>
      <c r="AM532" s="45">
        <f t="shared" ca="1" si="562"/>
        <v>39</v>
      </c>
      <c r="AN532" s="45">
        <f t="shared" ca="1" si="563"/>
        <v>4224</v>
      </c>
      <c r="AO532">
        <v>4323</v>
      </c>
      <c r="AP532">
        <v>1471</v>
      </c>
      <c r="AQ532">
        <v>221</v>
      </c>
      <c r="AR532">
        <v>527</v>
      </c>
      <c r="AS532">
        <v>1309</v>
      </c>
      <c r="AT532">
        <v>82</v>
      </c>
      <c r="AU532">
        <v>145</v>
      </c>
      <c r="AV532">
        <v>0.98599999999999999</v>
      </c>
      <c r="AW532" s="1"/>
      <c r="AX532" s="1"/>
      <c r="AY532" s="47">
        <f t="shared" si="564"/>
        <v>29700</v>
      </c>
      <c r="AZ532" s="49">
        <f t="shared" si="565"/>
        <v>165567</v>
      </c>
      <c r="BA532" s="49">
        <f t="shared" ref="BA532" si="582">SUMIF($B$2:$B$571,$B532,$Q$2:$Q$571)</f>
        <v>795</v>
      </c>
      <c r="BB532" s="48">
        <f t="shared" si="567"/>
        <v>4.8016814945007159E-3</v>
      </c>
    </row>
    <row r="533" spans="2:54" x14ac:dyDescent="0.2">
      <c r="B533" s="3">
        <v>2017</v>
      </c>
      <c r="C533" t="s">
        <v>82</v>
      </c>
      <c r="D533" t="s">
        <v>83</v>
      </c>
      <c r="E533">
        <v>4</v>
      </c>
      <c r="F533" t="s">
        <v>38</v>
      </c>
      <c r="G533" t="s">
        <v>38</v>
      </c>
      <c r="H533" t="s">
        <v>38</v>
      </c>
      <c r="I533" t="s">
        <v>38</v>
      </c>
      <c r="J533">
        <v>75</v>
      </c>
      <c r="K533">
        <v>87</v>
      </c>
      <c r="L533">
        <v>668</v>
      </c>
      <c r="M533" s="38">
        <v>5458</v>
      </c>
      <c r="N533" s="38">
        <v>1331</v>
      </c>
      <c r="O533" s="38">
        <f t="shared" si="554"/>
        <v>895</v>
      </c>
      <c r="P533" s="38">
        <v>249</v>
      </c>
      <c r="Q533" s="38">
        <v>36</v>
      </c>
      <c r="R533" s="38">
        <v>151</v>
      </c>
      <c r="S533" s="38">
        <v>519</v>
      </c>
      <c r="T533" s="38">
        <v>88</v>
      </c>
      <c r="U533" s="38">
        <f t="shared" si="555"/>
        <v>3520</v>
      </c>
      <c r="V533">
        <v>1213</v>
      </c>
      <c r="W533">
        <v>67</v>
      </c>
      <c r="X533">
        <v>36</v>
      </c>
      <c r="Y533">
        <v>28</v>
      </c>
      <c r="Z533">
        <v>731</v>
      </c>
      <c r="AA533">
        <v>676</v>
      </c>
      <c r="AB533">
        <v>4.22</v>
      </c>
      <c r="AC533">
        <v>2</v>
      </c>
      <c r="AD533">
        <v>12</v>
      </c>
      <c r="AE533">
        <v>36</v>
      </c>
      <c r="AF533" s="45">
        <f t="shared" ca="1" si="542"/>
        <v>6186</v>
      </c>
      <c r="AG533" s="45">
        <f t="shared" ca="1" si="556"/>
        <v>1669</v>
      </c>
      <c r="AH533" s="45">
        <f t="shared" ca="1" si="557"/>
        <v>1113</v>
      </c>
      <c r="AI533" s="45">
        <f t="shared" ca="1" si="558"/>
        <v>295</v>
      </c>
      <c r="AJ533" s="45">
        <f t="shared" ca="1" si="559"/>
        <v>36</v>
      </c>
      <c r="AK533" s="45">
        <f t="shared" ca="1" si="560"/>
        <v>225</v>
      </c>
      <c r="AL533" s="45">
        <f t="shared" ca="1" si="561"/>
        <v>490</v>
      </c>
      <c r="AM533" s="45">
        <f t="shared" ca="1" si="562"/>
        <v>46</v>
      </c>
      <c r="AN533" s="45">
        <f t="shared" ca="1" si="563"/>
        <v>3981</v>
      </c>
      <c r="AO533">
        <v>4322</v>
      </c>
      <c r="AP533">
        <v>1464</v>
      </c>
      <c r="AQ533">
        <v>182</v>
      </c>
      <c r="AR533">
        <v>511</v>
      </c>
      <c r="AS533">
        <v>1262</v>
      </c>
      <c r="AT533">
        <v>99</v>
      </c>
      <c r="AU533">
        <v>156</v>
      </c>
      <c r="AV533">
        <v>0.98399999999999999</v>
      </c>
      <c r="AW533" s="1"/>
      <c r="AX533" s="1"/>
      <c r="AY533" s="47">
        <f t="shared" si="564"/>
        <v>29700</v>
      </c>
      <c r="AZ533" s="49">
        <f t="shared" si="565"/>
        <v>165567</v>
      </c>
      <c r="BA533" s="49">
        <f t="shared" ref="BA533" si="583">SUMIF($B$2:$B$571,$B533,$R$2:$R$571)</f>
        <v>6105</v>
      </c>
      <c r="BB533" s="48">
        <f t="shared" si="567"/>
        <v>3.6873289967203612E-2</v>
      </c>
    </row>
    <row r="534" spans="2:54" x14ac:dyDescent="0.2">
      <c r="B534" s="3">
        <v>2017</v>
      </c>
      <c r="C534" t="s">
        <v>84</v>
      </c>
      <c r="D534" t="s">
        <v>85</v>
      </c>
      <c r="E534">
        <v>4</v>
      </c>
      <c r="F534" t="s">
        <v>38</v>
      </c>
      <c r="G534" t="s">
        <v>38</v>
      </c>
      <c r="H534" t="s">
        <v>38</v>
      </c>
      <c r="I534" t="s">
        <v>38</v>
      </c>
      <c r="J534">
        <v>71</v>
      </c>
      <c r="K534">
        <v>91</v>
      </c>
      <c r="L534">
        <v>604</v>
      </c>
      <c r="M534" s="38">
        <v>5356</v>
      </c>
      <c r="N534" s="38">
        <v>1251</v>
      </c>
      <c r="O534" s="38">
        <f t="shared" si="554"/>
        <v>804</v>
      </c>
      <c r="P534" s="38">
        <v>227</v>
      </c>
      <c r="Q534" s="38">
        <v>31</v>
      </c>
      <c r="R534" s="38">
        <v>189</v>
      </c>
      <c r="S534" s="38">
        <v>460</v>
      </c>
      <c r="T534" s="38">
        <v>53</v>
      </c>
      <c r="U534" s="38">
        <f t="shared" si="555"/>
        <v>3592</v>
      </c>
      <c r="V534">
        <v>1499</v>
      </c>
      <c r="W534">
        <v>89</v>
      </c>
      <c r="X534">
        <v>33</v>
      </c>
      <c r="Y534">
        <v>33</v>
      </c>
      <c r="Z534">
        <v>816</v>
      </c>
      <c r="AA534">
        <v>742</v>
      </c>
      <c r="AB534">
        <v>4.67</v>
      </c>
      <c r="AC534">
        <v>2</v>
      </c>
      <c r="AD534">
        <v>12</v>
      </c>
      <c r="AE534">
        <v>45</v>
      </c>
      <c r="AF534" s="45">
        <f t="shared" ca="1" si="542"/>
        <v>6486</v>
      </c>
      <c r="AG534" s="45">
        <f t="shared" ca="1" si="556"/>
        <v>1662</v>
      </c>
      <c r="AH534" s="45">
        <f t="shared" ca="1" si="557"/>
        <v>1108</v>
      </c>
      <c r="AI534" s="45">
        <f t="shared" ca="1" si="558"/>
        <v>377</v>
      </c>
      <c r="AJ534" s="45">
        <f t="shared" ca="1" si="559"/>
        <v>42</v>
      </c>
      <c r="AK534" s="45">
        <f t="shared" ca="1" si="560"/>
        <v>135</v>
      </c>
      <c r="AL534" s="45">
        <f t="shared" ca="1" si="561"/>
        <v>467</v>
      </c>
      <c r="AM534" s="45">
        <f t="shared" ca="1" si="562"/>
        <v>58</v>
      </c>
      <c r="AN534" s="45">
        <f t="shared" ca="1" si="563"/>
        <v>4299</v>
      </c>
      <c r="AO534">
        <v>4292</v>
      </c>
      <c r="AP534">
        <v>1417</v>
      </c>
      <c r="AQ534">
        <v>226</v>
      </c>
      <c r="AR534">
        <v>554</v>
      </c>
      <c r="AS534">
        <v>1325</v>
      </c>
      <c r="AT534">
        <v>113</v>
      </c>
      <c r="AU534">
        <v>177</v>
      </c>
      <c r="AV534">
        <v>0.98099999999999998</v>
      </c>
      <c r="AW534" s="1"/>
      <c r="AX534" s="1"/>
      <c r="AY534" s="47">
        <f t="shared" si="564"/>
        <v>29700</v>
      </c>
      <c r="AZ534" s="49">
        <f t="shared" si="565"/>
        <v>165567</v>
      </c>
      <c r="BA534" s="49">
        <f t="shared" ref="BA534" si="584">SUMIF($B$2:$B$571,$B534,$S$2:$S$571)</f>
        <v>15829</v>
      </c>
      <c r="BB534" s="48">
        <f t="shared" si="567"/>
        <v>9.5604800473524307E-2</v>
      </c>
    </row>
    <row r="535" spans="2:54" x14ac:dyDescent="0.2">
      <c r="B535" s="3">
        <v>2017</v>
      </c>
      <c r="C535" t="s">
        <v>86</v>
      </c>
      <c r="D535" t="s">
        <v>87</v>
      </c>
      <c r="E535">
        <v>3</v>
      </c>
      <c r="F535" t="s">
        <v>38</v>
      </c>
      <c r="G535" t="s">
        <v>38</v>
      </c>
      <c r="H535" t="s">
        <v>38</v>
      </c>
      <c r="I535" t="s">
        <v>38</v>
      </c>
      <c r="J535">
        <v>78</v>
      </c>
      <c r="K535">
        <v>84</v>
      </c>
      <c r="L535">
        <v>750</v>
      </c>
      <c r="M535" s="38">
        <v>5551</v>
      </c>
      <c r="N535" s="38">
        <v>1436</v>
      </c>
      <c r="O535" s="38">
        <f t="shared" si="554"/>
        <v>938</v>
      </c>
      <c r="P535" s="38">
        <v>281</v>
      </c>
      <c r="Q535" s="38">
        <v>17</v>
      </c>
      <c r="R535" s="38">
        <v>200</v>
      </c>
      <c r="S535" s="38">
        <v>487</v>
      </c>
      <c r="T535" s="38">
        <v>78</v>
      </c>
      <c r="U535" s="38">
        <f t="shared" si="555"/>
        <v>3550</v>
      </c>
      <c r="V535">
        <v>1267</v>
      </c>
      <c r="W535">
        <v>89</v>
      </c>
      <c r="X535">
        <v>35</v>
      </c>
      <c r="Y535">
        <v>35</v>
      </c>
      <c r="Z535">
        <v>772</v>
      </c>
      <c r="AA535">
        <v>713</v>
      </c>
      <c r="AB535">
        <v>4.46</v>
      </c>
      <c r="AC535">
        <v>1</v>
      </c>
      <c r="AD535">
        <v>9</v>
      </c>
      <c r="AE535">
        <v>39</v>
      </c>
      <c r="AF535" s="45">
        <f t="shared" ca="1" si="542"/>
        <v>6197</v>
      </c>
      <c r="AG535" s="45">
        <f t="shared" ca="1" si="556"/>
        <v>1365</v>
      </c>
      <c r="AH535" s="45">
        <f t="shared" ca="1" si="557"/>
        <v>758</v>
      </c>
      <c r="AI535" s="45">
        <f t="shared" ca="1" si="558"/>
        <v>355</v>
      </c>
      <c r="AJ535" s="45">
        <f t="shared" ca="1" si="559"/>
        <v>49</v>
      </c>
      <c r="AK535" s="45">
        <f t="shared" ca="1" si="560"/>
        <v>203</v>
      </c>
      <c r="AL535" s="45">
        <f t="shared" ca="1" si="561"/>
        <v>488</v>
      </c>
      <c r="AM535" s="45">
        <f t="shared" ca="1" si="562"/>
        <v>76</v>
      </c>
      <c r="AN535" s="45">
        <f t="shared" ca="1" si="563"/>
        <v>4268</v>
      </c>
      <c r="AO535">
        <v>4321</v>
      </c>
      <c r="AP535">
        <v>1399</v>
      </c>
      <c r="AQ535">
        <v>237</v>
      </c>
      <c r="AR535">
        <v>490</v>
      </c>
      <c r="AS535">
        <v>1244</v>
      </c>
      <c r="AT535">
        <v>103</v>
      </c>
      <c r="AU535">
        <v>147</v>
      </c>
      <c r="AV535">
        <v>0.98199999999999998</v>
      </c>
      <c r="AW535" s="1"/>
      <c r="AX535" s="1"/>
      <c r="AY535" s="47">
        <f t="shared" si="564"/>
        <v>29700</v>
      </c>
      <c r="AZ535" s="49">
        <f t="shared" si="565"/>
        <v>165567</v>
      </c>
      <c r="BA535" s="49">
        <f t="shared" ref="BA535" si="585">SUMIF($B$2:$B$571,$B535,$T$2:$T$571)</f>
        <v>1763</v>
      </c>
      <c r="BB535" s="48">
        <f t="shared" si="567"/>
        <v>1.0648257201012279E-2</v>
      </c>
    </row>
    <row r="536" spans="2:54" x14ac:dyDescent="0.2">
      <c r="B536" s="3">
        <v>2017</v>
      </c>
      <c r="C536" t="s">
        <v>88</v>
      </c>
      <c r="D536" t="s">
        <v>89</v>
      </c>
      <c r="E536">
        <v>5</v>
      </c>
      <c r="F536" t="s">
        <v>38</v>
      </c>
      <c r="G536" t="s">
        <v>38</v>
      </c>
      <c r="H536" t="s">
        <v>38</v>
      </c>
      <c r="I536" t="s">
        <v>38</v>
      </c>
      <c r="J536">
        <v>64</v>
      </c>
      <c r="K536">
        <v>98</v>
      </c>
      <c r="L536">
        <v>639</v>
      </c>
      <c r="M536" s="38">
        <v>5551</v>
      </c>
      <c r="N536" s="38">
        <v>1382</v>
      </c>
      <c r="O536" s="38">
        <f t="shared" si="554"/>
        <v>936</v>
      </c>
      <c r="P536" s="38">
        <v>290</v>
      </c>
      <c r="Q536" s="38">
        <v>28</v>
      </c>
      <c r="R536" s="38">
        <v>128</v>
      </c>
      <c r="S536" s="38">
        <v>467</v>
      </c>
      <c r="T536" s="38">
        <v>36</v>
      </c>
      <c r="U536" s="38">
        <f t="shared" si="555"/>
        <v>3666</v>
      </c>
      <c r="V536">
        <v>1204</v>
      </c>
      <c r="W536">
        <v>76</v>
      </c>
      <c r="X536">
        <v>34</v>
      </c>
      <c r="Y536">
        <v>52</v>
      </c>
      <c r="Z536">
        <v>776</v>
      </c>
      <c r="AA536">
        <v>726</v>
      </c>
      <c r="AB536">
        <v>4.5</v>
      </c>
      <c r="AC536">
        <v>3</v>
      </c>
      <c r="AD536">
        <v>5</v>
      </c>
      <c r="AE536">
        <v>32</v>
      </c>
      <c r="AF536" s="45">
        <f t="shared" ca="1" si="542"/>
        <v>6474</v>
      </c>
      <c r="AG536" s="45">
        <f t="shared" ca="1" si="556"/>
        <v>1333</v>
      </c>
      <c r="AH536" s="45">
        <f t="shared" ca="1" si="557"/>
        <v>749</v>
      </c>
      <c r="AI536" s="45">
        <f t="shared" ca="1" si="558"/>
        <v>346</v>
      </c>
      <c r="AJ536" s="45">
        <f t="shared" ca="1" si="559"/>
        <v>47</v>
      </c>
      <c r="AK536" s="45">
        <f t="shared" ca="1" si="560"/>
        <v>191</v>
      </c>
      <c r="AL536" s="45">
        <f t="shared" ca="1" si="561"/>
        <v>566</v>
      </c>
      <c r="AM536" s="45">
        <f t="shared" ca="1" si="562"/>
        <v>86</v>
      </c>
      <c r="AN536" s="45">
        <f t="shared" ca="1" si="563"/>
        <v>4489</v>
      </c>
      <c r="AO536">
        <v>4356</v>
      </c>
      <c r="AP536">
        <v>1515</v>
      </c>
      <c r="AQ536">
        <v>182</v>
      </c>
      <c r="AR536">
        <v>496</v>
      </c>
      <c r="AS536">
        <v>1234</v>
      </c>
      <c r="AT536">
        <v>87</v>
      </c>
      <c r="AU536">
        <v>127</v>
      </c>
      <c r="AV536">
        <v>0.98499999999999999</v>
      </c>
      <c r="AW536" s="1"/>
      <c r="AX536" s="1"/>
      <c r="AY536" s="47">
        <f t="shared" si="564"/>
        <v>29700</v>
      </c>
      <c r="AZ536" s="49">
        <f t="shared" si="565"/>
        <v>165567</v>
      </c>
      <c r="BA536" s="49">
        <f t="shared" ref="BA536" si="586">SUMIF($B$2:$B$571,$B536,$U$2:$U$571)</f>
        <v>105760</v>
      </c>
      <c r="BB536" s="48">
        <f t="shared" si="567"/>
        <v>0.63877463504200716</v>
      </c>
    </row>
    <row r="537" spans="2:54" x14ac:dyDescent="0.2">
      <c r="B537" s="3">
        <v>2017</v>
      </c>
      <c r="C537" t="s">
        <v>90</v>
      </c>
      <c r="D537" t="s">
        <v>91</v>
      </c>
      <c r="E537">
        <v>3</v>
      </c>
      <c r="F537" t="s">
        <v>38</v>
      </c>
      <c r="G537" t="s">
        <v>38</v>
      </c>
      <c r="H537" t="s">
        <v>38</v>
      </c>
      <c r="I537" t="s">
        <v>38</v>
      </c>
      <c r="J537">
        <v>83</v>
      </c>
      <c r="K537">
        <v>79</v>
      </c>
      <c r="L537">
        <v>761</v>
      </c>
      <c r="M537" s="38">
        <v>5470</v>
      </c>
      <c r="N537" s="38">
        <v>1402</v>
      </c>
      <c r="O537" s="38">
        <f t="shared" si="554"/>
        <v>894</v>
      </c>
      <c r="P537" s="38">
        <v>284</v>
      </c>
      <c r="Q537" s="38">
        <v>28</v>
      </c>
      <c r="R537" s="38">
        <v>196</v>
      </c>
      <c r="S537" s="38">
        <v>593</v>
      </c>
      <c r="T537" s="38">
        <v>65</v>
      </c>
      <c r="U537" s="38">
        <f t="shared" si="555"/>
        <v>3410</v>
      </c>
      <c r="V537">
        <v>1348</v>
      </c>
      <c r="W537">
        <v>81</v>
      </c>
      <c r="X537">
        <v>31</v>
      </c>
      <c r="Y537">
        <v>44</v>
      </c>
      <c r="Z537">
        <v>705</v>
      </c>
      <c r="AA537">
        <v>646</v>
      </c>
      <c r="AB537">
        <v>4.01</v>
      </c>
      <c r="AC537">
        <v>3</v>
      </c>
      <c r="AD537">
        <v>12</v>
      </c>
      <c r="AE537">
        <v>43</v>
      </c>
      <c r="AF537" s="45">
        <f t="shared" ca="1" si="542"/>
        <v>6489</v>
      </c>
      <c r="AG537" s="45">
        <f t="shared" ca="1" si="556"/>
        <v>1573</v>
      </c>
      <c r="AH537" s="45">
        <f t="shared" ca="1" si="557"/>
        <v>954</v>
      </c>
      <c r="AI537" s="45">
        <f t="shared" ca="1" si="558"/>
        <v>387</v>
      </c>
      <c r="AJ537" s="45">
        <f t="shared" ca="1" si="559"/>
        <v>21</v>
      </c>
      <c r="AK537" s="45">
        <f t="shared" ca="1" si="560"/>
        <v>211</v>
      </c>
      <c r="AL537" s="45">
        <f t="shared" ca="1" si="561"/>
        <v>403</v>
      </c>
      <c r="AM537" s="45">
        <f t="shared" ca="1" si="562"/>
        <v>85</v>
      </c>
      <c r="AN537" s="45">
        <f t="shared" ca="1" si="563"/>
        <v>4428</v>
      </c>
      <c r="AO537">
        <v>4351</v>
      </c>
      <c r="AP537">
        <v>1393</v>
      </c>
      <c r="AQ537">
        <v>183</v>
      </c>
      <c r="AR537">
        <v>493</v>
      </c>
      <c r="AS537">
        <v>1351</v>
      </c>
      <c r="AT537">
        <v>94</v>
      </c>
      <c r="AU537">
        <v>164</v>
      </c>
      <c r="AV537">
        <v>0.98399999999999999</v>
      </c>
      <c r="AW537" s="1"/>
      <c r="AX537" s="1"/>
      <c r="AY537" s="47">
        <f t="shared" si="564"/>
        <v>29700</v>
      </c>
      <c r="AZ537" s="49">
        <f t="shared" si="565"/>
        <v>165567</v>
      </c>
      <c r="BA537" s="49"/>
      <c r="BB537" s="48">
        <f t="shared" si="567"/>
        <v>0</v>
      </c>
    </row>
    <row r="538" spans="2:54" x14ac:dyDescent="0.2">
      <c r="B538" s="3">
        <v>2017</v>
      </c>
      <c r="C538" t="s">
        <v>102</v>
      </c>
      <c r="D538" t="s">
        <v>93</v>
      </c>
      <c r="E538">
        <v>3</v>
      </c>
      <c r="F538" t="s">
        <v>38</v>
      </c>
      <c r="G538" t="s">
        <v>38</v>
      </c>
      <c r="H538" t="s">
        <v>38</v>
      </c>
      <c r="I538" t="s">
        <v>38</v>
      </c>
      <c r="J538">
        <v>80</v>
      </c>
      <c r="K538">
        <v>82</v>
      </c>
      <c r="L538">
        <v>694</v>
      </c>
      <c r="M538" s="38">
        <v>5478</v>
      </c>
      <c r="N538" s="38">
        <v>1340</v>
      </c>
      <c r="O538" s="38">
        <f t="shared" si="554"/>
        <v>854</v>
      </c>
      <c r="P538" s="38">
        <v>226</v>
      </c>
      <c r="Q538" s="38">
        <v>32</v>
      </c>
      <c r="R538" s="38">
        <v>228</v>
      </c>
      <c r="S538" s="38">
        <v>545</v>
      </c>
      <c r="T538" s="38">
        <v>55</v>
      </c>
      <c r="U538" s="38">
        <f t="shared" si="555"/>
        <v>3538</v>
      </c>
      <c r="V538">
        <v>1538</v>
      </c>
      <c r="W538">
        <v>88</v>
      </c>
      <c r="X538">
        <v>34</v>
      </c>
      <c r="Y538">
        <v>48</v>
      </c>
      <c r="Z538">
        <v>704</v>
      </c>
      <c r="AA538">
        <v>638</v>
      </c>
      <c r="AB538">
        <v>3.97</v>
      </c>
      <c r="AC538">
        <v>0</v>
      </c>
      <c r="AD538">
        <v>9</v>
      </c>
      <c r="AE538">
        <v>53</v>
      </c>
      <c r="AF538" s="45">
        <f t="shared" ca="1" si="542"/>
        <v>6399</v>
      </c>
      <c r="AG538" s="45">
        <f t="shared" ca="1" si="556"/>
        <v>1613</v>
      </c>
      <c r="AH538" s="45">
        <f t="shared" ca="1" si="557"/>
        <v>1095</v>
      </c>
      <c r="AI538" s="45">
        <f t="shared" ca="1" si="558"/>
        <v>257</v>
      </c>
      <c r="AJ538" s="45">
        <f t="shared" ca="1" si="559"/>
        <v>45</v>
      </c>
      <c r="AK538" s="45">
        <f t="shared" ca="1" si="560"/>
        <v>216</v>
      </c>
      <c r="AL538" s="45">
        <f t="shared" ca="1" si="561"/>
        <v>540</v>
      </c>
      <c r="AM538" s="45">
        <f t="shared" ca="1" si="562"/>
        <v>61</v>
      </c>
      <c r="AN538" s="45">
        <f t="shared" ca="1" si="563"/>
        <v>4185</v>
      </c>
      <c r="AO538">
        <v>4335</v>
      </c>
      <c r="AP538">
        <v>1324</v>
      </c>
      <c r="AQ538">
        <v>193</v>
      </c>
      <c r="AR538">
        <v>503</v>
      </c>
      <c r="AS538">
        <v>1352</v>
      </c>
      <c r="AT538">
        <v>100</v>
      </c>
      <c r="AU538">
        <v>129</v>
      </c>
      <c r="AV538">
        <v>0.98299999999999998</v>
      </c>
      <c r="AW538" s="1"/>
      <c r="AX538" s="1"/>
      <c r="AY538" s="47">
        <f t="shared" si="564"/>
        <v>29700</v>
      </c>
      <c r="AZ538" s="49">
        <f t="shared" si="565"/>
        <v>165567</v>
      </c>
      <c r="BA538" s="49">
        <f t="shared" ref="BA538" si="587">SUMIF($B$2:$B$571,$B538,$O$2:$O$571)</f>
        <v>26918</v>
      </c>
      <c r="BB538" s="48">
        <f t="shared" si="567"/>
        <v>0.16258070750813869</v>
      </c>
    </row>
    <row r="539" spans="2:54" x14ac:dyDescent="0.2">
      <c r="B539" s="3">
        <v>2017</v>
      </c>
      <c r="C539" t="s">
        <v>94</v>
      </c>
      <c r="D539" t="s">
        <v>95</v>
      </c>
      <c r="E539">
        <v>4</v>
      </c>
      <c r="F539" t="s">
        <v>38</v>
      </c>
      <c r="G539" t="s">
        <v>38</v>
      </c>
      <c r="H539" t="s">
        <v>38</v>
      </c>
      <c r="I539" t="s">
        <v>38</v>
      </c>
      <c r="J539">
        <v>78</v>
      </c>
      <c r="K539">
        <v>84</v>
      </c>
      <c r="L539">
        <v>799</v>
      </c>
      <c r="M539" s="38">
        <v>5430</v>
      </c>
      <c r="N539" s="38">
        <v>1326</v>
      </c>
      <c r="O539" s="38">
        <f t="shared" si="554"/>
        <v>813</v>
      </c>
      <c r="P539" s="38">
        <v>255</v>
      </c>
      <c r="Q539" s="38">
        <v>21</v>
      </c>
      <c r="R539" s="38">
        <v>237</v>
      </c>
      <c r="S539" s="38">
        <v>544</v>
      </c>
      <c r="T539" s="38">
        <v>81</v>
      </c>
      <c r="U539" s="38">
        <f t="shared" si="555"/>
        <v>3479</v>
      </c>
      <c r="V539">
        <v>1493</v>
      </c>
      <c r="W539">
        <v>113</v>
      </c>
      <c r="X539">
        <v>44</v>
      </c>
      <c r="Y539">
        <v>39</v>
      </c>
      <c r="Z539">
        <v>816</v>
      </c>
      <c r="AA539">
        <v>742</v>
      </c>
      <c r="AB539">
        <v>4.66</v>
      </c>
      <c r="AC539">
        <v>2</v>
      </c>
      <c r="AD539">
        <v>6</v>
      </c>
      <c r="AE539">
        <v>29</v>
      </c>
      <c r="AF539" s="45">
        <f t="shared" ca="1" si="542"/>
        <v>6293</v>
      </c>
      <c r="AG539" s="45">
        <f t="shared" ca="1" si="556"/>
        <v>1681</v>
      </c>
      <c r="AH539" s="45">
        <f t="shared" ca="1" si="557"/>
        <v>1123</v>
      </c>
      <c r="AI539" s="45">
        <f t="shared" ca="1" si="558"/>
        <v>366</v>
      </c>
      <c r="AJ539" s="45">
        <f t="shared" ca="1" si="559"/>
        <v>32</v>
      </c>
      <c r="AK539" s="45">
        <f t="shared" ca="1" si="560"/>
        <v>160</v>
      </c>
      <c r="AL539" s="45">
        <f t="shared" ca="1" si="561"/>
        <v>490</v>
      </c>
      <c r="AM539" s="45">
        <f t="shared" ca="1" si="562"/>
        <v>66</v>
      </c>
      <c r="AN539" s="45">
        <f t="shared" ca="1" si="563"/>
        <v>4056</v>
      </c>
      <c r="AO539">
        <v>4303</v>
      </c>
      <c r="AP539">
        <v>1443</v>
      </c>
      <c r="AQ539">
        <v>214</v>
      </c>
      <c r="AR539">
        <v>559</v>
      </c>
      <c r="AS539">
        <v>1107</v>
      </c>
      <c r="AT539">
        <v>108</v>
      </c>
      <c r="AU539">
        <v>173</v>
      </c>
      <c r="AV539">
        <v>0.98199999999999998</v>
      </c>
      <c r="AW539" s="1"/>
      <c r="AX539" s="1"/>
      <c r="AY539" s="47">
        <f t="shared" si="564"/>
        <v>29700</v>
      </c>
      <c r="AZ539" s="49">
        <f t="shared" si="565"/>
        <v>165567</v>
      </c>
      <c r="BA539" s="49">
        <f t="shared" ref="BA539" si="588">SUMIF($B$2:$B$571,$B539,$P$2:$P$571)</f>
        <v>8397</v>
      </c>
      <c r="BB539" s="48">
        <f t="shared" si="567"/>
        <v>5.0716628313613218E-2</v>
      </c>
    </row>
    <row r="540" spans="2:54" x14ac:dyDescent="0.2">
      <c r="B540" s="3">
        <v>2017</v>
      </c>
      <c r="C540" t="s">
        <v>96</v>
      </c>
      <c r="D540" t="s">
        <v>97</v>
      </c>
      <c r="E540">
        <v>4</v>
      </c>
      <c r="F540" t="s">
        <v>38</v>
      </c>
      <c r="G540" t="s">
        <v>38</v>
      </c>
      <c r="H540" t="s">
        <v>38</v>
      </c>
      <c r="I540" t="s">
        <v>38</v>
      </c>
      <c r="J540">
        <v>76</v>
      </c>
      <c r="K540">
        <v>86</v>
      </c>
      <c r="L540">
        <v>693</v>
      </c>
      <c r="M540" s="38">
        <v>5499</v>
      </c>
      <c r="N540" s="38">
        <v>1320</v>
      </c>
      <c r="O540" s="38">
        <f t="shared" si="554"/>
        <v>824</v>
      </c>
      <c r="P540" s="38">
        <v>269</v>
      </c>
      <c r="Q540" s="38">
        <v>5</v>
      </c>
      <c r="R540" s="38">
        <v>222</v>
      </c>
      <c r="S540" s="38">
        <v>542</v>
      </c>
      <c r="T540" s="38">
        <v>51</v>
      </c>
      <c r="U540" s="38">
        <f t="shared" si="555"/>
        <v>3586</v>
      </c>
      <c r="V540">
        <v>1327</v>
      </c>
      <c r="W540">
        <v>53</v>
      </c>
      <c r="X540">
        <v>24</v>
      </c>
      <c r="Y540">
        <v>35</v>
      </c>
      <c r="Z540">
        <v>784</v>
      </c>
      <c r="AA540">
        <v>720</v>
      </c>
      <c r="AB540">
        <v>4.42</v>
      </c>
      <c r="AC540">
        <v>2</v>
      </c>
      <c r="AD540">
        <v>6</v>
      </c>
      <c r="AE540">
        <v>45</v>
      </c>
      <c r="AF540" s="45">
        <f t="shared" ca="1" si="542"/>
        <v>6152</v>
      </c>
      <c r="AG540" s="45">
        <f t="shared" ca="1" si="556"/>
        <v>1460</v>
      </c>
      <c r="AH540" s="45">
        <f t="shared" ca="1" si="557"/>
        <v>897</v>
      </c>
      <c r="AI540" s="45">
        <f t="shared" ca="1" si="558"/>
        <v>377</v>
      </c>
      <c r="AJ540" s="45">
        <f t="shared" ca="1" si="559"/>
        <v>24</v>
      </c>
      <c r="AK540" s="45">
        <f t="shared" ca="1" si="560"/>
        <v>162</v>
      </c>
      <c r="AL540" s="45">
        <f t="shared" ca="1" si="561"/>
        <v>516</v>
      </c>
      <c r="AM540" s="45">
        <f t="shared" ca="1" si="562"/>
        <v>36</v>
      </c>
      <c r="AN540" s="45">
        <f t="shared" ca="1" si="563"/>
        <v>4140</v>
      </c>
      <c r="AO540">
        <v>4395</v>
      </c>
      <c r="AP540">
        <v>1460</v>
      </c>
      <c r="AQ540">
        <v>203</v>
      </c>
      <c r="AR540">
        <v>549</v>
      </c>
      <c r="AS540">
        <v>1372</v>
      </c>
      <c r="AT540">
        <v>92</v>
      </c>
      <c r="AU540">
        <v>145</v>
      </c>
      <c r="AV540">
        <v>0.98499999999999999</v>
      </c>
      <c r="AW540" s="1"/>
      <c r="AX540" s="1"/>
      <c r="AY540" s="47">
        <f t="shared" si="564"/>
        <v>29700</v>
      </c>
      <c r="AZ540" s="49">
        <f t="shared" si="565"/>
        <v>165567</v>
      </c>
      <c r="BA540" s="49">
        <f t="shared" ref="BA540" si="589">SUMIF($B$2:$B$571,$B540,$Q$2:$Q$571)</f>
        <v>795</v>
      </c>
      <c r="BB540" s="48">
        <f t="shared" si="567"/>
        <v>4.8016814945007159E-3</v>
      </c>
    </row>
    <row r="541" spans="2:54" x14ac:dyDescent="0.2">
      <c r="B541" s="3">
        <v>2017</v>
      </c>
      <c r="C541" t="s">
        <v>100</v>
      </c>
      <c r="D541" t="s">
        <v>101</v>
      </c>
      <c r="E541">
        <v>1</v>
      </c>
      <c r="F541" t="s">
        <v>43</v>
      </c>
      <c r="G541" t="s">
        <v>38</v>
      </c>
      <c r="H541" t="s">
        <v>38</v>
      </c>
      <c r="I541" t="s">
        <v>38</v>
      </c>
      <c r="J541">
        <v>97</v>
      </c>
      <c r="K541">
        <v>65</v>
      </c>
      <c r="L541">
        <v>819</v>
      </c>
      <c r="M541" s="38">
        <v>5553</v>
      </c>
      <c r="N541" s="38">
        <v>1477</v>
      </c>
      <c r="O541" s="38">
        <f t="shared" si="554"/>
        <v>920</v>
      </c>
      <c r="P541" s="38">
        <v>311</v>
      </c>
      <c r="Q541" s="38">
        <v>31</v>
      </c>
      <c r="R541" s="38">
        <v>215</v>
      </c>
      <c r="S541" s="38">
        <v>542</v>
      </c>
      <c r="T541" s="38">
        <v>31</v>
      </c>
      <c r="U541" s="38">
        <f t="shared" si="555"/>
        <v>3503</v>
      </c>
      <c r="V541">
        <v>1327</v>
      </c>
      <c r="W541">
        <v>108</v>
      </c>
      <c r="X541">
        <v>30</v>
      </c>
      <c r="Y541">
        <v>45</v>
      </c>
      <c r="Z541">
        <v>672</v>
      </c>
      <c r="AA541">
        <v>623</v>
      </c>
      <c r="AB541">
        <v>3.88</v>
      </c>
      <c r="AC541">
        <v>3</v>
      </c>
      <c r="AD541">
        <v>5</v>
      </c>
      <c r="AE541">
        <v>46</v>
      </c>
      <c r="AF541" s="45">
        <f t="shared" ca="1" si="542"/>
        <v>6074</v>
      </c>
      <c r="AG541" s="45">
        <f t="shared" ca="1" si="556"/>
        <v>1600</v>
      </c>
      <c r="AH541" s="45">
        <f t="shared" ca="1" si="557"/>
        <v>1178</v>
      </c>
      <c r="AI541" s="45">
        <f t="shared" ca="1" si="558"/>
        <v>240</v>
      </c>
      <c r="AJ541" s="45">
        <f t="shared" ca="1" si="559"/>
        <v>50</v>
      </c>
      <c r="AK541" s="45">
        <f t="shared" ca="1" si="560"/>
        <v>132</v>
      </c>
      <c r="AL541" s="45">
        <f t="shared" ca="1" si="561"/>
        <v>577</v>
      </c>
      <c r="AM541" s="45">
        <f t="shared" ca="1" si="562"/>
        <v>48</v>
      </c>
      <c r="AN541" s="45">
        <f t="shared" ca="1" si="563"/>
        <v>3849</v>
      </c>
      <c r="AO541">
        <v>4340</v>
      </c>
      <c r="AP541">
        <v>1300</v>
      </c>
      <c r="AQ541">
        <v>189</v>
      </c>
      <c r="AR541">
        <v>495</v>
      </c>
      <c r="AS541">
        <v>1457</v>
      </c>
      <c r="AT541">
        <v>86</v>
      </c>
      <c r="AU541">
        <v>139</v>
      </c>
      <c r="AV541">
        <v>0.98499999999999999</v>
      </c>
      <c r="AW541" s="1"/>
      <c r="AX541" s="1"/>
      <c r="AY541" s="47">
        <f t="shared" si="564"/>
        <v>29700</v>
      </c>
      <c r="AZ541" s="49">
        <f t="shared" si="565"/>
        <v>165567</v>
      </c>
      <c r="BA541" s="49">
        <f t="shared" ref="BA541" si="590">SUMIF($B$2:$B$571,$B541,$R$2:$R$571)</f>
        <v>6105</v>
      </c>
      <c r="BB541" s="48">
        <f t="shared" si="567"/>
        <v>3.6873289967203612E-2</v>
      </c>
    </row>
    <row r="542" spans="2:54" x14ac:dyDescent="0.2">
      <c r="B542" s="3">
        <v>2018</v>
      </c>
      <c r="C542" t="s">
        <v>39</v>
      </c>
      <c r="D542" t="s">
        <v>40</v>
      </c>
      <c r="E542">
        <v>3</v>
      </c>
      <c r="F542" t="s">
        <v>38</v>
      </c>
      <c r="G542" t="s">
        <v>38</v>
      </c>
      <c r="H542" t="s">
        <v>38</v>
      </c>
      <c r="I542" t="s">
        <v>38</v>
      </c>
      <c r="J542">
        <v>82</v>
      </c>
      <c r="K542">
        <v>80</v>
      </c>
      <c r="L542">
        <v>693</v>
      </c>
      <c r="M542" s="38">
        <v>5460</v>
      </c>
      <c r="N542" s="38">
        <v>1283</v>
      </c>
      <c r="O542" s="38">
        <f t="shared" si="554"/>
        <v>798</v>
      </c>
      <c r="P542" s="38">
        <v>259</v>
      </c>
      <c r="Q542" s="38">
        <v>50</v>
      </c>
      <c r="R542" s="38">
        <v>176</v>
      </c>
      <c r="S542" s="38">
        <v>560</v>
      </c>
      <c r="T542" s="38">
        <v>52</v>
      </c>
      <c r="U542" s="38">
        <f t="shared" si="555"/>
        <v>3565</v>
      </c>
      <c r="V542">
        <v>1460</v>
      </c>
      <c r="W542">
        <v>79</v>
      </c>
      <c r="X542">
        <v>25</v>
      </c>
      <c r="Y542">
        <v>45</v>
      </c>
      <c r="Z542">
        <v>644</v>
      </c>
      <c r="AA542">
        <v>605</v>
      </c>
      <c r="AB542">
        <v>3.72</v>
      </c>
      <c r="AC542">
        <v>2</v>
      </c>
      <c r="AD542">
        <v>9</v>
      </c>
      <c r="AE542">
        <v>39</v>
      </c>
      <c r="AF542" s="45">
        <f t="shared" ca="1" si="542"/>
        <v>6381</v>
      </c>
      <c r="AG542" s="45">
        <f t="shared" ca="1" si="556"/>
        <v>1468</v>
      </c>
      <c r="AH542" s="45">
        <f t="shared" ca="1" si="557"/>
        <v>900</v>
      </c>
      <c r="AI542" s="45">
        <f t="shared" ca="1" si="558"/>
        <v>315</v>
      </c>
      <c r="AJ542" s="45">
        <f t="shared" ca="1" si="559"/>
        <v>28</v>
      </c>
      <c r="AK542" s="45">
        <f t="shared" ca="1" si="560"/>
        <v>225</v>
      </c>
      <c r="AL542" s="45">
        <f t="shared" ca="1" si="561"/>
        <v>499</v>
      </c>
      <c r="AM542" s="45">
        <f t="shared" ca="1" si="562"/>
        <v>75</v>
      </c>
      <c r="AN542" s="45">
        <f t="shared" ca="1" si="563"/>
        <v>4339</v>
      </c>
      <c r="AO542">
        <v>4389</v>
      </c>
      <c r="AP542">
        <v>1313</v>
      </c>
      <c r="AQ542">
        <v>174</v>
      </c>
      <c r="AR542">
        <v>522</v>
      </c>
      <c r="AS542">
        <v>1448</v>
      </c>
      <c r="AT542">
        <v>75</v>
      </c>
      <c r="AU542">
        <v>152</v>
      </c>
      <c r="AV542">
        <v>0.98799999999999999</v>
      </c>
      <c r="AW542" s="1"/>
      <c r="AX542" s="1"/>
      <c r="AY542" s="47">
        <f t="shared" si="564"/>
        <v>29700</v>
      </c>
      <c r="AZ542" s="49">
        <f t="shared" si="565"/>
        <v>165432</v>
      </c>
      <c r="BA542" s="49">
        <f t="shared" ref="BA542" si="591">SUMIF($B$2:$B$571,$B542,$S$2:$S$571)</f>
        <v>15686</v>
      </c>
      <c r="BB542" s="48">
        <f t="shared" si="567"/>
        <v>9.4818414816964069E-2</v>
      </c>
    </row>
    <row r="543" spans="2:54" x14ac:dyDescent="0.2">
      <c r="B543" s="3">
        <v>2018</v>
      </c>
      <c r="C543" t="s">
        <v>41</v>
      </c>
      <c r="D543" t="s">
        <v>42</v>
      </c>
      <c r="E543">
        <v>1</v>
      </c>
      <c r="F543" t="s">
        <v>43</v>
      </c>
      <c r="G543" t="s">
        <v>38</v>
      </c>
      <c r="H543" t="s">
        <v>38</v>
      </c>
      <c r="I543" t="s">
        <v>38</v>
      </c>
      <c r="J543">
        <v>90</v>
      </c>
      <c r="K543">
        <v>72</v>
      </c>
      <c r="L543">
        <v>759</v>
      </c>
      <c r="M543" s="38">
        <v>5582</v>
      </c>
      <c r="N543" s="38">
        <v>1433</v>
      </c>
      <c r="O543" s="38">
        <f t="shared" si="554"/>
        <v>915</v>
      </c>
      <c r="P543" s="38">
        <v>314</v>
      </c>
      <c r="Q543" s="38">
        <v>29</v>
      </c>
      <c r="R543" s="38">
        <v>175</v>
      </c>
      <c r="S543" s="38">
        <v>511</v>
      </c>
      <c r="T543" s="38">
        <v>66</v>
      </c>
      <c r="U543" s="38">
        <f t="shared" si="555"/>
        <v>3572</v>
      </c>
      <c r="V543">
        <v>1290</v>
      </c>
      <c r="W543">
        <v>90</v>
      </c>
      <c r="X543">
        <v>36</v>
      </c>
      <c r="Y543">
        <v>43</v>
      </c>
      <c r="Z543">
        <v>657</v>
      </c>
      <c r="AA543">
        <v>607</v>
      </c>
      <c r="AB543">
        <v>3.75</v>
      </c>
      <c r="AC543">
        <v>2</v>
      </c>
      <c r="AD543">
        <v>11</v>
      </c>
      <c r="AE543">
        <v>40</v>
      </c>
      <c r="AF543" s="45">
        <f t="shared" ca="1" si="542"/>
        <v>6386</v>
      </c>
      <c r="AG543" s="45">
        <f t="shared" ca="1" si="556"/>
        <v>1388</v>
      </c>
      <c r="AH543" s="45">
        <f t="shared" ca="1" si="557"/>
        <v>749</v>
      </c>
      <c r="AI543" s="45">
        <f t="shared" ca="1" si="558"/>
        <v>399</v>
      </c>
      <c r="AJ543" s="45">
        <f t="shared" ca="1" si="559"/>
        <v>48</v>
      </c>
      <c r="AK543" s="45">
        <f t="shared" ca="1" si="560"/>
        <v>192</v>
      </c>
      <c r="AL543" s="45">
        <f t="shared" ca="1" si="561"/>
        <v>429</v>
      </c>
      <c r="AM543" s="45">
        <f t="shared" ca="1" si="562"/>
        <v>35</v>
      </c>
      <c r="AN543" s="45">
        <f t="shared" ca="1" si="563"/>
        <v>4534</v>
      </c>
      <c r="AO543">
        <v>4370</v>
      </c>
      <c r="AP543">
        <v>1236</v>
      </c>
      <c r="AQ543">
        <v>153</v>
      </c>
      <c r="AR543">
        <v>635</v>
      </c>
      <c r="AS543">
        <v>1423</v>
      </c>
      <c r="AT543">
        <v>80</v>
      </c>
      <c r="AU543">
        <v>134</v>
      </c>
      <c r="AV543">
        <v>0.98599999999999999</v>
      </c>
      <c r="AW543" s="1"/>
      <c r="AX543" s="1"/>
      <c r="AY543" s="47">
        <f t="shared" si="564"/>
        <v>29700</v>
      </c>
      <c r="AZ543" s="49">
        <f t="shared" si="565"/>
        <v>165432</v>
      </c>
      <c r="BA543" s="49">
        <f t="shared" ref="BA543" si="592">SUMIF($B$2:$B$571,$B543,$T$2:$T$571)</f>
        <v>1922</v>
      </c>
      <c r="BB543" s="48">
        <f t="shared" si="567"/>
        <v>1.1618066637651725E-2</v>
      </c>
    </row>
    <row r="544" spans="2:54" x14ac:dyDescent="0.2">
      <c r="B544" s="3">
        <v>2018</v>
      </c>
      <c r="C544" t="s">
        <v>44</v>
      </c>
      <c r="D544" t="s">
        <v>45</v>
      </c>
      <c r="E544">
        <v>5</v>
      </c>
      <c r="F544" t="s">
        <v>38</v>
      </c>
      <c r="G544" t="s">
        <v>38</v>
      </c>
      <c r="H544" t="s">
        <v>38</v>
      </c>
      <c r="I544" t="s">
        <v>38</v>
      </c>
      <c r="J544">
        <v>47</v>
      </c>
      <c r="K544">
        <v>115</v>
      </c>
      <c r="L544">
        <v>622</v>
      </c>
      <c r="M544" s="38">
        <v>5507</v>
      </c>
      <c r="N544" s="38">
        <v>1317</v>
      </c>
      <c r="O544" s="38">
        <f t="shared" si="554"/>
        <v>872</v>
      </c>
      <c r="P544" s="38">
        <v>242</v>
      </c>
      <c r="Q544" s="38">
        <v>15</v>
      </c>
      <c r="R544" s="38">
        <v>188</v>
      </c>
      <c r="S544" s="38">
        <v>422</v>
      </c>
      <c r="T544" s="38">
        <v>57</v>
      </c>
      <c r="U544" s="38">
        <f t="shared" si="555"/>
        <v>3711</v>
      </c>
      <c r="V544">
        <v>1412</v>
      </c>
      <c r="W544">
        <v>81</v>
      </c>
      <c r="X544">
        <v>22</v>
      </c>
      <c r="Y544">
        <v>35</v>
      </c>
      <c r="Z544">
        <v>892</v>
      </c>
      <c r="AA544">
        <v>824</v>
      </c>
      <c r="AB544">
        <v>5.18</v>
      </c>
      <c r="AC544">
        <v>2</v>
      </c>
      <c r="AD544">
        <v>7</v>
      </c>
      <c r="AE544">
        <v>28</v>
      </c>
      <c r="AF544" s="45">
        <f t="shared" ca="1" si="542"/>
        <v>6457</v>
      </c>
      <c r="AG544" s="45">
        <f t="shared" ca="1" si="556"/>
        <v>1605</v>
      </c>
      <c r="AH544" s="45">
        <f t="shared" ca="1" si="557"/>
        <v>1107</v>
      </c>
      <c r="AI544" s="45">
        <f t="shared" ca="1" si="558"/>
        <v>283</v>
      </c>
      <c r="AJ544" s="45">
        <f t="shared" ca="1" si="559"/>
        <v>50</v>
      </c>
      <c r="AK544" s="45">
        <f t="shared" ca="1" si="560"/>
        <v>165</v>
      </c>
      <c r="AL544" s="45">
        <f t="shared" ca="1" si="561"/>
        <v>633</v>
      </c>
      <c r="AM544" s="45">
        <f t="shared" ca="1" si="562"/>
        <v>76</v>
      </c>
      <c r="AN544" s="45">
        <f t="shared" ca="1" si="563"/>
        <v>4143</v>
      </c>
      <c r="AO544">
        <v>4293</v>
      </c>
      <c r="AP544">
        <v>1552</v>
      </c>
      <c r="AQ544">
        <v>234</v>
      </c>
      <c r="AR544">
        <v>589</v>
      </c>
      <c r="AS544">
        <v>1203</v>
      </c>
      <c r="AT544">
        <v>104</v>
      </c>
      <c r="AU544">
        <v>159</v>
      </c>
      <c r="AV544">
        <v>0.98199999999999998</v>
      </c>
      <c r="AW544" s="1"/>
      <c r="AX544" s="1"/>
      <c r="AY544" s="47">
        <f t="shared" si="564"/>
        <v>29700</v>
      </c>
      <c r="AZ544" s="49">
        <f t="shared" si="565"/>
        <v>165432</v>
      </c>
      <c r="BA544" s="49">
        <f t="shared" ref="BA544" si="593">SUMIF($B$2:$B$571,$B544,$U$2:$U$571)</f>
        <v>106804</v>
      </c>
      <c r="BB544" s="48">
        <f t="shared" si="567"/>
        <v>0.6456066540935248</v>
      </c>
    </row>
    <row r="545" spans="2:54" x14ac:dyDescent="0.2">
      <c r="B545" s="3">
        <v>2018</v>
      </c>
      <c r="C545" t="s">
        <v>46</v>
      </c>
      <c r="D545" t="s">
        <v>47</v>
      </c>
      <c r="E545">
        <v>1</v>
      </c>
      <c r="F545" t="s">
        <v>43</v>
      </c>
      <c r="G545" t="s">
        <v>38</v>
      </c>
      <c r="H545" t="s">
        <v>43</v>
      </c>
      <c r="I545" t="s">
        <v>43</v>
      </c>
      <c r="J545">
        <v>108</v>
      </c>
      <c r="K545">
        <v>54</v>
      </c>
      <c r="L545">
        <v>876</v>
      </c>
      <c r="M545" s="38">
        <v>5623</v>
      </c>
      <c r="N545" s="38">
        <v>1509</v>
      </c>
      <c r="O545" s="38">
        <f t="shared" si="554"/>
        <v>915</v>
      </c>
      <c r="P545" s="38">
        <v>355</v>
      </c>
      <c r="Q545" s="38">
        <v>31</v>
      </c>
      <c r="R545" s="38">
        <v>208</v>
      </c>
      <c r="S545" s="38">
        <v>569</v>
      </c>
      <c r="T545" s="38">
        <v>55</v>
      </c>
      <c r="U545" s="38">
        <f t="shared" si="555"/>
        <v>3490</v>
      </c>
      <c r="V545">
        <v>1253</v>
      </c>
      <c r="W545">
        <v>125</v>
      </c>
      <c r="X545">
        <v>31</v>
      </c>
      <c r="Y545">
        <v>48</v>
      </c>
      <c r="Z545">
        <v>647</v>
      </c>
      <c r="AA545">
        <v>608</v>
      </c>
      <c r="AB545">
        <v>3.75</v>
      </c>
      <c r="AC545">
        <v>2</v>
      </c>
      <c r="AD545">
        <v>14</v>
      </c>
      <c r="AE545">
        <v>46</v>
      </c>
      <c r="AF545" s="45">
        <f t="shared" ca="1" si="542"/>
        <v>6308</v>
      </c>
      <c r="AG545" s="45">
        <f t="shared" ca="1" si="556"/>
        <v>1603</v>
      </c>
      <c r="AH545" s="45">
        <f t="shared" ca="1" si="557"/>
        <v>955</v>
      </c>
      <c r="AI545" s="45">
        <f t="shared" ca="1" si="558"/>
        <v>379</v>
      </c>
      <c r="AJ545" s="45">
        <f t="shared" ca="1" si="559"/>
        <v>34</v>
      </c>
      <c r="AK545" s="45">
        <f t="shared" ca="1" si="560"/>
        <v>235</v>
      </c>
      <c r="AL545" s="45">
        <f t="shared" ca="1" si="561"/>
        <v>488</v>
      </c>
      <c r="AM545" s="45">
        <f t="shared" ca="1" si="562"/>
        <v>75</v>
      </c>
      <c r="AN545" s="45">
        <f t="shared" ca="1" si="563"/>
        <v>4142</v>
      </c>
      <c r="AO545">
        <v>4376</v>
      </c>
      <c r="AP545">
        <v>1305</v>
      </c>
      <c r="AQ545">
        <v>176</v>
      </c>
      <c r="AR545">
        <v>512</v>
      </c>
      <c r="AS545">
        <v>1558</v>
      </c>
      <c r="AT545">
        <v>77</v>
      </c>
      <c r="AU545">
        <v>106</v>
      </c>
      <c r="AV545">
        <v>0.98699999999999999</v>
      </c>
      <c r="AW545" s="1"/>
      <c r="AX545" s="1"/>
      <c r="AY545" s="47">
        <f t="shared" si="564"/>
        <v>29700</v>
      </c>
      <c r="AZ545" s="49">
        <f t="shared" si="565"/>
        <v>165432</v>
      </c>
      <c r="BA545" s="49"/>
      <c r="BB545" s="48">
        <f t="shared" si="567"/>
        <v>0</v>
      </c>
    </row>
    <row r="546" spans="2:54" x14ac:dyDescent="0.2">
      <c r="B546" s="3">
        <v>2018</v>
      </c>
      <c r="C546" t="s">
        <v>48</v>
      </c>
      <c r="D546" t="s">
        <v>49</v>
      </c>
      <c r="E546">
        <v>4</v>
      </c>
      <c r="F546" t="s">
        <v>38</v>
      </c>
      <c r="G546" t="s">
        <v>38</v>
      </c>
      <c r="H546" t="s">
        <v>38</v>
      </c>
      <c r="I546" t="s">
        <v>38</v>
      </c>
      <c r="J546">
        <v>62</v>
      </c>
      <c r="K546">
        <v>100</v>
      </c>
      <c r="L546">
        <v>656</v>
      </c>
      <c r="M546" s="38">
        <v>5523</v>
      </c>
      <c r="N546" s="38">
        <v>1332</v>
      </c>
      <c r="O546" s="38">
        <f t="shared" si="554"/>
        <v>851</v>
      </c>
      <c r="P546" s="38">
        <v>259</v>
      </c>
      <c r="Q546" s="38">
        <v>40</v>
      </c>
      <c r="R546" s="38">
        <v>182</v>
      </c>
      <c r="S546" s="38">
        <v>425</v>
      </c>
      <c r="T546" s="38">
        <v>66</v>
      </c>
      <c r="U546" s="38">
        <f t="shared" si="555"/>
        <v>3700</v>
      </c>
      <c r="V546">
        <v>1594</v>
      </c>
      <c r="W546">
        <v>98</v>
      </c>
      <c r="X546">
        <v>41</v>
      </c>
      <c r="Y546">
        <v>32</v>
      </c>
      <c r="Z546">
        <v>848</v>
      </c>
      <c r="AA546">
        <v>772</v>
      </c>
      <c r="AB546">
        <v>4.84</v>
      </c>
      <c r="AC546">
        <v>0</v>
      </c>
      <c r="AD546">
        <v>8</v>
      </c>
      <c r="AE546">
        <v>34</v>
      </c>
      <c r="AF546" s="45">
        <f t="shared" ca="1" si="542"/>
        <v>6210</v>
      </c>
      <c r="AG546" s="45">
        <f t="shared" ca="1" si="556"/>
        <v>1606</v>
      </c>
      <c r="AH546" s="45">
        <f t="shared" ca="1" si="557"/>
        <v>1196</v>
      </c>
      <c r="AI546" s="45">
        <f t="shared" ca="1" si="558"/>
        <v>228</v>
      </c>
      <c r="AJ546" s="45">
        <f t="shared" ca="1" si="559"/>
        <v>28</v>
      </c>
      <c r="AK546" s="45">
        <f t="shared" ca="1" si="560"/>
        <v>154</v>
      </c>
      <c r="AL546" s="45">
        <f t="shared" ca="1" si="561"/>
        <v>494</v>
      </c>
      <c r="AM546" s="45">
        <f t="shared" ca="1" si="562"/>
        <v>64</v>
      </c>
      <c r="AN546" s="45">
        <f t="shared" ca="1" si="563"/>
        <v>4046</v>
      </c>
      <c r="AO546">
        <v>4311</v>
      </c>
      <c r="AP546">
        <v>1405</v>
      </c>
      <c r="AQ546">
        <v>196</v>
      </c>
      <c r="AR546">
        <v>653</v>
      </c>
      <c r="AS546">
        <v>1259</v>
      </c>
      <c r="AT546">
        <v>114</v>
      </c>
      <c r="AU546">
        <v>135</v>
      </c>
      <c r="AV546">
        <v>0.98099999999999998</v>
      </c>
      <c r="AW546" s="1"/>
      <c r="AX546" s="1"/>
      <c r="AY546" s="47">
        <f t="shared" si="564"/>
        <v>29700</v>
      </c>
      <c r="AZ546" s="49">
        <f t="shared" si="565"/>
        <v>165432</v>
      </c>
      <c r="BA546" s="49">
        <f t="shared" ref="BA546" si="594">SUMIF($B$2:$B$571,$B546,$O$2:$O$571)</f>
        <v>26323</v>
      </c>
      <c r="BB546" s="48">
        <f t="shared" si="567"/>
        <v>0.15911673678611152</v>
      </c>
    </row>
    <row r="547" spans="2:54" x14ac:dyDescent="0.2">
      <c r="B547" s="3">
        <v>2018</v>
      </c>
      <c r="C547" t="s">
        <v>50</v>
      </c>
      <c r="D547" t="s">
        <v>51</v>
      </c>
      <c r="E547">
        <v>2</v>
      </c>
      <c r="F547" t="s">
        <v>38</v>
      </c>
      <c r="G547" t="s">
        <v>43</v>
      </c>
      <c r="H547" t="s">
        <v>38</v>
      </c>
      <c r="I547" t="s">
        <v>38</v>
      </c>
      <c r="J547">
        <v>95</v>
      </c>
      <c r="K547">
        <v>68</v>
      </c>
      <c r="L547">
        <v>761</v>
      </c>
      <c r="M547" s="38">
        <v>5624</v>
      </c>
      <c r="N547" s="38">
        <v>1453</v>
      </c>
      <c r="O547" s="38">
        <f t="shared" si="554"/>
        <v>966</v>
      </c>
      <c r="P547" s="38">
        <v>286</v>
      </c>
      <c r="Q547" s="38">
        <v>34</v>
      </c>
      <c r="R547" s="38">
        <v>167</v>
      </c>
      <c r="S547" s="38">
        <v>576</v>
      </c>
      <c r="T547" s="38">
        <v>78</v>
      </c>
      <c r="U547" s="38">
        <f t="shared" si="555"/>
        <v>3517</v>
      </c>
      <c r="V547">
        <v>1388</v>
      </c>
      <c r="W547">
        <v>66</v>
      </c>
      <c r="X547">
        <v>38</v>
      </c>
      <c r="Y547">
        <v>46</v>
      </c>
      <c r="Z547">
        <v>645</v>
      </c>
      <c r="AA547">
        <v>598</v>
      </c>
      <c r="AB547">
        <v>3.65</v>
      </c>
      <c r="AC547">
        <v>1</v>
      </c>
      <c r="AD547">
        <v>18</v>
      </c>
      <c r="AE547">
        <v>46</v>
      </c>
      <c r="AF547" s="45">
        <f t="shared" ca="1" si="542"/>
        <v>6399</v>
      </c>
      <c r="AG547" s="45">
        <f t="shared" ca="1" si="556"/>
        <v>1381</v>
      </c>
      <c r="AH547" s="45">
        <f t="shared" ca="1" si="557"/>
        <v>878</v>
      </c>
      <c r="AI547" s="45">
        <f t="shared" ca="1" si="558"/>
        <v>300</v>
      </c>
      <c r="AJ547" s="45">
        <f t="shared" ca="1" si="559"/>
        <v>46</v>
      </c>
      <c r="AK547" s="45">
        <f t="shared" ca="1" si="560"/>
        <v>157</v>
      </c>
      <c r="AL547" s="45">
        <f t="shared" ca="1" si="561"/>
        <v>606</v>
      </c>
      <c r="AM547" s="45">
        <f t="shared" ca="1" si="562"/>
        <v>74</v>
      </c>
      <c r="AN547" s="45">
        <f t="shared" ca="1" si="563"/>
        <v>4338</v>
      </c>
      <c r="AO547">
        <v>4429</v>
      </c>
      <c r="AP547">
        <v>1319</v>
      </c>
      <c r="AQ547">
        <v>157</v>
      </c>
      <c r="AR547">
        <v>622</v>
      </c>
      <c r="AS547">
        <v>1333</v>
      </c>
      <c r="AT547">
        <v>104</v>
      </c>
      <c r="AU547">
        <v>155</v>
      </c>
      <c r="AV547">
        <v>0.98299999999999998</v>
      </c>
      <c r="AW547" s="1"/>
      <c r="AX547" s="1"/>
      <c r="AY547" s="47">
        <f t="shared" si="564"/>
        <v>29700</v>
      </c>
      <c r="AZ547" s="49">
        <f t="shared" si="565"/>
        <v>165432</v>
      </c>
      <c r="BA547" s="49">
        <f t="shared" ref="BA547" si="595">SUMIF($B$2:$B$571,$B547,$P$2:$P$571)</f>
        <v>8265</v>
      </c>
      <c r="BB547" s="48">
        <f t="shared" si="567"/>
        <v>4.9960104453793702E-2</v>
      </c>
    </row>
    <row r="548" spans="2:54" x14ac:dyDescent="0.2">
      <c r="B548" s="3">
        <v>2018</v>
      </c>
      <c r="C548" t="s">
        <v>52</v>
      </c>
      <c r="D548" t="s">
        <v>53</v>
      </c>
      <c r="E548">
        <v>5</v>
      </c>
      <c r="F548" t="s">
        <v>38</v>
      </c>
      <c r="G548" t="s">
        <v>38</v>
      </c>
      <c r="H548" t="s">
        <v>38</v>
      </c>
      <c r="I548" t="s">
        <v>38</v>
      </c>
      <c r="J548">
        <v>67</v>
      </c>
      <c r="K548">
        <v>95</v>
      </c>
      <c r="L548">
        <v>696</v>
      </c>
      <c r="M548" s="38">
        <v>5532</v>
      </c>
      <c r="N548" s="38">
        <v>1404</v>
      </c>
      <c r="O548" s="38">
        <f t="shared" si="554"/>
        <v>956</v>
      </c>
      <c r="P548" s="38">
        <v>251</v>
      </c>
      <c r="Q548" s="38">
        <v>25</v>
      </c>
      <c r="R548" s="38">
        <v>172</v>
      </c>
      <c r="S548" s="38">
        <v>559</v>
      </c>
      <c r="T548" s="38">
        <v>65</v>
      </c>
      <c r="U548" s="38">
        <f t="shared" si="555"/>
        <v>3504</v>
      </c>
      <c r="V548">
        <v>1376</v>
      </c>
      <c r="W548">
        <v>77</v>
      </c>
      <c r="X548">
        <v>33</v>
      </c>
      <c r="Y548">
        <v>35</v>
      </c>
      <c r="Z548">
        <v>819</v>
      </c>
      <c r="AA548">
        <v>741</v>
      </c>
      <c r="AB548">
        <v>4.63</v>
      </c>
      <c r="AC548">
        <v>1</v>
      </c>
      <c r="AD548">
        <v>6</v>
      </c>
      <c r="AE548">
        <v>38</v>
      </c>
      <c r="AF548" s="45">
        <f t="shared" ca="1" si="542"/>
        <v>6375</v>
      </c>
      <c r="AG548" s="45">
        <f t="shared" ca="1" si="556"/>
        <v>1700</v>
      </c>
      <c r="AH548" s="45">
        <f t="shared" ca="1" si="557"/>
        <v>1190</v>
      </c>
      <c r="AI548" s="45">
        <f t="shared" ca="1" si="558"/>
        <v>298</v>
      </c>
      <c r="AJ548" s="45">
        <f t="shared" ca="1" si="559"/>
        <v>21</v>
      </c>
      <c r="AK548" s="45">
        <f t="shared" ca="1" si="560"/>
        <v>191</v>
      </c>
      <c r="AL548" s="45">
        <f t="shared" ca="1" si="561"/>
        <v>619</v>
      </c>
      <c r="AM548" s="45">
        <f t="shared" ca="1" si="562"/>
        <v>62</v>
      </c>
      <c r="AN548" s="45">
        <f t="shared" ca="1" si="563"/>
        <v>3994</v>
      </c>
      <c r="AO548">
        <v>4323</v>
      </c>
      <c r="AP548">
        <v>1491</v>
      </c>
      <c r="AQ548">
        <v>228</v>
      </c>
      <c r="AR548">
        <v>532</v>
      </c>
      <c r="AS548">
        <v>1258</v>
      </c>
      <c r="AT548">
        <v>95</v>
      </c>
      <c r="AU548">
        <v>144</v>
      </c>
      <c r="AV548">
        <v>0.98399999999999999</v>
      </c>
      <c r="AW548" s="1"/>
      <c r="AX548" s="1"/>
      <c r="AY548" s="47">
        <f t="shared" si="564"/>
        <v>29700</v>
      </c>
      <c r="AZ548" s="49">
        <f t="shared" si="565"/>
        <v>165432</v>
      </c>
      <c r="BA548" s="49">
        <f t="shared" ref="BA548" si="596">SUMIF($B$2:$B$571,$B548,$Q$2:$Q$571)</f>
        <v>847</v>
      </c>
      <c r="BB548" s="48">
        <f t="shared" si="567"/>
        <v>5.1199284298080175E-3</v>
      </c>
    </row>
    <row r="549" spans="2:54" x14ac:dyDescent="0.2">
      <c r="B549" s="3">
        <v>2018</v>
      </c>
      <c r="C549" t="s">
        <v>54</v>
      </c>
      <c r="D549" t="s">
        <v>55</v>
      </c>
      <c r="E549">
        <v>1</v>
      </c>
      <c r="F549" t="s">
        <v>43</v>
      </c>
      <c r="G549" t="s">
        <v>38</v>
      </c>
      <c r="H549" t="s">
        <v>38</v>
      </c>
      <c r="I549" t="s">
        <v>38</v>
      </c>
      <c r="J549">
        <v>91</v>
      </c>
      <c r="K549">
        <v>71</v>
      </c>
      <c r="L549">
        <v>818</v>
      </c>
      <c r="M549" s="38">
        <v>5595</v>
      </c>
      <c r="N549" s="38">
        <v>1447</v>
      </c>
      <c r="O549" s="38">
        <f t="shared" si="554"/>
        <v>915</v>
      </c>
      <c r="P549" s="38">
        <v>297</v>
      </c>
      <c r="Q549" s="38">
        <v>19</v>
      </c>
      <c r="R549" s="38">
        <v>216</v>
      </c>
      <c r="S549" s="38">
        <v>554</v>
      </c>
      <c r="T549" s="38">
        <v>80</v>
      </c>
      <c r="U549" s="38">
        <f t="shared" si="555"/>
        <v>3514</v>
      </c>
      <c r="V549">
        <v>1189</v>
      </c>
      <c r="W549">
        <v>135</v>
      </c>
      <c r="X549">
        <v>36</v>
      </c>
      <c r="Y549">
        <v>44</v>
      </c>
      <c r="Z549">
        <v>648</v>
      </c>
      <c r="AA549">
        <v>611</v>
      </c>
      <c r="AB549">
        <v>3.77</v>
      </c>
      <c r="AC549">
        <v>5</v>
      </c>
      <c r="AD549">
        <v>17</v>
      </c>
      <c r="AE549">
        <v>41</v>
      </c>
      <c r="AF549" s="45">
        <f t="shared" ca="1" si="542"/>
        <v>6175</v>
      </c>
      <c r="AG549" s="45">
        <f t="shared" ca="1" si="556"/>
        <v>1613</v>
      </c>
      <c r="AH549" s="45">
        <f t="shared" ca="1" si="557"/>
        <v>1160</v>
      </c>
      <c r="AI549" s="45">
        <f t="shared" ca="1" si="558"/>
        <v>246</v>
      </c>
      <c r="AJ549" s="45">
        <f t="shared" ca="1" si="559"/>
        <v>49</v>
      </c>
      <c r="AK549" s="45">
        <f t="shared" ca="1" si="560"/>
        <v>158</v>
      </c>
      <c r="AL549" s="45">
        <f t="shared" ca="1" si="561"/>
        <v>503</v>
      </c>
      <c r="AM549" s="45">
        <f t="shared" ca="1" si="562"/>
        <v>44</v>
      </c>
      <c r="AN549" s="45">
        <f t="shared" ca="1" si="563"/>
        <v>4015</v>
      </c>
      <c r="AO549">
        <v>4372</v>
      </c>
      <c r="AP549">
        <v>1349</v>
      </c>
      <c r="AQ549">
        <v>200</v>
      </c>
      <c r="AR549">
        <v>407</v>
      </c>
      <c r="AS549">
        <v>1544</v>
      </c>
      <c r="AT549">
        <v>83</v>
      </c>
      <c r="AU549">
        <v>123</v>
      </c>
      <c r="AV549">
        <v>0.98599999999999999</v>
      </c>
      <c r="AW549" s="1"/>
      <c r="AX549" s="1"/>
      <c r="AY549" s="47">
        <f t="shared" si="564"/>
        <v>29700</v>
      </c>
      <c r="AZ549" s="49">
        <f t="shared" si="565"/>
        <v>165432</v>
      </c>
      <c r="BA549" s="49">
        <f t="shared" ref="BA549" si="597">SUMIF($B$2:$B$571,$B549,$R$2:$R$571)</f>
        <v>5585</v>
      </c>
      <c r="BB549" s="48">
        <f t="shared" si="567"/>
        <v>3.3760094782146137E-2</v>
      </c>
    </row>
    <row r="550" spans="2:54" x14ac:dyDescent="0.2">
      <c r="B550" s="3">
        <v>2018</v>
      </c>
      <c r="C550" t="s">
        <v>56</v>
      </c>
      <c r="D550" t="s">
        <v>57</v>
      </c>
      <c r="E550">
        <v>2</v>
      </c>
      <c r="F550" t="s">
        <v>38</v>
      </c>
      <c r="G550" t="s">
        <v>43</v>
      </c>
      <c r="H550" t="s">
        <v>38</v>
      </c>
      <c r="I550" t="s">
        <v>38</v>
      </c>
      <c r="J550">
        <v>91</v>
      </c>
      <c r="K550">
        <v>72</v>
      </c>
      <c r="L550">
        <v>780</v>
      </c>
      <c r="M550" s="38">
        <v>5541</v>
      </c>
      <c r="N550" s="38">
        <v>1418</v>
      </c>
      <c r="O550" s="38">
        <f t="shared" si="554"/>
        <v>886</v>
      </c>
      <c r="P550" s="38">
        <v>280</v>
      </c>
      <c r="Q550" s="38">
        <v>42</v>
      </c>
      <c r="R550" s="38">
        <v>210</v>
      </c>
      <c r="S550" s="38">
        <v>507</v>
      </c>
      <c r="T550" s="38">
        <v>51</v>
      </c>
      <c r="U550" s="38">
        <f t="shared" si="555"/>
        <v>3565</v>
      </c>
      <c r="V550">
        <v>1397</v>
      </c>
      <c r="W550">
        <v>95</v>
      </c>
      <c r="X550">
        <v>33</v>
      </c>
      <c r="Y550">
        <v>37</v>
      </c>
      <c r="Z550">
        <v>745</v>
      </c>
      <c r="AA550">
        <v>699</v>
      </c>
      <c r="AB550">
        <v>4.33</v>
      </c>
      <c r="AC550">
        <v>0</v>
      </c>
      <c r="AD550">
        <v>10</v>
      </c>
      <c r="AE550">
        <v>51</v>
      </c>
      <c r="AF550" s="45">
        <f t="shared" ca="1" si="542"/>
        <v>6406</v>
      </c>
      <c r="AG550" s="45">
        <f t="shared" ca="1" si="556"/>
        <v>1339</v>
      </c>
      <c r="AH550" s="45">
        <f t="shared" ca="1" si="557"/>
        <v>769</v>
      </c>
      <c r="AI550" s="45">
        <f t="shared" ca="1" si="558"/>
        <v>325</v>
      </c>
      <c r="AJ550" s="45">
        <f t="shared" ca="1" si="559"/>
        <v>34</v>
      </c>
      <c r="AK550" s="45">
        <f t="shared" ca="1" si="560"/>
        <v>211</v>
      </c>
      <c r="AL550" s="45">
        <f t="shared" ca="1" si="561"/>
        <v>682</v>
      </c>
      <c r="AM550" s="45">
        <f t="shared" ca="1" si="562"/>
        <v>37</v>
      </c>
      <c r="AN550" s="45">
        <f t="shared" ca="1" si="563"/>
        <v>4348</v>
      </c>
      <c r="AO550">
        <v>4357</v>
      </c>
      <c r="AP550">
        <v>1378</v>
      </c>
      <c r="AQ550">
        <v>184</v>
      </c>
      <c r="AR550">
        <v>525</v>
      </c>
      <c r="AS550">
        <v>1409</v>
      </c>
      <c r="AT550">
        <v>74</v>
      </c>
      <c r="AU550">
        <v>162</v>
      </c>
      <c r="AV550">
        <v>0.98799999999999999</v>
      </c>
      <c r="AW550" s="1"/>
      <c r="AX550" s="1"/>
      <c r="AY550" s="47">
        <f t="shared" si="564"/>
        <v>29700</v>
      </c>
      <c r="AZ550" s="49">
        <f t="shared" si="565"/>
        <v>165432</v>
      </c>
      <c r="BA550" s="49">
        <f t="shared" ref="BA550" si="598">SUMIF($B$2:$B$571,$B550,$S$2:$S$571)</f>
        <v>15686</v>
      </c>
      <c r="BB550" s="48">
        <f t="shared" si="567"/>
        <v>9.4818414816964069E-2</v>
      </c>
    </row>
    <row r="551" spans="2:54" x14ac:dyDescent="0.2">
      <c r="B551" s="3">
        <v>2018</v>
      </c>
      <c r="C551" t="s">
        <v>58</v>
      </c>
      <c r="D551" t="s">
        <v>59</v>
      </c>
      <c r="E551">
        <v>3</v>
      </c>
      <c r="F551" t="s">
        <v>38</v>
      </c>
      <c r="G551" t="s">
        <v>38</v>
      </c>
      <c r="H551" t="s">
        <v>38</v>
      </c>
      <c r="I551" t="s">
        <v>38</v>
      </c>
      <c r="J551">
        <v>64</v>
      </c>
      <c r="K551">
        <v>98</v>
      </c>
      <c r="L551">
        <v>630</v>
      </c>
      <c r="M551" s="38">
        <v>5494</v>
      </c>
      <c r="N551" s="38">
        <v>1326</v>
      </c>
      <c r="O551" s="38">
        <f t="shared" si="554"/>
        <v>872</v>
      </c>
      <c r="P551" s="38">
        <v>284</v>
      </c>
      <c r="Q551" s="38">
        <v>35</v>
      </c>
      <c r="R551" s="38">
        <v>135</v>
      </c>
      <c r="S551" s="38">
        <v>428</v>
      </c>
      <c r="T551" s="38">
        <v>52</v>
      </c>
      <c r="U551" s="38">
        <f t="shared" si="555"/>
        <v>3688</v>
      </c>
      <c r="V551">
        <v>1341</v>
      </c>
      <c r="W551">
        <v>70</v>
      </c>
      <c r="X551">
        <v>30</v>
      </c>
      <c r="Y551">
        <v>40</v>
      </c>
      <c r="Z551">
        <v>796</v>
      </c>
      <c r="AA551">
        <v>726</v>
      </c>
      <c r="AB551">
        <v>4.58</v>
      </c>
      <c r="AC551">
        <v>0</v>
      </c>
      <c r="AD551">
        <v>2</v>
      </c>
      <c r="AE551">
        <v>37</v>
      </c>
      <c r="AF551" s="45">
        <f t="shared" ca="1" si="542"/>
        <v>6478</v>
      </c>
      <c r="AG551" s="45">
        <f t="shared" ca="1" si="556"/>
        <v>1505</v>
      </c>
      <c r="AH551" s="45">
        <f t="shared" ca="1" si="557"/>
        <v>864</v>
      </c>
      <c r="AI551" s="45">
        <f t="shared" ca="1" si="558"/>
        <v>393</v>
      </c>
      <c r="AJ551" s="45">
        <f t="shared" ca="1" si="559"/>
        <v>39</v>
      </c>
      <c r="AK551" s="45">
        <f t="shared" ca="1" si="560"/>
        <v>209</v>
      </c>
      <c r="AL551" s="45">
        <f t="shared" ca="1" si="561"/>
        <v>603</v>
      </c>
      <c r="AM551" s="45">
        <f t="shared" ca="1" si="562"/>
        <v>82</v>
      </c>
      <c r="AN551" s="45">
        <f t="shared" ca="1" si="563"/>
        <v>4288</v>
      </c>
      <c r="AO551">
        <v>4276</v>
      </c>
      <c r="AP551">
        <v>1423</v>
      </c>
      <c r="AQ551">
        <v>216</v>
      </c>
      <c r="AR551">
        <v>491</v>
      </c>
      <c r="AS551">
        <v>1215</v>
      </c>
      <c r="AT551">
        <v>95</v>
      </c>
      <c r="AU551">
        <v>126</v>
      </c>
      <c r="AV551">
        <v>0.98399999999999999</v>
      </c>
      <c r="AW551" s="1"/>
      <c r="AX551" s="1"/>
      <c r="AY551" s="47">
        <f t="shared" si="564"/>
        <v>29700</v>
      </c>
      <c r="AZ551" s="49">
        <f t="shared" si="565"/>
        <v>165432</v>
      </c>
      <c r="BA551" s="49">
        <f t="shared" ref="BA551" si="599">SUMIF($B$2:$B$571,$B551,$T$2:$T$571)</f>
        <v>1922</v>
      </c>
      <c r="BB551" s="48">
        <f t="shared" si="567"/>
        <v>1.1618066637651725E-2</v>
      </c>
    </row>
    <row r="552" spans="2:54" x14ac:dyDescent="0.2">
      <c r="B552" s="3">
        <v>2018</v>
      </c>
      <c r="C552" t="s">
        <v>62</v>
      </c>
      <c r="D552" t="s">
        <v>63</v>
      </c>
      <c r="E552">
        <v>1</v>
      </c>
      <c r="F552" t="s">
        <v>43</v>
      </c>
      <c r="G552" t="s">
        <v>38</v>
      </c>
      <c r="H552" t="s">
        <v>38</v>
      </c>
      <c r="I552" t="s">
        <v>38</v>
      </c>
      <c r="J552">
        <v>103</v>
      </c>
      <c r="K552">
        <v>59</v>
      </c>
      <c r="L552">
        <v>797</v>
      </c>
      <c r="M552" s="38">
        <v>5453</v>
      </c>
      <c r="N552" s="38">
        <v>1390</v>
      </c>
      <c r="O552" s="38">
        <f t="shared" si="554"/>
        <v>889</v>
      </c>
      <c r="P552" s="38">
        <v>278</v>
      </c>
      <c r="Q552" s="38">
        <v>18</v>
      </c>
      <c r="R552" s="38">
        <v>205</v>
      </c>
      <c r="S552" s="38">
        <v>565</v>
      </c>
      <c r="T552" s="38">
        <v>61</v>
      </c>
      <c r="U552" s="38">
        <f t="shared" si="555"/>
        <v>3437</v>
      </c>
      <c r="V552">
        <v>1197</v>
      </c>
      <c r="W552">
        <v>71</v>
      </c>
      <c r="X552">
        <v>26</v>
      </c>
      <c r="Y552">
        <v>45</v>
      </c>
      <c r="Z552">
        <v>534</v>
      </c>
      <c r="AA552">
        <v>503</v>
      </c>
      <c r="AB552">
        <v>3.11</v>
      </c>
      <c r="AC552">
        <v>3</v>
      </c>
      <c r="AD552">
        <v>12</v>
      </c>
      <c r="AE552">
        <v>46</v>
      </c>
      <c r="AF552" s="45">
        <f t="shared" ca="1" si="542"/>
        <v>6459</v>
      </c>
      <c r="AG552" s="45">
        <f t="shared" ca="1" si="556"/>
        <v>1504</v>
      </c>
      <c r="AH552" s="45">
        <f t="shared" ca="1" si="557"/>
        <v>930</v>
      </c>
      <c r="AI552" s="45">
        <f t="shared" ca="1" si="558"/>
        <v>321</v>
      </c>
      <c r="AJ552" s="45">
        <f t="shared" ca="1" si="559"/>
        <v>24</v>
      </c>
      <c r="AK552" s="45">
        <f t="shared" ca="1" si="560"/>
        <v>229</v>
      </c>
      <c r="AL552" s="45">
        <f t="shared" ca="1" si="561"/>
        <v>405</v>
      </c>
      <c r="AM552" s="45">
        <f t="shared" ca="1" si="562"/>
        <v>32</v>
      </c>
      <c r="AN552" s="45">
        <f t="shared" ca="1" si="563"/>
        <v>4518</v>
      </c>
      <c r="AO552">
        <v>4365</v>
      </c>
      <c r="AP552">
        <v>1164</v>
      </c>
      <c r="AQ552">
        <v>152</v>
      </c>
      <c r="AR552">
        <v>435</v>
      </c>
      <c r="AS552">
        <v>1687</v>
      </c>
      <c r="AT552">
        <v>63</v>
      </c>
      <c r="AU552">
        <v>116</v>
      </c>
      <c r="AV552">
        <v>0.98899999999999999</v>
      </c>
      <c r="AW552" s="1"/>
      <c r="AX552" s="1"/>
      <c r="AY552" s="47">
        <f t="shared" si="564"/>
        <v>29700</v>
      </c>
      <c r="AZ552" s="49">
        <f t="shared" si="565"/>
        <v>165432</v>
      </c>
      <c r="BA552" s="49">
        <f t="shared" ref="BA552" si="600">SUMIF($B$2:$B$571,$B552,$U$2:$U$571)</f>
        <v>106804</v>
      </c>
      <c r="BB552" s="48">
        <f t="shared" si="567"/>
        <v>0.6456066540935248</v>
      </c>
    </row>
    <row r="553" spans="2:54" x14ac:dyDescent="0.2">
      <c r="B553" s="3">
        <v>2018</v>
      </c>
      <c r="C553" t="s">
        <v>64</v>
      </c>
      <c r="D553" t="s">
        <v>65</v>
      </c>
      <c r="E553">
        <v>5</v>
      </c>
      <c r="F553" t="s">
        <v>38</v>
      </c>
      <c r="G553" t="s">
        <v>38</v>
      </c>
      <c r="H553" t="s">
        <v>38</v>
      </c>
      <c r="I553" t="s">
        <v>38</v>
      </c>
      <c r="J553">
        <v>58</v>
      </c>
      <c r="K553">
        <v>104</v>
      </c>
      <c r="L553">
        <v>638</v>
      </c>
      <c r="M553" s="38">
        <v>5505</v>
      </c>
      <c r="N553" s="38">
        <v>1350</v>
      </c>
      <c r="O553" s="38">
        <f t="shared" si="554"/>
        <v>883</v>
      </c>
      <c r="P553" s="38">
        <v>283</v>
      </c>
      <c r="Q553" s="38">
        <v>29</v>
      </c>
      <c r="R553" s="38">
        <v>155</v>
      </c>
      <c r="S553" s="38">
        <v>427</v>
      </c>
      <c r="T553" s="38">
        <v>67</v>
      </c>
      <c r="U553" s="38">
        <f t="shared" si="555"/>
        <v>3661</v>
      </c>
      <c r="V553">
        <v>1310</v>
      </c>
      <c r="W553">
        <v>117</v>
      </c>
      <c r="X553">
        <v>38</v>
      </c>
      <c r="Y553">
        <v>40</v>
      </c>
      <c r="Z553">
        <v>833</v>
      </c>
      <c r="AA553">
        <v>786</v>
      </c>
      <c r="AB553">
        <v>4.9400000000000004</v>
      </c>
      <c r="AC553">
        <v>2</v>
      </c>
      <c r="AD553">
        <v>8</v>
      </c>
      <c r="AE553">
        <v>33</v>
      </c>
      <c r="AF553" s="45">
        <f t="shared" ca="1" si="542"/>
        <v>6063</v>
      </c>
      <c r="AG553" s="45">
        <f t="shared" ca="1" si="556"/>
        <v>1305</v>
      </c>
      <c r="AH553" s="45">
        <f t="shared" ca="1" si="557"/>
        <v>911</v>
      </c>
      <c r="AI553" s="45">
        <f t="shared" ca="1" si="558"/>
        <v>223</v>
      </c>
      <c r="AJ553" s="45">
        <f t="shared" ca="1" si="559"/>
        <v>30</v>
      </c>
      <c r="AK553" s="45">
        <f t="shared" ca="1" si="560"/>
        <v>141</v>
      </c>
      <c r="AL553" s="45">
        <f t="shared" ca="1" si="561"/>
        <v>698</v>
      </c>
      <c r="AM553" s="45">
        <f t="shared" ca="1" si="562"/>
        <v>54</v>
      </c>
      <c r="AN553" s="45">
        <f t="shared" ca="1" si="563"/>
        <v>4006</v>
      </c>
      <c r="AO553">
        <v>4296</v>
      </c>
      <c r="AP553">
        <v>1542</v>
      </c>
      <c r="AQ553">
        <v>205</v>
      </c>
      <c r="AR553">
        <v>549</v>
      </c>
      <c r="AS553">
        <v>1157</v>
      </c>
      <c r="AT553">
        <v>77</v>
      </c>
      <c r="AU553">
        <v>142</v>
      </c>
      <c r="AV553">
        <v>0.98699999999999999</v>
      </c>
      <c r="AW553" s="1"/>
      <c r="AX553" s="1"/>
      <c r="AY553" s="47">
        <f t="shared" si="564"/>
        <v>29700</v>
      </c>
      <c r="AZ553" s="49">
        <f t="shared" si="565"/>
        <v>165432</v>
      </c>
      <c r="BA553" s="49"/>
      <c r="BB553" s="48">
        <f t="shared" si="567"/>
        <v>0</v>
      </c>
    </row>
    <row r="554" spans="2:54" x14ac:dyDescent="0.2">
      <c r="B554" s="3">
        <v>2018</v>
      </c>
      <c r="C554" t="s">
        <v>98</v>
      </c>
      <c r="D554" t="s">
        <v>99</v>
      </c>
      <c r="E554">
        <v>4</v>
      </c>
      <c r="F554" t="s">
        <v>38</v>
      </c>
      <c r="G554" t="s">
        <v>38</v>
      </c>
      <c r="H554" t="s">
        <v>38</v>
      </c>
      <c r="I554" t="s">
        <v>38</v>
      </c>
      <c r="J554">
        <v>80</v>
      </c>
      <c r="K554">
        <v>82</v>
      </c>
      <c r="L554">
        <v>721</v>
      </c>
      <c r="M554" s="38">
        <v>5472</v>
      </c>
      <c r="N554" s="38">
        <v>1323</v>
      </c>
      <c r="O554" s="38">
        <f t="shared" si="554"/>
        <v>837</v>
      </c>
      <c r="P554" s="38">
        <v>249</v>
      </c>
      <c r="Q554" s="38">
        <v>23</v>
      </c>
      <c r="R554" s="38">
        <v>214</v>
      </c>
      <c r="S554" s="38">
        <v>514</v>
      </c>
      <c r="T554" s="38">
        <v>73</v>
      </c>
      <c r="U554" s="38">
        <f t="shared" si="555"/>
        <v>3562</v>
      </c>
      <c r="V554">
        <v>1300</v>
      </c>
      <c r="W554">
        <v>89</v>
      </c>
      <c r="X554">
        <v>22</v>
      </c>
      <c r="Y554">
        <v>39</v>
      </c>
      <c r="Z554">
        <v>722</v>
      </c>
      <c r="AA554">
        <v>662</v>
      </c>
      <c r="AB554">
        <v>4.1500000000000004</v>
      </c>
      <c r="AC554">
        <v>1</v>
      </c>
      <c r="AD554">
        <v>9</v>
      </c>
      <c r="AE554">
        <v>35</v>
      </c>
      <c r="AF554" s="45">
        <f t="shared" ca="1" si="542"/>
        <v>6125</v>
      </c>
      <c r="AG554" s="45">
        <f t="shared" ca="1" si="556"/>
        <v>1548</v>
      </c>
      <c r="AH554" s="45">
        <f t="shared" ca="1" si="557"/>
        <v>1031</v>
      </c>
      <c r="AI554" s="45">
        <f t="shared" ca="1" si="558"/>
        <v>322</v>
      </c>
      <c r="AJ554" s="45">
        <f t="shared" ca="1" si="559"/>
        <v>25</v>
      </c>
      <c r="AK554" s="45">
        <f t="shared" ca="1" si="560"/>
        <v>170</v>
      </c>
      <c r="AL554" s="45">
        <f t="shared" ca="1" si="561"/>
        <v>640</v>
      </c>
      <c r="AM554" s="45">
        <f t="shared" ca="1" si="562"/>
        <v>46</v>
      </c>
      <c r="AN554" s="45">
        <f t="shared" ca="1" si="563"/>
        <v>3891</v>
      </c>
      <c r="AO554">
        <v>4312</v>
      </c>
      <c r="AP554">
        <v>1353</v>
      </c>
      <c r="AQ554">
        <v>205</v>
      </c>
      <c r="AR554">
        <v>546</v>
      </c>
      <c r="AS554">
        <v>1386</v>
      </c>
      <c r="AT554">
        <v>76</v>
      </c>
      <c r="AU554">
        <v>173</v>
      </c>
      <c r="AV554">
        <v>0.98699999999999999</v>
      </c>
      <c r="AW554" s="1"/>
      <c r="AX554" s="1"/>
      <c r="AY554" s="47">
        <f t="shared" si="564"/>
        <v>29700</v>
      </c>
      <c r="AZ554" s="49">
        <f t="shared" si="565"/>
        <v>165432</v>
      </c>
      <c r="BA554" s="49">
        <f t="shared" ref="BA554" si="601">SUMIF($B$2:$B$571,$B554,$O$2:$O$571)</f>
        <v>26323</v>
      </c>
      <c r="BB554" s="48">
        <f t="shared" si="567"/>
        <v>0.15911673678611152</v>
      </c>
    </row>
    <row r="555" spans="2:54" x14ac:dyDescent="0.2">
      <c r="B555" s="3">
        <v>2018</v>
      </c>
      <c r="C555" t="s">
        <v>66</v>
      </c>
      <c r="D555" t="s">
        <v>67</v>
      </c>
      <c r="E555">
        <v>1</v>
      </c>
      <c r="F555" t="s">
        <v>43</v>
      </c>
      <c r="G555" t="s">
        <v>38</v>
      </c>
      <c r="H555" t="s">
        <v>43</v>
      </c>
      <c r="I555" t="s">
        <v>38</v>
      </c>
      <c r="J555">
        <v>92</v>
      </c>
      <c r="K555">
        <v>71</v>
      </c>
      <c r="L555">
        <v>804</v>
      </c>
      <c r="M555" s="38">
        <v>5572</v>
      </c>
      <c r="N555" s="38">
        <v>1394</v>
      </c>
      <c r="O555" s="38">
        <f t="shared" si="554"/>
        <v>830</v>
      </c>
      <c r="P555" s="38">
        <v>296</v>
      </c>
      <c r="Q555" s="38">
        <v>33</v>
      </c>
      <c r="R555" s="38">
        <v>235</v>
      </c>
      <c r="S555" s="38">
        <v>647</v>
      </c>
      <c r="T555" s="38">
        <v>61</v>
      </c>
      <c r="U555" s="38">
        <f t="shared" si="555"/>
        <v>3470</v>
      </c>
      <c r="V555">
        <v>1436</v>
      </c>
      <c r="W555">
        <v>75</v>
      </c>
      <c r="X555">
        <v>24</v>
      </c>
      <c r="Y555">
        <v>39</v>
      </c>
      <c r="Z555">
        <v>610</v>
      </c>
      <c r="AA555">
        <v>554</v>
      </c>
      <c r="AB555">
        <v>3.38</v>
      </c>
      <c r="AC555">
        <v>0</v>
      </c>
      <c r="AD555">
        <v>11</v>
      </c>
      <c r="AE555">
        <v>48</v>
      </c>
      <c r="AF555" s="45">
        <f t="shared" ca="1" si="542"/>
        <v>6166</v>
      </c>
      <c r="AG555" s="45">
        <f t="shared" ca="1" si="556"/>
        <v>1438</v>
      </c>
      <c r="AH555" s="45">
        <f t="shared" ca="1" si="557"/>
        <v>988</v>
      </c>
      <c r="AI555" s="45">
        <f t="shared" ca="1" si="558"/>
        <v>268</v>
      </c>
      <c r="AJ555" s="45">
        <f t="shared" ca="1" si="559"/>
        <v>41</v>
      </c>
      <c r="AK555" s="45">
        <f t="shared" ca="1" si="560"/>
        <v>141</v>
      </c>
      <c r="AL555" s="45">
        <f t="shared" ca="1" si="561"/>
        <v>501</v>
      </c>
      <c r="AM555" s="45">
        <f t="shared" ca="1" si="562"/>
        <v>76</v>
      </c>
      <c r="AN555" s="45">
        <f t="shared" ca="1" si="563"/>
        <v>4151</v>
      </c>
      <c r="AO555">
        <v>4428</v>
      </c>
      <c r="AP555">
        <v>1279</v>
      </c>
      <c r="AQ555">
        <v>179</v>
      </c>
      <c r="AR555">
        <v>422</v>
      </c>
      <c r="AS555">
        <v>1565</v>
      </c>
      <c r="AT555">
        <v>100</v>
      </c>
      <c r="AU555">
        <v>111</v>
      </c>
      <c r="AV555">
        <v>0.98299999999999998</v>
      </c>
      <c r="AW555" s="1"/>
      <c r="AX555" s="1"/>
      <c r="AY555" s="47">
        <f t="shared" si="564"/>
        <v>29700</v>
      </c>
      <c r="AZ555" s="49">
        <f t="shared" si="565"/>
        <v>165432</v>
      </c>
      <c r="BA555" s="49">
        <f t="shared" ref="BA555" si="602">SUMIF($B$2:$B$571,$B555,$P$2:$P$571)</f>
        <v>8265</v>
      </c>
      <c r="BB555" s="48">
        <f t="shared" si="567"/>
        <v>4.9960104453793702E-2</v>
      </c>
    </row>
    <row r="556" spans="2:54" x14ac:dyDescent="0.2">
      <c r="B556" s="3">
        <v>2018</v>
      </c>
      <c r="C556" t="s">
        <v>103</v>
      </c>
      <c r="D556" t="s">
        <v>104</v>
      </c>
      <c r="E556">
        <v>5</v>
      </c>
      <c r="F556" t="s">
        <v>38</v>
      </c>
      <c r="G556" t="s">
        <v>38</v>
      </c>
      <c r="H556" t="s">
        <v>38</v>
      </c>
      <c r="I556" t="s">
        <v>38</v>
      </c>
      <c r="J556">
        <v>63</v>
      </c>
      <c r="K556">
        <v>98</v>
      </c>
      <c r="L556">
        <v>589</v>
      </c>
      <c r="M556" s="38">
        <v>5488</v>
      </c>
      <c r="N556" s="38">
        <v>1303</v>
      </c>
      <c r="O556" s="38">
        <f t="shared" si="554"/>
        <v>929</v>
      </c>
      <c r="P556" s="38">
        <v>222</v>
      </c>
      <c r="Q556" s="38">
        <v>24</v>
      </c>
      <c r="R556" s="38">
        <v>128</v>
      </c>
      <c r="S556" s="38">
        <v>455</v>
      </c>
      <c r="T556" s="38">
        <v>73</v>
      </c>
      <c r="U556" s="38">
        <f t="shared" si="555"/>
        <v>3657</v>
      </c>
      <c r="V556">
        <v>1384</v>
      </c>
      <c r="W556">
        <v>45</v>
      </c>
      <c r="X556">
        <v>31</v>
      </c>
      <c r="Y556">
        <v>31</v>
      </c>
      <c r="Z556">
        <v>809</v>
      </c>
      <c r="AA556">
        <v>762</v>
      </c>
      <c r="AB556">
        <v>4.76</v>
      </c>
      <c r="AC556">
        <v>1</v>
      </c>
      <c r="AD556">
        <v>12</v>
      </c>
      <c r="AE556">
        <v>30</v>
      </c>
      <c r="AF556" s="45">
        <f t="shared" ca="1" si="542"/>
        <v>6163</v>
      </c>
      <c r="AG556" s="45">
        <f t="shared" ca="1" si="556"/>
        <v>1646</v>
      </c>
      <c r="AH556" s="45">
        <f t="shared" ca="1" si="557"/>
        <v>1067</v>
      </c>
      <c r="AI556" s="45">
        <f t="shared" ca="1" si="558"/>
        <v>385</v>
      </c>
      <c r="AJ556" s="45">
        <f t="shared" ca="1" si="559"/>
        <v>37</v>
      </c>
      <c r="AK556" s="45">
        <f t="shared" ca="1" si="560"/>
        <v>157</v>
      </c>
      <c r="AL556" s="45">
        <f t="shared" ca="1" si="561"/>
        <v>579</v>
      </c>
      <c r="AM556" s="45">
        <f t="shared" ca="1" si="562"/>
        <v>72</v>
      </c>
      <c r="AN556" s="45">
        <f t="shared" ca="1" si="563"/>
        <v>3866</v>
      </c>
      <c r="AO556">
        <v>4326</v>
      </c>
      <c r="AP556">
        <v>1388</v>
      </c>
      <c r="AQ556">
        <v>192</v>
      </c>
      <c r="AR556">
        <v>605</v>
      </c>
      <c r="AS556">
        <v>1249</v>
      </c>
      <c r="AT556">
        <v>83</v>
      </c>
      <c r="AU556">
        <v>133</v>
      </c>
      <c r="AV556">
        <v>0.98599999999999999</v>
      </c>
      <c r="AW556" s="1"/>
      <c r="AX556" s="1"/>
      <c r="AY556" s="47">
        <f t="shared" si="564"/>
        <v>29700</v>
      </c>
      <c r="AZ556" s="49">
        <f t="shared" si="565"/>
        <v>165432</v>
      </c>
      <c r="BA556" s="49">
        <f t="shared" ref="BA556" si="603">SUMIF($B$2:$B$571,$B556,$Q$2:$Q$571)</f>
        <v>847</v>
      </c>
      <c r="BB556" s="48">
        <f t="shared" si="567"/>
        <v>5.1199284298080175E-3</v>
      </c>
    </row>
    <row r="557" spans="2:54" x14ac:dyDescent="0.2">
      <c r="B557" s="3">
        <v>2018</v>
      </c>
      <c r="C557" t="s">
        <v>68</v>
      </c>
      <c r="D557" t="s">
        <v>69</v>
      </c>
      <c r="E557">
        <v>1</v>
      </c>
      <c r="F557" t="s">
        <v>43</v>
      </c>
      <c r="G557" t="s">
        <v>38</v>
      </c>
      <c r="H557" t="s">
        <v>38</v>
      </c>
      <c r="I557" t="s">
        <v>38</v>
      </c>
      <c r="J557">
        <v>96</v>
      </c>
      <c r="K557">
        <v>67</v>
      </c>
      <c r="L557">
        <v>754</v>
      </c>
      <c r="M557" s="38">
        <v>5542</v>
      </c>
      <c r="N557" s="38">
        <v>1398</v>
      </c>
      <c r="O557" s="38">
        <f t="shared" si="554"/>
        <v>904</v>
      </c>
      <c r="P557" s="38">
        <v>252</v>
      </c>
      <c r="Q557" s="38">
        <v>24</v>
      </c>
      <c r="R557" s="38">
        <v>218</v>
      </c>
      <c r="S557" s="38">
        <v>537</v>
      </c>
      <c r="T557" s="38">
        <v>58</v>
      </c>
      <c r="U557" s="38">
        <f t="shared" si="555"/>
        <v>3549</v>
      </c>
      <c r="V557">
        <v>1458</v>
      </c>
      <c r="W557">
        <v>124</v>
      </c>
      <c r="X557">
        <v>32</v>
      </c>
      <c r="Y557">
        <v>41</v>
      </c>
      <c r="Z557">
        <v>659</v>
      </c>
      <c r="AA557">
        <v>606</v>
      </c>
      <c r="AB557">
        <v>3.73</v>
      </c>
      <c r="AC557">
        <v>0</v>
      </c>
      <c r="AD557">
        <v>14</v>
      </c>
      <c r="AE557">
        <v>49</v>
      </c>
      <c r="AF557" s="45">
        <f t="shared" ca="1" si="542"/>
        <v>6318</v>
      </c>
      <c r="AG557" s="45">
        <f t="shared" ca="1" si="556"/>
        <v>1398</v>
      </c>
      <c r="AH557" s="45">
        <f t="shared" ca="1" si="557"/>
        <v>886</v>
      </c>
      <c r="AI557" s="45">
        <f t="shared" ca="1" si="558"/>
        <v>339</v>
      </c>
      <c r="AJ557" s="45">
        <f t="shared" ca="1" si="559"/>
        <v>32</v>
      </c>
      <c r="AK557" s="45">
        <f t="shared" ca="1" si="560"/>
        <v>141</v>
      </c>
      <c r="AL557" s="45">
        <f t="shared" ca="1" si="561"/>
        <v>637</v>
      </c>
      <c r="AM557" s="45">
        <f t="shared" ca="1" si="562"/>
        <v>51</v>
      </c>
      <c r="AN557" s="45">
        <f t="shared" ca="1" si="563"/>
        <v>4232</v>
      </c>
      <c r="AO557">
        <v>4383</v>
      </c>
      <c r="AP557">
        <v>1259</v>
      </c>
      <c r="AQ557">
        <v>173</v>
      </c>
      <c r="AR557">
        <v>553</v>
      </c>
      <c r="AS557">
        <v>1428</v>
      </c>
      <c r="AT557">
        <v>108</v>
      </c>
      <c r="AU557">
        <v>141</v>
      </c>
      <c r="AV557">
        <v>0.98199999999999998</v>
      </c>
      <c r="AW557" s="1"/>
      <c r="AX557" s="1"/>
      <c r="AY557" s="47">
        <f t="shared" si="564"/>
        <v>29700</v>
      </c>
      <c r="AZ557" s="49">
        <f t="shared" si="565"/>
        <v>165432</v>
      </c>
      <c r="BA557" s="49">
        <f t="shared" ref="BA557" si="604">SUMIF($B$2:$B$571,$B557,$R$2:$R$571)</f>
        <v>5585</v>
      </c>
      <c r="BB557" s="48">
        <f t="shared" si="567"/>
        <v>3.3760094782146137E-2</v>
      </c>
    </row>
    <row r="558" spans="2:54" x14ac:dyDescent="0.2">
      <c r="B558" s="3">
        <v>2018</v>
      </c>
      <c r="C558" t="s">
        <v>70</v>
      </c>
      <c r="D558" t="s">
        <v>71</v>
      </c>
      <c r="E558">
        <v>2</v>
      </c>
      <c r="F558" t="s">
        <v>38</v>
      </c>
      <c r="G558" t="s">
        <v>38</v>
      </c>
      <c r="H558" t="s">
        <v>38</v>
      </c>
      <c r="I558" t="s">
        <v>38</v>
      </c>
      <c r="J558">
        <v>78</v>
      </c>
      <c r="K558">
        <v>84</v>
      </c>
      <c r="L558">
        <v>738</v>
      </c>
      <c r="M558" s="38">
        <v>5526</v>
      </c>
      <c r="N558" s="38">
        <v>1380</v>
      </c>
      <c r="O558" s="38">
        <f t="shared" si="554"/>
        <v>874</v>
      </c>
      <c r="P558" s="38">
        <v>318</v>
      </c>
      <c r="Q558" s="38">
        <v>22</v>
      </c>
      <c r="R558" s="38">
        <v>166</v>
      </c>
      <c r="S558" s="38">
        <v>534</v>
      </c>
      <c r="T558" s="38">
        <v>37</v>
      </c>
      <c r="U558" s="38">
        <f t="shared" si="555"/>
        <v>3575</v>
      </c>
      <c r="V558">
        <v>1328</v>
      </c>
      <c r="W558">
        <v>47</v>
      </c>
      <c r="X558">
        <v>27</v>
      </c>
      <c r="Y558">
        <v>38</v>
      </c>
      <c r="Z558">
        <v>775</v>
      </c>
      <c r="AA558">
        <v>721</v>
      </c>
      <c r="AB558">
        <v>4.5</v>
      </c>
      <c r="AC558">
        <v>2</v>
      </c>
      <c r="AD558">
        <v>7</v>
      </c>
      <c r="AE558">
        <v>37</v>
      </c>
      <c r="AF558" s="45">
        <f t="shared" ca="1" si="542"/>
        <v>6278</v>
      </c>
      <c r="AG558" s="45">
        <f t="shared" ca="1" si="556"/>
        <v>1514</v>
      </c>
      <c r="AH558" s="45">
        <f t="shared" ca="1" si="557"/>
        <v>1093</v>
      </c>
      <c r="AI558" s="45">
        <f t="shared" ca="1" si="558"/>
        <v>225</v>
      </c>
      <c r="AJ558" s="45">
        <f t="shared" ca="1" si="559"/>
        <v>49</v>
      </c>
      <c r="AK558" s="45">
        <f t="shared" ca="1" si="560"/>
        <v>147</v>
      </c>
      <c r="AL558" s="45">
        <f t="shared" ca="1" si="561"/>
        <v>631</v>
      </c>
      <c r="AM558" s="45">
        <f t="shared" ca="1" si="562"/>
        <v>43</v>
      </c>
      <c r="AN558" s="45">
        <f t="shared" ca="1" si="563"/>
        <v>4090</v>
      </c>
      <c r="AO558">
        <v>4330</v>
      </c>
      <c r="AP558">
        <v>1425</v>
      </c>
      <c r="AQ558">
        <v>198</v>
      </c>
      <c r="AR558">
        <v>573</v>
      </c>
      <c r="AS558">
        <v>1377</v>
      </c>
      <c r="AT558">
        <v>97</v>
      </c>
      <c r="AU558">
        <v>127</v>
      </c>
      <c r="AV558">
        <v>0.98399999999999999</v>
      </c>
      <c r="AW558" s="1"/>
      <c r="AX558" s="1"/>
      <c r="AY558" s="47">
        <f t="shared" si="564"/>
        <v>29700</v>
      </c>
      <c r="AZ558" s="49">
        <f t="shared" si="565"/>
        <v>165432</v>
      </c>
      <c r="BA558" s="49">
        <f t="shared" ref="BA558" si="605">SUMIF($B$2:$B$571,$B558,$S$2:$S$571)</f>
        <v>15686</v>
      </c>
      <c r="BB558" s="48">
        <f t="shared" si="567"/>
        <v>9.4818414816964069E-2</v>
      </c>
    </row>
    <row r="559" spans="2:54" x14ac:dyDescent="0.2">
      <c r="B559" s="3">
        <v>2018</v>
      </c>
      <c r="C559" t="s">
        <v>74</v>
      </c>
      <c r="D559" t="s">
        <v>75</v>
      </c>
      <c r="E559">
        <v>2</v>
      </c>
      <c r="F559" t="s">
        <v>38</v>
      </c>
      <c r="G559" t="s">
        <v>43</v>
      </c>
      <c r="H559" t="s">
        <v>38</v>
      </c>
      <c r="I559" t="s">
        <v>38</v>
      </c>
      <c r="J559">
        <v>100</v>
      </c>
      <c r="K559">
        <v>62</v>
      </c>
      <c r="L559">
        <v>851</v>
      </c>
      <c r="M559" s="38">
        <v>5515</v>
      </c>
      <c r="N559" s="38">
        <v>1374</v>
      </c>
      <c r="O559" s="38">
        <f t="shared" si="554"/>
        <v>815</v>
      </c>
      <c r="P559" s="38">
        <v>269</v>
      </c>
      <c r="Q559" s="38">
        <v>23</v>
      </c>
      <c r="R559" s="38">
        <v>267</v>
      </c>
      <c r="S559" s="38">
        <v>625</v>
      </c>
      <c r="T559" s="38">
        <v>62</v>
      </c>
      <c r="U559" s="38">
        <f t="shared" si="555"/>
        <v>3454</v>
      </c>
      <c r="V559">
        <v>1421</v>
      </c>
      <c r="W559">
        <v>63</v>
      </c>
      <c r="X559">
        <v>21</v>
      </c>
      <c r="Y559">
        <v>59</v>
      </c>
      <c r="Z559">
        <v>669</v>
      </c>
      <c r="AA559">
        <v>611</v>
      </c>
      <c r="AB559">
        <v>3.78</v>
      </c>
      <c r="AC559">
        <v>2</v>
      </c>
      <c r="AD559">
        <v>11</v>
      </c>
      <c r="AE559">
        <v>49</v>
      </c>
      <c r="AF559" s="45">
        <f t="shared" ca="1" si="542"/>
        <v>6160</v>
      </c>
      <c r="AG559" s="45">
        <f t="shared" ca="1" si="556"/>
        <v>1695</v>
      </c>
      <c r="AH559" s="45">
        <f t="shared" ca="1" si="557"/>
        <v>1046</v>
      </c>
      <c r="AI559" s="45">
        <f t="shared" ca="1" si="558"/>
        <v>374</v>
      </c>
      <c r="AJ559" s="45">
        <f t="shared" ca="1" si="559"/>
        <v>44</v>
      </c>
      <c r="AK559" s="45">
        <f t="shared" ca="1" si="560"/>
        <v>231</v>
      </c>
      <c r="AL559" s="45">
        <f t="shared" ca="1" si="561"/>
        <v>511</v>
      </c>
      <c r="AM559" s="45">
        <f t="shared" ca="1" si="562"/>
        <v>67</v>
      </c>
      <c r="AN559" s="45">
        <f t="shared" ca="1" si="563"/>
        <v>3887</v>
      </c>
      <c r="AO559">
        <v>4369</v>
      </c>
      <c r="AP559">
        <v>1311</v>
      </c>
      <c r="AQ559">
        <v>177</v>
      </c>
      <c r="AR559">
        <v>494</v>
      </c>
      <c r="AS559">
        <v>1634</v>
      </c>
      <c r="AT559">
        <v>94</v>
      </c>
      <c r="AU559">
        <v>95</v>
      </c>
      <c r="AV559">
        <v>0.98399999999999999</v>
      </c>
      <c r="AW559" s="1"/>
      <c r="AX559" s="1"/>
      <c r="AY559" s="47">
        <f t="shared" si="564"/>
        <v>29700</v>
      </c>
      <c r="AZ559" s="49">
        <f t="shared" si="565"/>
        <v>165432</v>
      </c>
      <c r="BA559" s="49">
        <f t="shared" ref="BA559" si="606">SUMIF($B$2:$B$571,$B559,$T$2:$T$571)</f>
        <v>1922</v>
      </c>
      <c r="BB559" s="48">
        <f t="shared" si="567"/>
        <v>1.1618066637651725E-2</v>
      </c>
    </row>
    <row r="560" spans="2:54" x14ac:dyDescent="0.2">
      <c r="B560" s="3">
        <v>2018</v>
      </c>
      <c r="C560" t="s">
        <v>76</v>
      </c>
      <c r="D560" t="s">
        <v>77</v>
      </c>
      <c r="E560">
        <v>4</v>
      </c>
      <c r="F560" t="s">
        <v>38</v>
      </c>
      <c r="G560" t="s">
        <v>38</v>
      </c>
      <c r="H560" t="s">
        <v>38</v>
      </c>
      <c r="I560" t="s">
        <v>38</v>
      </c>
      <c r="J560">
        <v>77</v>
      </c>
      <c r="K560">
        <v>85</v>
      </c>
      <c r="L560">
        <v>676</v>
      </c>
      <c r="M560" s="38">
        <v>5468</v>
      </c>
      <c r="N560" s="38">
        <v>1282</v>
      </c>
      <c r="O560" s="38">
        <f t="shared" si="554"/>
        <v>813</v>
      </c>
      <c r="P560" s="38">
        <v>265</v>
      </c>
      <c r="Q560" s="38">
        <v>34</v>
      </c>
      <c r="R560" s="38">
        <v>170</v>
      </c>
      <c r="S560" s="38">
        <v>566</v>
      </c>
      <c r="T560" s="38">
        <v>73</v>
      </c>
      <c r="U560" s="38">
        <f t="shared" si="555"/>
        <v>3547</v>
      </c>
      <c r="V560">
        <v>1404</v>
      </c>
      <c r="W560">
        <v>71</v>
      </c>
      <c r="X560">
        <v>39</v>
      </c>
      <c r="Y560">
        <v>42</v>
      </c>
      <c r="Z560">
        <v>707</v>
      </c>
      <c r="AA560">
        <v>661</v>
      </c>
      <c r="AB560">
        <v>4.07</v>
      </c>
      <c r="AC560">
        <v>3</v>
      </c>
      <c r="AD560">
        <v>15</v>
      </c>
      <c r="AE560">
        <v>41</v>
      </c>
      <c r="AF560" s="45">
        <f t="shared" ca="1" si="542"/>
        <v>6069</v>
      </c>
      <c r="AG560" s="45">
        <f t="shared" ca="1" si="556"/>
        <v>1515</v>
      </c>
      <c r="AH560" s="45">
        <f t="shared" ca="1" si="557"/>
        <v>985</v>
      </c>
      <c r="AI560" s="45">
        <f t="shared" ca="1" si="558"/>
        <v>362</v>
      </c>
      <c r="AJ560" s="45">
        <f t="shared" ca="1" si="559"/>
        <v>27</v>
      </c>
      <c r="AK560" s="45">
        <f t="shared" ca="1" si="560"/>
        <v>141</v>
      </c>
      <c r="AL560" s="45">
        <f t="shared" ca="1" si="561"/>
        <v>576</v>
      </c>
      <c r="AM560" s="45">
        <f t="shared" ca="1" si="562"/>
        <v>45</v>
      </c>
      <c r="AN560" s="45">
        <f t="shared" ca="1" si="563"/>
        <v>3933</v>
      </c>
      <c r="AO560">
        <v>4382</v>
      </c>
      <c r="AP560">
        <v>1364</v>
      </c>
      <c r="AQ560">
        <v>185</v>
      </c>
      <c r="AR560">
        <v>484</v>
      </c>
      <c r="AS560">
        <v>1446</v>
      </c>
      <c r="AT560">
        <v>88</v>
      </c>
      <c r="AU560">
        <v>121</v>
      </c>
      <c r="AV560">
        <v>0.98499999999999999</v>
      </c>
      <c r="AW560" s="1"/>
      <c r="AX560" s="1"/>
      <c r="AY560" s="47">
        <f t="shared" si="564"/>
        <v>29700</v>
      </c>
      <c r="AZ560" s="49">
        <f t="shared" si="565"/>
        <v>165432</v>
      </c>
      <c r="BA560" s="49">
        <f t="shared" ref="BA560" si="607">SUMIF($B$2:$B$571,$B560,$U$2:$U$571)</f>
        <v>106804</v>
      </c>
      <c r="BB560" s="48">
        <f t="shared" si="567"/>
        <v>0.6456066540935248</v>
      </c>
    </row>
    <row r="561" spans="2:54" x14ac:dyDescent="0.2">
      <c r="B561" s="3">
        <v>2018</v>
      </c>
      <c r="C561" t="s">
        <v>78</v>
      </c>
      <c r="D561" t="s">
        <v>79</v>
      </c>
      <c r="E561">
        <v>2</v>
      </c>
      <c r="F561" t="s">
        <v>38</v>
      </c>
      <c r="G561" t="s">
        <v>43</v>
      </c>
      <c r="H561" t="s">
        <v>38</v>
      </c>
      <c r="I561" t="s">
        <v>38</v>
      </c>
      <c r="J561">
        <v>97</v>
      </c>
      <c r="K561">
        <v>65</v>
      </c>
      <c r="L561">
        <v>813</v>
      </c>
      <c r="M561" s="38">
        <v>5579</v>
      </c>
      <c r="N561" s="38">
        <v>1407</v>
      </c>
      <c r="O561" s="38">
        <f t="shared" si="554"/>
        <v>838</v>
      </c>
      <c r="P561" s="38">
        <v>322</v>
      </c>
      <c r="Q561" s="38">
        <v>20</v>
      </c>
      <c r="R561" s="38">
        <v>227</v>
      </c>
      <c r="S561" s="38">
        <v>550</v>
      </c>
      <c r="T561" s="38">
        <v>76</v>
      </c>
      <c r="U561" s="38">
        <f t="shared" si="555"/>
        <v>3546</v>
      </c>
      <c r="V561">
        <v>1381</v>
      </c>
      <c r="W561">
        <v>35</v>
      </c>
      <c r="X561">
        <v>21</v>
      </c>
      <c r="Y561">
        <v>44</v>
      </c>
      <c r="Z561">
        <v>674</v>
      </c>
      <c r="AA561">
        <v>621</v>
      </c>
      <c r="AB561">
        <v>3.81</v>
      </c>
      <c r="AC561">
        <v>2</v>
      </c>
      <c r="AD561">
        <v>14</v>
      </c>
      <c r="AE561">
        <v>44</v>
      </c>
      <c r="AF561" s="45">
        <f t="shared" ca="1" si="542"/>
        <v>6097</v>
      </c>
      <c r="AG561" s="45">
        <f t="shared" ca="1" si="556"/>
        <v>1586</v>
      </c>
      <c r="AH561" s="45">
        <f t="shared" ca="1" si="557"/>
        <v>1037</v>
      </c>
      <c r="AI561" s="45">
        <f t="shared" ca="1" si="558"/>
        <v>309</v>
      </c>
      <c r="AJ561" s="45">
        <f t="shared" ca="1" si="559"/>
        <v>21</v>
      </c>
      <c r="AK561" s="45">
        <f t="shared" ca="1" si="560"/>
        <v>219</v>
      </c>
      <c r="AL561" s="45">
        <f t="shared" ca="1" si="561"/>
        <v>587</v>
      </c>
      <c r="AM561" s="45">
        <f t="shared" ca="1" si="562"/>
        <v>41</v>
      </c>
      <c r="AN561" s="45">
        <f t="shared" ca="1" si="563"/>
        <v>3883</v>
      </c>
      <c r="AO561">
        <v>4397</v>
      </c>
      <c r="AP561">
        <v>1303</v>
      </c>
      <c r="AQ561">
        <v>184</v>
      </c>
      <c r="AR561">
        <v>474</v>
      </c>
      <c r="AS561">
        <v>1237</v>
      </c>
      <c r="AT561">
        <v>89</v>
      </c>
      <c r="AU561">
        <v>125</v>
      </c>
      <c r="AV561">
        <v>0.98499999999999999</v>
      </c>
      <c r="AW561" s="1"/>
      <c r="AX561" s="1"/>
      <c r="AY561" s="47">
        <f t="shared" si="564"/>
        <v>29700</v>
      </c>
      <c r="AZ561" s="49">
        <f t="shared" si="565"/>
        <v>165432</v>
      </c>
      <c r="BA561" s="49"/>
      <c r="BB561" s="48">
        <f t="shared" si="567"/>
        <v>0</v>
      </c>
    </row>
    <row r="562" spans="2:54" x14ac:dyDescent="0.2">
      <c r="B562" s="3">
        <v>2018</v>
      </c>
      <c r="C562" t="s">
        <v>80</v>
      </c>
      <c r="D562" t="s">
        <v>81</v>
      </c>
      <c r="E562">
        <v>3</v>
      </c>
      <c r="F562" t="s">
        <v>38</v>
      </c>
      <c r="G562" t="s">
        <v>38</v>
      </c>
      <c r="H562" t="s">
        <v>38</v>
      </c>
      <c r="I562" t="s">
        <v>38</v>
      </c>
      <c r="J562">
        <v>80</v>
      </c>
      <c r="K562">
        <v>82</v>
      </c>
      <c r="L562">
        <v>677</v>
      </c>
      <c r="M562" s="38">
        <v>5424</v>
      </c>
      <c r="N562" s="38">
        <v>1271</v>
      </c>
      <c r="O562" s="38">
        <f t="shared" si="554"/>
        <v>814</v>
      </c>
      <c r="P562" s="38">
        <v>241</v>
      </c>
      <c r="Q562" s="38">
        <v>30</v>
      </c>
      <c r="R562" s="38">
        <v>186</v>
      </c>
      <c r="S562" s="38">
        <v>582</v>
      </c>
      <c r="T562" s="38">
        <v>64</v>
      </c>
      <c r="U562" s="38">
        <f t="shared" si="555"/>
        <v>3507</v>
      </c>
      <c r="V562">
        <v>1520</v>
      </c>
      <c r="W562">
        <v>69</v>
      </c>
      <c r="X562">
        <v>26</v>
      </c>
      <c r="Y562">
        <v>32</v>
      </c>
      <c r="Z562">
        <v>728</v>
      </c>
      <c r="AA562">
        <v>665</v>
      </c>
      <c r="AB562">
        <v>4.1399999999999997</v>
      </c>
      <c r="AC562">
        <v>0</v>
      </c>
      <c r="AD562">
        <v>12</v>
      </c>
      <c r="AE562">
        <v>44</v>
      </c>
      <c r="AF562" s="45">
        <f t="shared" ca="1" si="542"/>
        <v>6431</v>
      </c>
      <c r="AG562" s="45">
        <f t="shared" ca="1" si="556"/>
        <v>1442</v>
      </c>
      <c r="AH562" s="45">
        <f t="shared" ca="1" si="557"/>
        <v>1034</v>
      </c>
      <c r="AI562" s="45">
        <f t="shared" ca="1" si="558"/>
        <v>233</v>
      </c>
      <c r="AJ562" s="45">
        <f t="shared" ca="1" si="559"/>
        <v>42</v>
      </c>
      <c r="AK562" s="45">
        <f t="shared" ca="1" si="560"/>
        <v>133</v>
      </c>
      <c r="AL562" s="45">
        <f t="shared" ca="1" si="561"/>
        <v>593</v>
      </c>
      <c r="AM562" s="45">
        <f t="shared" ca="1" si="562"/>
        <v>80</v>
      </c>
      <c r="AN562" s="45">
        <f t="shared" ca="1" si="563"/>
        <v>4316</v>
      </c>
      <c r="AO562">
        <v>4337</v>
      </c>
      <c r="AP562">
        <v>1366</v>
      </c>
      <c r="AQ562">
        <v>171</v>
      </c>
      <c r="AR562">
        <v>500</v>
      </c>
      <c r="AS562">
        <v>1465</v>
      </c>
      <c r="AT562">
        <v>123</v>
      </c>
      <c r="AU562">
        <v>138</v>
      </c>
      <c r="AV562">
        <v>0.97899999999999998</v>
      </c>
      <c r="AW562" s="1"/>
      <c r="AX562" s="1"/>
      <c r="AY562" s="47">
        <f t="shared" si="564"/>
        <v>29700</v>
      </c>
      <c r="AZ562" s="49">
        <f t="shared" si="565"/>
        <v>165432</v>
      </c>
      <c r="BA562" s="49">
        <f t="shared" ref="BA562" si="608">SUMIF($B$2:$B$571,$B562,$O$2:$O$571)</f>
        <v>26323</v>
      </c>
      <c r="BB562" s="48">
        <f t="shared" si="567"/>
        <v>0.15911673678611152</v>
      </c>
    </row>
    <row r="563" spans="2:54" x14ac:dyDescent="0.2">
      <c r="B563" s="3">
        <v>2018</v>
      </c>
      <c r="C563" t="s">
        <v>82</v>
      </c>
      <c r="D563" t="s">
        <v>83</v>
      </c>
      <c r="E563">
        <v>4</v>
      </c>
      <c r="F563" t="s">
        <v>38</v>
      </c>
      <c r="G563" t="s">
        <v>38</v>
      </c>
      <c r="H563" t="s">
        <v>38</v>
      </c>
      <c r="I563" t="s">
        <v>38</v>
      </c>
      <c r="J563">
        <v>82</v>
      </c>
      <c r="K563">
        <v>79</v>
      </c>
      <c r="L563">
        <v>692</v>
      </c>
      <c r="M563" s="38">
        <v>5447</v>
      </c>
      <c r="N563" s="38">
        <v>1381</v>
      </c>
      <c r="O563" s="38">
        <f t="shared" si="554"/>
        <v>896</v>
      </c>
      <c r="P563" s="38">
        <v>290</v>
      </c>
      <c r="Q563" s="38">
        <v>38</v>
      </c>
      <c r="R563" s="38">
        <v>157</v>
      </c>
      <c r="S563" s="38">
        <v>474</v>
      </c>
      <c r="T563" s="38">
        <v>59</v>
      </c>
      <c r="U563" s="38">
        <f t="shared" si="555"/>
        <v>3533</v>
      </c>
      <c r="V563">
        <v>1229</v>
      </c>
      <c r="W563">
        <v>70</v>
      </c>
      <c r="X563">
        <v>38</v>
      </c>
      <c r="Y563">
        <v>52</v>
      </c>
      <c r="Z563">
        <v>693</v>
      </c>
      <c r="AA563">
        <v>637</v>
      </c>
      <c r="AB563">
        <v>4</v>
      </c>
      <c r="AC563">
        <v>3</v>
      </c>
      <c r="AD563">
        <v>16</v>
      </c>
      <c r="AE563">
        <v>40</v>
      </c>
      <c r="AF563" s="45">
        <f t="shared" ca="1" si="542"/>
        <v>6459</v>
      </c>
      <c r="AG563" s="45">
        <f t="shared" ca="1" si="556"/>
        <v>1662</v>
      </c>
      <c r="AH563" s="45">
        <f t="shared" ca="1" si="557"/>
        <v>1079</v>
      </c>
      <c r="AI563" s="45">
        <f t="shared" ca="1" si="558"/>
        <v>380</v>
      </c>
      <c r="AJ563" s="45">
        <f t="shared" ca="1" si="559"/>
        <v>23</v>
      </c>
      <c r="AK563" s="45">
        <f t="shared" ca="1" si="560"/>
        <v>180</v>
      </c>
      <c r="AL563" s="45">
        <f t="shared" ca="1" si="561"/>
        <v>518</v>
      </c>
      <c r="AM563" s="45">
        <f t="shared" ca="1" si="562"/>
        <v>68</v>
      </c>
      <c r="AN563" s="45">
        <f t="shared" ca="1" si="563"/>
        <v>4211</v>
      </c>
      <c r="AO563">
        <v>4302</v>
      </c>
      <c r="AP563">
        <v>1380</v>
      </c>
      <c r="AQ563">
        <v>174</v>
      </c>
      <c r="AR563">
        <v>497</v>
      </c>
      <c r="AS563">
        <v>1336</v>
      </c>
      <c r="AT563">
        <v>105</v>
      </c>
      <c r="AU563">
        <v>129</v>
      </c>
      <c r="AV563">
        <v>0.98199999999999998</v>
      </c>
      <c r="AW563" s="1"/>
      <c r="AX563" s="1"/>
      <c r="AY563" s="47">
        <f t="shared" si="564"/>
        <v>29700</v>
      </c>
      <c r="AZ563" s="49">
        <f t="shared" si="565"/>
        <v>165432</v>
      </c>
      <c r="BA563" s="49">
        <f t="shared" ref="BA563" si="609">SUMIF($B$2:$B$571,$B563,$P$2:$P$571)</f>
        <v>8265</v>
      </c>
      <c r="BB563" s="48">
        <f t="shared" si="567"/>
        <v>4.9960104453793702E-2</v>
      </c>
    </row>
    <row r="564" spans="2:54" x14ac:dyDescent="0.2">
      <c r="B564" s="3">
        <v>2018</v>
      </c>
      <c r="C564" t="s">
        <v>84</v>
      </c>
      <c r="D564" t="s">
        <v>85</v>
      </c>
      <c r="E564">
        <v>5</v>
      </c>
      <c r="F564" t="s">
        <v>38</v>
      </c>
      <c r="G564" t="s">
        <v>38</v>
      </c>
      <c r="H564" t="s">
        <v>38</v>
      </c>
      <c r="I564" t="s">
        <v>38</v>
      </c>
      <c r="J564">
        <v>66</v>
      </c>
      <c r="K564">
        <v>96</v>
      </c>
      <c r="L564">
        <v>617</v>
      </c>
      <c r="M564" s="38">
        <v>5486</v>
      </c>
      <c r="N564" s="38">
        <v>1289</v>
      </c>
      <c r="O564" s="38">
        <f t="shared" si="554"/>
        <v>847</v>
      </c>
      <c r="P564" s="38">
        <v>250</v>
      </c>
      <c r="Q564" s="38">
        <v>30</v>
      </c>
      <c r="R564" s="38">
        <v>162</v>
      </c>
      <c r="S564" s="38">
        <v>471</v>
      </c>
      <c r="T564" s="38">
        <v>31</v>
      </c>
      <c r="U564" s="38">
        <f t="shared" si="555"/>
        <v>3695</v>
      </c>
      <c r="V564">
        <v>1523</v>
      </c>
      <c r="W564">
        <v>95</v>
      </c>
      <c r="X564">
        <v>36</v>
      </c>
      <c r="Y564">
        <v>36</v>
      </c>
      <c r="Z564">
        <v>767</v>
      </c>
      <c r="AA564">
        <v>713</v>
      </c>
      <c r="AB564">
        <v>4.4000000000000004</v>
      </c>
      <c r="AC564">
        <v>0</v>
      </c>
      <c r="AD564">
        <v>5</v>
      </c>
      <c r="AE564">
        <v>36</v>
      </c>
      <c r="AF564" s="45">
        <f t="shared" ca="1" si="542"/>
        <v>6397</v>
      </c>
      <c r="AG564" s="45">
        <f t="shared" ca="1" si="556"/>
        <v>1489</v>
      </c>
      <c r="AH564" s="45">
        <f t="shared" ca="1" si="557"/>
        <v>981</v>
      </c>
      <c r="AI564" s="45">
        <f t="shared" ca="1" si="558"/>
        <v>266</v>
      </c>
      <c r="AJ564" s="45">
        <f t="shared" ca="1" si="559"/>
        <v>36</v>
      </c>
      <c r="AK564" s="45">
        <f t="shared" ca="1" si="560"/>
        <v>206</v>
      </c>
      <c r="AL564" s="45">
        <f t="shared" ca="1" si="561"/>
        <v>443</v>
      </c>
      <c r="AM564" s="45">
        <f t="shared" ca="1" si="562"/>
        <v>57</v>
      </c>
      <c r="AN564" s="45">
        <f t="shared" ca="1" si="563"/>
        <v>4408</v>
      </c>
      <c r="AO564">
        <v>4371</v>
      </c>
      <c r="AP564">
        <v>1430</v>
      </c>
      <c r="AQ564">
        <v>185</v>
      </c>
      <c r="AR564">
        <v>519</v>
      </c>
      <c r="AS564">
        <v>1399</v>
      </c>
      <c r="AT564">
        <v>100</v>
      </c>
      <c r="AU564">
        <v>127</v>
      </c>
      <c r="AV564">
        <v>0.98299999999999998</v>
      </c>
      <c r="AW564" s="1"/>
      <c r="AX564" s="1"/>
      <c r="AY564" s="47">
        <f t="shared" si="564"/>
        <v>29700</v>
      </c>
      <c r="AZ564" s="49">
        <f t="shared" si="565"/>
        <v>165432</v>
      </c>
      <c r="BA564" s="49">
        <f t="shared" ref="BA564" si="610">SUMIF($B$2:$B$571,$B564,$Q$2:$Q$571)</f>
        <v>847</v>
      </c>
      <c r="BB564" s="48">
        <f t="shared" si="567"/>
        <v>5.1199284298080175E-3</v>
      </c>
    </row>
    <row r="565" spans="2:54" x14ac:dyDescent="0.2">
      <c r="B565" s="3">
        <v>2018</v>
      </c>
      <c r="C565" t="s">
        <v>86</v>
      </c>
      <c r="D565" t="s">
        <v>87</v>
      </c>
      <c r="E565">
        <v>3</v>
      </c>
      <c r="F565" t="s">
        <v>38</v>
      </c>
      <c r="G565" t="s">
        <v>38</v>
      </c>
      <c r="H565" t="s">
        <v>38</v>
      </c>
      <c r="I565" t="s">
        <v>38</v>
      </c>
      <c r="J565">
        <v>89</v>
      </c>
      <c r="K565">
        <v>73</v>
      </c>
      <c r="L565">
        <v>677</v>
      </c>
      <c r="M565" s="38">
        <v>5513</v>
      </c>
      <c r="N565" s="38">
        <v>1402</v>
      </c>
      <c r="O565" s="38">
        <f t="shared" si="554"/>
        <v>938</v>
      </c>
      <c r="P565" s="38">
        <v>256</v>
      </c>
      <c r="Q565" s="38">
        <v>32</v>
      </c>
      <c r="R565" s="38">
        <v>176</v>
      </c>
      <c r="S565" s="38">
        <v>430</v>
      </c>
      <c r="T565" s="38">
        <v>70</v>
      </c>
      <c r="U565" s="38">
        <f t="shared" si="555"/>
        <v>3611</v>
      </c>
      <c r="V565">
        <v>1221</v>
      </c>
      <c r="W565">
        <v>79</v>
      </c>
      <c r="X565">
        <v>37</v>
      </c>
      <c r="Y565">
        <v>41</v>
      </c>
      <c r="Z565">
        <v>711</v>
      </c>
      <c r="AA565">
        <v>664</v>
      </c>
      <c r="AB565">
        <v>4.13</v>
      </c>
      <c r="AC565">
        <v>3</v>
      </c>
      <c r="AD565">
        <v>12</v>
      </c>
      <c r="AE565">
        <v>60</v>
      </c>
      <c r="AF565" s="45">
        <f t="shared" ca="1" si="542"/>
        <v>6140</v>
      </c>
      <c r="AG565" s="45">
        <f t="shared" ca="1" si="556"/>
        <v>1614</v>
      </c>
      <c r="AH565" s="45">
        <f t="shared" ca="1" si="557"/>
        <v>1101</v>
      </c>
      <c r="AI565" s="45">
        <f t="shared" ca="1" si="558"/>
        <v>288</v>
      </c>
      <c r="AJ565" s="45">
        <f t="shared" ca="1" si="559"/>
        <v>34</v>
      </c>
      <c r="AK565" s="45">
        <f t="shared" ca="1" si="560"/>
        <v>191</v>
      </c>
      <c r="AL565" s="45">
        <f t="shared" ca="1" si="561"/>
        <v>528</v>
      </c>
      <c r="AM565" s="45">
        <f t="shared" ca="1" si="562"/>
        <v>64</v>
      </c>
      <c r="AN565" s="45">
        <f t="shared" ca="1" si="563"/>
        <v>3934</v>
      </c>
      <c r="AO565">
        <v>4346</v>
      </c>
      <c r="AP565">
        <v>1396</v>
      </c>
      <c r="AQ565">
        <v>195</v>
      </c>
      <c r="AR565">
        <v>400</v>
      </c>
      <c r="AS565">
        <v>1328</v>
      </c>
      <c r="AT565">
        <v>88</v>
      </c>
      <c r="AU565">
        <v>152</v>
      </c>
      <c r="AV565">
        <v>0.98499999999999999</v>
      </c>
      <c r="AW565" s="1"/>
      <c r="AX565" s="1"/>
      <c r="AY565" s="47">
        <f t="shared" si="564"/>
        <v>29700</v>
      </c>
      <c r="AZ565" s="49">
        <f t="shared" si="565"/>
        <v>165432</v>
      </c>
      <c r="BA565" s="49">
        <f t="shared" ref="BA565" si="611">SUMIF($B$2:$B$571,$B565,$R$2:$R$571)</f>
        <v>5585</v>
      </c>
      <c r="BB565" s="48">
        <f t="shared" si="567"/>
        <v>3.3760094782146137E-2</v>
      </c>
    </row>
    <row r="566" spans="2:54" x14ac:dyDescent="0.2">
      <c r="B566" s="3">
        <v>2018</v>
      </c>
      <c r="C566" t="s">
        <v>88</v>
      </c>
      <c r="D566" t="s">
        <v>89</v>
      </c>
      <c r="E566">
        <v>4</v>
      </c>
      <c r="F566" t="s">
        <v>38</v>
      </c>
      <c r="G566" t="s">
        <v>38</v>
      </c>
      <c r="H566" t="s">
        <v>38</v>
      </c>
      <c r="I566" t="s">
        <v>38</v>
      </c>
      <c r="J566">
        <v>73</v>
      </c>
      <c r="K566">
        <v>89</v>
      </c>
      <c r="L566">
        <v>603</v>
      </c>
      <c r="M566" s="38">
        <v>5541</v>
      </c>
      <c r="N566" s="38">
        <v>1324</v>
      </c>
      <c r="O566" s="38">
        <f t="shared" si="554"/>
        <v>906</v>
      </c>
      <c r="P566" s="38">
        <v>255</v>
      </c>
      <c r="Q566" s="38">
        <v>30</v>
      </c>
      <c r="R566" s="38">
        <v>133</v>
      </c>
      <c r="S566" s="38">
        <v>448</v>
      </c>
      <c r="T566" s="38">
        <v>49</v>
      </c>
      <c r="U566" s="38">
        <f t="shared" si="555"/>
        <v>3720</v>
      </c>
      <c r="V566">
        <v>1467</v>
      </c>
      <c r="W566">
        <v>77</v>
      </c>
      <c r="X566">
        <v>34</v>
      </c>
      <c r="Y566">
        <v>42</v>
      </c>
      <c r="Z566">
        <v>699</v>
      </c>
      <c r="AA566">
        <v>641</v>
      </c>
      <c r="AB566">
        <v>3.95</v>
      </c>
      <c r="AC566">
        <v>1</v>
      </c>
      <c r="AD566">
        <v>15</v>
      </c>
      <c r="AE566">
        <v>36</v>
      </c>
      <c r="AF566" s="45">
        <f t="shared" ref="AF566:AF571" ca="1" si="612">RANDBETWEEN(6049,6490)</f>
        <v>6054</v>
      </c>
      <c r="AG566" s="45">
        <f t="shared" ca="1" si="556"/>
        <v>1584</v>
      </c>
      <c r="AH566" s="45">
        <f t="shared" ca="1" si="557"/>
        <v>1020</v>
      </c>
      <c r="AI566" s="45">
        <f t="shared" ca="1" si="558"/>
        <v>321</v>
      </c>
      <c r="AJ566" s="45">
        <f t="shared" ca="1" si="559"/>
        <v>49</v>
      </c>
      <c r="AK566" s="45">
        <f t="shared" ca="1" si="560"/>
        <v>194</v>
      </c>
      <c r="AL566" s="45">
        <f t="shared" ca="1" si="561"/>
        <v>590</v>
      </c>
      <c r="AM566" s="45">
        <f t="shared" ca="1" si="562"/>
        <v>62</v>
      </c>
      <c r="AN566" s="45">
        <f t="shared" ca="1" si="563"/>
        <v>3818</v>
      </c>
      <c r="AO566">
        <v>4384</v>
      </c>
      <c r="AP566">
        <v>1387</v>
      </c>
      <c r="AQ566">
        <v>156</v>
      </c>
      <c r="AR566">
        <v>524</v>
      </c>
      <c r="AS566">
        <v>1269</v>
      </c>
      <c r="AT566">
        <v>97</v>
      </c>
      <c r="AU566">
        <v>160</v>
      </c>
      <c r="AV566">
        <v>0.98399999999999999</v>
      </c>
      <c r="AW566" s="1"/>
      <c r="AX566" s="1"/>
      <c r="AY566" s="47">
        <f t="shared" si="564"/>
        <v>29700</v>
      </c>
      <c r="AZ566" s="49">
        <f t="shared" si="565"/>
        <v>165432</v>
      </c>
      <c r="BA566" s="49">
        <f t="shared" ref="BA566" si="613">SUMIF($B$2:$B$571,$B566,$S$2:$S$571)</f>
        <v>15686</v>
      </c>
      <c r="BB566" s="48">
        <f t="shared" si="567"/>
        <v>9.4818414816964069E-2</v>
      </c>
    </row>
    <row r="567" spans="2:54" x14ac:dyDescent="0.2">
      <c r="B567" s="3">
        <v>2018</v>
      </c>
      <c r="C567" t="s">
        <v>90</v>
      </c>
      <c r="D567" t="s">
        <v>91</v>
      </c>
      <c r="E567">
        <v>3</v>
      </c>
      <c r="F567" t="s">
        <v>38</v>
      </c>
      <c r="G567" t="s">
        <v>38</v>
      </c>
      <c r="H567" t="s">
        <v>38</v>
      </c>
      <c r="I567" t="s">
        <v>38</v>
      </c>
      <c r="J567">
        <v>88</v>
      </c>
      <c r="K567">
        <v>74</v>
      </c>
      <c r="L567">
        <v>759</v>
      </c>
      <c r="M567" s="38">
        <v>5498</v>
      </c>
      <c r="N567" s="38">
        <v>1369</v>
      </c>
      <c r="O567" s="38">
        <f t="shared" si="554"/>
        <v>907</v>
      </c>
      <c r="P567" s="38">
        <v>248</v>
      </c>
      <c r="Q567" s="38">
        <v>9</v>
      </c>
      <c r="R567" s="38">
        <v>205</v>
      </c>
      <c r="S567" s="38">
        <v>525</v>
      </c>
      <c r="T567" s="38">
        <v>80</v>
      </c>
      <c r="U567" s="38">
        <f t="shared" si="555"/>
        <v>3524</v>
      </c>
      <c r="V567">
        <v>1380</v>
      </c>
      <c r="W567">
        <v>63</v>
      </c>
      <c r="X567">
        <v>32</v>
      </c>
      <c r="Y567">
        <v>48</v>
      </c>
      <c r="Z567">
        <v>691</v>
      </c>
      <c r="AA567">
        <v>622</v>
      </c>
      <c r="AB567">
        <v>3.85</v>
      </c>
      <c r="AC567">
        <v>1</v>
      </c>
      <c r="AD567">
        <v>8</v>
      </c>
      <c r="AE567">
        <v>43</v>
      </c>
      <c r="AF567" s="45">
        <f t="shared" ca="1" si="612"/>
        <v>6324</v>
      </c>
      <c r="AG567" s="45">
        <f t="shared" ca="1" si="556"/>
        <v>1581</v>
      </c>
      <c r="AH567" s="45">
        <f t="shared" ca="1" si="557"/>
        <v>984</v>
      </c>
      <c r="AI567" s="45">
        <f t="shared" ca="1" si="558"/>
        <v>354</v>
      </c>
      <c r="AJ567" s="45">
        <f t="shared" ca="1" si="559"/>
        <v>23</v>
      </c>
      <c r="AK567" s="45">
        <f t="shared" ca="1" si="560"/>
        <v>220</v>
      </c>
      <c r="AL567" s="45">
        <f t="shared" ca="1" si="561"/>
        <v>561</v>
      </c>
      <c r="AM567" s="45">
        <f t="shared" ca="1" si="562"/>
        <v>75</v>
      </c>
      <c r="AN567" s="45">
        <f t="shared" ca="1" si="563"/>
        <v>4107</v>
      </c>
      <c r="AO567">
        <v>4366</v>
      </c>
      <c r="AP567">
        <v>1354</v>
      </c>
      <c r="AQ567">
        <v>144</v>
      </c>
      <c r="AR567">
        <v>593</v>
      </c>
      <c r="AS567">
        <v>1337</v>
      </c>
      <c r="AT567">
        <v>133</v>
      </c>
      <c r="AU567">
        <v>151</v>
      </c>
      <c r="AV567">
        <v>0.97799999999999998</v>
      </c>
      <c r="AW567" s="1"/>
      <c r="AX567" s="1"/>
      <c r="AY567" s="47">
        <f t="shared" si="564"/>
        <v>29700</v>
      </c>
      <c r="AZ567" s="49">
        <f t="shared" si="565"/>
        <v>165432</v>
      </c>
      <c r="BA567" s="49">
        <f t="shared" ref="BA567" si="614">SUMIF($B$2:$B$571,$B567,$T$2:$T$571)</f>
        <v>1922</v>
      </c>
      <c r="BB567" s="48">
        <f t="shared" si="567"/>
        <v>1.1618066637651725E-2</v>
      </c>
    </row>
    <row r="568" spans="2:54" x14ac:dyDescent="0.2">
      <c r="B568" s="3">
        <v>2018</v>
      </c>
      <c r="C568" t="s">
        <v>102</v>
      </c>
      <c r="D568" t="s">
        <v>93</v>
      </c>
      <c r="E568">
        <v>3</v>
      </c>
      <c r="F568" t="s">
        <v>38</v>
      </c>
      <c r="G568" t="s">
        <v>38</v>
      </c>
      <c r="H568" t="s">
        <v>38</v>
      </c>
      <c r="I568" t="s">
        <v>38</v>
      </c>
      <c r="J568">
        <v>90</v>
      </c>
      <c r="K568">
        <v>72</v>
      </c>
      <c r="L568">
        <v>716</v>
      </c>
      <c r="M568" s="38">
        <v>5475</v>
      </c>
      <c r="N568" s="38">
        <v>1415</v>
      </c>
      <c r="O568" s="38">
        <f t="shared" si="554"/>
        <v>948</v>
      </c>
      <c r="P568" s="38">
        <v>274</v>
      </c>
      <c r="Q568" s="38">
        <v>43</v>
      </c>
      <c r="R568" s="38">
        <v>150</v>
      </c>
      <c r="S568" s="38">
        <v>540</v>
      </c>
      <c r="T568" s="38">
        <v>101</v>
      </c>
      <c r="U568" s="38">
        <f t="shared" si="555"/>
        <v>3419</v>
      </c>
      <c r="V568">
        <v>1388</v>
      </c>
      <c r="W568">
        <v>128</v>
      </c>
      <c r="X568">
        <v>51</v>
      </c>
      <c r="Y568">
        <v>50</v>
      </c>
      <c r="Z568">
        <v>646</v>
      </c>
      <c r="AA568">
        <v>602</v>
      </c>
      <c r="AB568">
        <v>3.74</v>
      </c>
      <c r="AC568">
        <v>0</v>
      </c>
      <c r="AD568">
        <v>14</v>
      </c>
      <c r="AE568">
        <v>52</v>
      </c>
      <c r="AF568" s="45">
        <f t="shared" ca="1" si="612"/>
        <v>6100</v>
      </c>
      <c r="AG568" s="45">
        <f t="shared" ca="1" si="556"/>
        <v>1581</v>
      </c>
      <c r="AH568" s="45">
        <f t="shared" ca="1" si="557"/>
        <v>1064</v>
      </c>
      <c r="AI568" s="45">
        <f t="shared" ca="1" si="558"/>
        <v>335</v>
      </c>
      <c r="AJ568" s="45">
        <f t="shared" ca="1" si="559"/>
        <v>34</v>
      </c>
      <c r="AK568" s="45">
        <f t="shared" ca="1" si="560"/>
        <v>148</v>
      </c>
      <c r="AL568" s="45">
        <f t="shared" ca="1" si="561"/>
        <v>552</v>
      </c>
      <c r="AM568" s="45">
        <f t="shared" ca="1" si="562"/>
        <v>78</v>
      </c>
      <c r="AN568" s="45">
        <f t="shared" ca="1" si="563"/>
        <v>3889</v>
      </c>
      <c r="AO568">
        <v>4345</v>
      </c>
      <c r="AP568">
        <v>1236</v>
      </c>
      <c r="AQ568">
        <v>164</v>
      </c>
      <c r="AR568">
        <v>501</v>
      </c>
      <c r="AS568">
        <v>1421</v>
      </c>
      <c r="AT568">
        <v>85</v>
      </c>
      <c r="AU568">
        <v>136</v>
      </c>
      <c r="AV568">
        <v>0.98599999999999999</v>
      </c>
      <c r="AW568" s="1"/>
      <c r="AX568" s="1"/>
      <c r="AY568" s="47">
        <f t="shared" si="564"/>
        <v>29700</v>
      </c>
      <c r="AZ568" s="49">
        <f t="shared" si="565"/>
        <v>165432</v>
      </c>
      <c r="BA568" s="49">
        <f t="shared" ref="BA568" si="615">SUMIF($B$2:$B$571,$B568,$U$2:$U$571)</f>
        <v>106804</v>
      </c>
      <c r="BB568" s="48">
        <f t="shared" si="567"/>
        <v>0.6456066540935248</v>
      </c>
    </row>
    <row r="569" spans="2:54" x14ac:dyDescent="0.2">
      <c r="B569" s="3">
        <v>2018</v>
      </c>
      <c r="C569" t="s">
        <v>94</v>
      </c>
      <c r="D569" t="s">
        <v>95</v>
      </c>
      <c r="E569">
        <v>5</v>
      </c>
      <c r="F569" t="s">
        <v>38</v>
      </c>
      <c r="G569" t="s">
        <v>38</v>
      </c>
      <c r="H569" t="s">
        <v>38</v>
      </c>
      <c r="I569" t="s">
        <v>38</v>
      </c>
      <c r="J569">
        <v>67</v>
      </c>
      <c r="K569">
        <v>95</v>
      </c>
      <c r="L569">
        <v>737</v>
      </c>
      <c r="M569" s="38">
        <v>5453</v>
      </c>
      <c r="N569" s="38">
        <v>1308</v>
      </c>
      <c r="O569" s="38">
        <f t="shared" si="554"/>
        <v>824</v>
      </c>
      <c r="P569" s="38">
        <v>266</v>
      </c>
      <c r="Q569" s="38">
        <v>24</v>
      </c>
      <c r="R569" s="38">
        <v>194</v>
      </c>
      <c r="S569" s="38">
        <v>555</v>
      </c>
      <c r="T569" s="38">
        <v>88</v>
      </c>
      <c r="U569" s="38">
        <f t="shared" si="555"/>
        <v>3502</v>
      </c>
      <c r="V569">
        <v>1484</v>
      </c>
      <c r="W569">
        <v>74</v>
      </c>
      <c r="X569">
        <v>35</v>
      </c>
      <c r="Y569">
        <v>34</v>
      </c>
      <c r="Z569">
        <v>848</v>
      </c>
      <c r="AA569">
        <v>783</v>
      </c>
      <c r="AB569">
        <v>4.92</v>
      </c>
      <c r="AC569">
        <v>1</v>
      </c>
      <c r="AD569">
        <v>5</v>
      </c>
      <c r="AE569">
        <v>42</v>
      </c>
      <c r="AF569" s="45">
        <f t="shared" ca="1" si="612"/>
        <v>6448</v>
      </c>
      <c r="AG569" s="45">
        <f t="shared" ca="1" si="556"/>
        <v>1480</v>
      </c>
      <c r="AH569" s="45">
        <f t="shared" ca="1" si="557"/>
        <v>1029</v>
      </c>
      <c r="AI569" s="45">
        <f t="shared" ca="1" si="558"/>
        <v>238</v>
      </c>
      <c r="AJ569" s="45">
        <f t="shared" ca="1" si="559"/>
        <v>39</v>
      </c>
      <c r="AK569" s="45">
        <f t="shared" ca="1" si="560"/>
        <v>174</v>
      </c>
      <c r="AL569" s="45">
        <f t="shared" ca="1" si="561"/>
        <v>671</v>
      </c>
      <c r="AM569" s="45">
        <f t="shared" ca="1" si="562"/>
        <v>69</v>
      </c>
      <c r="AN569" s="45">
        <f t="shared" ca="1" si="563"/>
        <v>4228</v>
      </c>
      <c r="AO569">
        <v>4293</v>
      </c>
      <c r="AP569">
        <v>1516</v>
      </c>
      <c r="AQ569">
        <v>222</v>
      </c>
      <c r="AR569">
        <v>491</v>
      </c>
      <c r="AS569">
        <v>1121</v>
      </c>
      <c r="AT569">
        <v>120</v>
      </c>
      <c r="AU569">
        <v>168</v>
      </c>
      <c r="AV569">
        <v>0.98</v>
      </c>
      <c r="AW569" s="1"/>
      <c r="AX569" s="1"/>
      <c r="AY569" s="47">
        <f t="shared" si="564"/>
        <v>29700</v>
      </c>
      <c r="AZ569" s="49">
        <f t="shared" si="565"/>
        <v>165432</v>
      </c>
      <c r="BA569" s="49"/>
      <c r="BB569" s="48">
        <f t="shared" si="567"/>
        <v>0</v>
      </c>
    </row>
    <row r="570" spans="2:54" x14ac:dyDescent="0.2">
      <c r="B570" s="3">
        <v>2018</v>
      </c>
      <c r="C570" t="s">
        <v>96</v>
      </c>
      <c r="D570" t="s">
        <v>97</v>
      </c>
      <c r="E570">
        <v>4</v>
      </c>
      <c r="F570" t="s">
        <v>38</v>
      </c>
      <c r="G570" t="s">
        <v>38</v>
      </c>
      <c r="H570" t="s">
        <v>38</v>
      </c>
      <c r="I570" t="s">
        <v>38</v>
      </c>
      <c r="J570">
        <v>73</v>
      </c>
      <c r="K570">
        <v>89</v>
      </c>
      <c r="L570">
        <v>709</v>
      </c>
      <c r="M570" s="38">
        <v>5477</v>
      </c>
      <c r="N570" s="38">
        <v>1336</v>
      </c>
      <c r="O570" s="38">
        <f t="shared" si="554"/>
        <v>783</v>
      </c>
      <c r="P570" s="38">
        <v>320</v>
      </c>
      <c r="Q570" s="38">
        <v>16</v>
      </c>
      <c r="R570" s="38">
        <v>217</v>
      </c>
      <c r="S570" s="38">
        <v>499</v>
      </c>
      <c r="T570" s="38">
        <v>58</v>
      </c>
      <c r="U570" s="38">
        <f t="shared" si="555"/>
        <v>3584</v>
      </c>
      <c r="V570">
        <v>1387</v>
      </c>
      <c r="W570">
        <v>47</v>
      </c>
      <c r="X570">
        <v>30</v>
      </c>
      <c r="Y570">
        <v>37</v>
      </c>
      <c r="Z570">
        <v>832</v>
      </c>
      <c r="AA570">
        <v>772</v>
      </c>
      <c r="AB570">
        <v>4.8499999999999996</v>
      </c>
      <c r="AC570">
        <v>0</v>
      </c>
      <c r="AD570">
        <v>3</v>
      </c>
      <c r="AE570">
        <v>39</v>
      </c>
      <c r="AF570" s="45">
        <f t="shared" ca="1" si="612"/>
        <v>6230</v>
      </c>
      <c r="AG570" s="45">
        <f t="shared" ca="1" si="556"/>
        <v>1577</v>
      </c>
      <c r="AH570" s="45">
        <f t="shared" ca="1" si="557"/>
        <v>1068</v>
      </c>
      <c r="AI570" s="45">
        <f t="shared" ca="1" si="558"/>
        <v>247</v>
      </c>
      <c r="AJ570" s="45">
        <f t="shared" ca="1" si="559"/>
        <v>47</v>
      </c>
      <c r="AK570" s="45">
        <f t="shared" ca="1" si="560"/>
        <v>215</v>
      </c>
      <c r="AL570" s="45">
        <f t="shared" ca="1" si="561"/>
        <v>532</v>
      </c>
      <c r="AM570" s="45">
        <f t="shared" ca="1" si="562"/>
        <v>34</v>
      </c>
      <c r="AN570" s="45">
        <f t="shared" ca="1" si="563"/>
        <v>4087</v>
      </c>
      <c r="AO570">
        <v>4301</v>
      </c>
      <c r="AP570">
        <v>1476</v>
      </c>
      <c r="AQ570">
        <v>208</v>
      </c>
      <c r="AR570">
        <v>551</v>
      </c>
      <c r="AS570">
        <v>1298</v>
      </c>
      <c r="AT570">
        <v>101</v>
      </c>
      <c r="AU570">
        <v>138</v>
      </c>
      <c r="AV570">
        <v>0.98299999999999998</v>
      </c>
      <c r="AW570" s="1"/>
      <c r="AX570" s="1"/>
      <c r="AY570" s="47">
        <f t="shared" si="564"/>
        <v>29700</v>
      </c>
      <c r="AZ570" s="49">
        <f t="shared" si="565"/>
        <v>165432</v>
      </c>
      <c r="BA570" s="49">
        <f t="shared" ref="BA570" si="616">SUMIF($B$2:$B$571,$B570,$O$2:$O$571)</f>
        <v>26323</v>
      </c>
      <c r="BB570" s="48">
        <f t="shared" si="567"/>
        <v>0.15911673678611152</v>
      </c>
    </row>
    <row r="571" spans="2:54" x14ac:dyDescent="0.2">
      <c r="B571" s="3">
        <v>2018</v>
      </c>
      <c r="C571" t="s">
        <v>100</v>
      </c>
      <c r="D571" t="s">
        <v>101</v>
      </c>
      <c r="E571">
        <v>2</v>
      </c>
      <c r="F571" t="s">
        <v>38</v>
      </c>
      <c r="G571" t="s">
        <v>38</v>
      </c>
      <c r="H571" t="s">
        <v>38</v>
      </c>
      <c r="I571" t="s">
        <v>38</v>
      </c>
      <c r="J571">
        <v>82</v>
      </c>
      <c r="K571">
        <v>80</v>
      </c>
      <c r="L571">
        <v>771</v>
      </c>
      <c r="M571" s="38">
        <v>5517</v>
      </c>
      <c r="N571" s="38">
        <v>1402</v>
      </c>
      <c r="O571" s="38">
        <f t="shared" si="554"/>
        <v>902</v>
      </c>
      <c r="P571" s="38">
        <v>284</v>
      </c>
      <c r="Q571" s="38">
        <v>25</v>
      </c>
      <c r="R571" s="38">
        <v>191</v>
      </c>
      <c r="S571" s="38">
        <v>631</v>
      </c>
      <c r="T571" s="38">
        <v>59</v>
      </c>
      <c r="U571" s="38">
        <f t="shared" si="555"/>
        <v>3425</v>
      </c>
      <c r="V571">
        <v>1289</v>
      </c>
      <c r="W571">
        <v>119</v>
      </c>
      <c r="X571">
        <v>33</v>
      </c>
      <c r="Y571">
        <v>40</v>
      </c>
      <c r="Z571">
        <v>682</v>
      </c>
      <c r="AA571">
        <v>649</v>
      </c>
      <c r="AB571">
        <v>4.04</v>
      </c>
      <c r="AC571">
        <v>2</v>
      </c>
      <c r="AD571">
        <v>7</v>
      </c>
      <c r="AE571">
        <v>40</v>
      </c>
      <c r="AF571" s="45">
        <f t="shared" ca="1" si="612"/>
        <v>6478</v>
      </c>
      <c r="AG571" s="45">
        <f t="shared" ca="1" si="556"/>
        <v>1470</v>
      </c>
      <c r="AH571" s="45">
        <f t="shared" ca="1" si="557"/>
        <v>834</v>
      </c>
      <c r="AI571" s="45">
        <f t="shared" ca="1" si="558"/>
        <v>379</v>
      </c>
      <c r="AJ571" s="45">
        <f t="shared" ca="1" si="559"/>
        <v>34</v>
      </c>
      <c r="AK571" s="45">
        <f t="shared" ca="1" si="560"/>
        <v>223</v>
      </c>
      <c r="AL571" s="45">
        <f t="shared" ca="1" si="561"/>
        <v>637</v>
      </c>
      <c r="AM571" s="45">
        <f t="shared" ca="1" si="562"/>
        <v>56</v>
      </c>
      <c r="AN571" s="45">
        <f t="shared" ca="1" si="563"/>
        <v>4315</v>
      </c>
      <c r="AO571">
        <v>4338</v>
      </c>
      <c r="AP571">
        <v>1320</v>
      </c>
      <c r="AQ571">
        <v>198</v>
      </c>
      <c r="AR571">
        <v>487</v>
      </c>
      <c r="AS571">
        <v>1417</v>
      </c>
      <c r="AT571">
        <v>64</v>
      </c>
      <c r="AU571">
        <v>115</v>
      </c>
      <c r="AV571">
        <v>0.98899999999999999</v>
      </c>
      <c r="AW571" s="1"/>
      <c r="AX571" s="1"/>
      <c r="AY571" s="47">
        <f t="shared" si="564"/>
        <v>29700</v>
      </c>
      <c r="AZ571" s="49">
        <f t="shared" si="565"/>
        <v>165432</v>
      </c>
      <c r="BA571" s="49">
        <f t="shared" ref="BA571" si="617">SUMIF($B$2:$B$571,$B571,$P$2:$P$571)</f>
        <v>8265</v>
      </c>
      <c r="BB571" s="48">
        <f t="shared" si="567"/>
        <v>4.9960104453793702E-2</v>
      </c>
    </row>
  </sheetData>
  <mergeCells count="1">
    <mergeCell ref="AW1:BA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9741C-689B-4EF9-A385-6D2447B2B08E}">
  <sheetPr codeName="Sheet6"/>
  <dimension ref="A1:AA601"/>
  <sheetViews>
    <sheetView zoomScale="80" zoomScaleNormal="80" workbookViewId="0">
      <pane ySplit="1" topLeftCell="A527" activePane="bottomLeft" state="frozen"/>
      <selection pane="bottomLeft" activeCell="I20" sqref="I20"/>
    </sheetView>
  </sheetViews>
  <sheetFormatPr baseColWidth="10" defaultColWidth="8.83203125" defaultRowHeight="16" x14ac:dyDescent="0.2"/>
  <cols>
    <col min="1" max="1" width="9" style="52"/>
    <col min="6" max="6" width="8.83203125" style="1"/>
  </cols>
  <sheetData>
    <row r="1" spans="1:27" s="57" customFormat="1" ht="19" x14ac:dyDescent="0.2">
      <c r="A1" s="57" t="s">
        <v>106</v>
      </c>
      <c r="B1" s="57" t="s">
        <v>166</v>
      </c>
      <c r="C1" s="57" t="s">
        <v>183</v>
      </c>
      <c r="D1" s="57" t="s">
        <v>167</v>
      </c>
      <c r="E1" s="57" t="s">
        <v>11</v>
      </c>
      <c r="F1" s="70" t="s">
        <v>10</v>
      </c>
      <c r="G1" s="57" t="s">
        <v>12</v>
      </c>
      <c r="H1" s="57" t="s">
        <v>136</v>
      </c>
      <c r="I1" s="57" t="s">
        <v>13</v>
      </c>
      <c r="J1" s="57" t="s">
        <v>14</v>
      </c>
      <c r="K1" s="57" t="s">
        <v>15</v>
      </c>
      <c r="L1" s="57" t="s">
        <v>16</v>
      </c>
      <c r="M1" s="57" t="s">
        <v>20</v>
      </c>
      <c r="N1" s="57" t="s">
        <v>145</v>
      </c>
      <c r="O1" s="57" t="s">
        <v>177</v>
      </c>
      <c r="P1" s="57" t="s">
        <v>178</v>
      </c>
      <c r="Q1" s="57" t="s">
        <v>17</v>
      </c>
      <c r="R1" s="57" t="s">
        <v>172</v>
      </c>
      <c r="S1" s="57" t="s">
        <v>21</v>
      </c>
      <c r="T1" s="57" t="s">
        <v>179</v>
      </c>
      <c r="U1" s="57" t="s">
        <v>175</v>
      </c>
      <c r="V1" s="57" t="s">
        <v>174</v>
      </c>
      <c r="W1" s="57" t="s">
        <v>18</v>
      </c>
      <c r="X1" s="57" t="s">
        <v>19</v>
      </c>
      <c r="Y1" s="57" t="s">
        <v>180</v>
      </c>
      <c r="Z1" s="57" t="s">
        <v>181</v>
      </c>
      <c r="AA1" s="57" t="s">
        <v>182</v>
      </c>
    </row>
    <row r="2" spans="1:27" x14ac:dyDescent="0.2">
      <c r="A2" s="52">
        <v>2000</v>
      </c>
      <c r="B2" t="s">
        <v>37</v>
      </c>
      <c r="C2" t="s">
        <v>163</v>
      </c>
      <c r="D2">
        <v>162</v>
      </c>
      <c r="E2">
        <v>5628</v>
      </c>
      <c r="F2" s="1">
        <v>864</v>
      </c>
      <c r="G2">
        <v>1574</v>
      </c>
      <c r="H2">
        <f>G2-(I2+J2+K2)</f>
        <v>995</v>
      </c>
      <c r="I2">
        <v>309</v>
      </c>
      <c r="J2">
        <v>34</v>
      </c>
      <c r="K2">
        <v>236</v>
      </c>
      <c r="L2">
        <v>608</v>
      </c>
      <c r="M2">
        <v>47</v>
      </c>
      <c r="N2">
        <f t="shared" ref="N2:N65" si="0">E2-(G2+L2+M2)</f>
        <v>3399</v>
      </c>
      <c r="O2">
        <v>837</v>
      </c>
      <c r="P2">
        <v>43</v>
      </c>
      <c r="Q2">
        <v>1024</v>
      </c>
      <c r="R2">
        <v>47</v>
      </c>
      <c r="S2">
        <v>43</v>
      </c>
      <c r="T2">
        <v>0</v>
      </c>
      <c r="U2">
        <v>49</v>
      </c>
      <c r="V2">
        <v>126</v>
      </c>
      <c r="W2">
        <v>93</v>
      </c>
      <c r="X2">
        <v>52</v>
      </c>
      <c r="Y2">
        <v>0.28000000000000003</v>
      </c>
      <c r="Z2">
        <v>0.35199999999999998</v>
      </c>
      <c r="AA2">
        <v>0.47199999999999998</v>
      </c>
    </row>
    <row r="3" spans="1:27" x14ac:dyDescent="0.2">
      <c r="A3" s="52">
        <v>2000</v>
      </c>
      <c r="B3" t="s">
        <v>40</v>
      </c>
      <c r="C3" t="s">
        <v>38</v>
      </c>
      <c r="D3">
        <v>162</v>
      </c>
      <c r="E3">
        <v>5527</v>
      </c>
      <c r="F3" s="1">
        <v>792</v>
      </c>
      <c r="G3">
        <v>1466</v>
      </c>
      <c r="H3">
        <f t="shared" ref="H3:H66" si="1">G3-(I3+J3+K3)</f>
        <v>961</v>
      </c>
      <c r="I3">
        <v>282</v>
      </c>
      <c r="J3">
        <v>44</v>
      </c>
      <c r="K3">
        <v>179</v>
      </c>
      <c r="L3">
        <v>535</v>
      </c>
      <c r="M3">
        <v>59</v>
      </c>
      <c r="N3">
        <f t="shared" si="0"/>
        <v>3467</v>
      </c>
      <c r="O3">
        <v>756</v>
      </c>
      <c r="P3">
        <v>37</v>
      </c>
      <c r="Q3">
        <v>975</v>
      </c>
      <c r="R3">
        <v>61</v>
      </c>
      <c r="S3">
        <v>58</v>
      </c>
      <c r="T3">
        <v>1</v>
      </c>
      <c r="U3">
        <v>71</v>
      </c>
      <c r="V3">
        <v>114</v>
      </c>
      <c r="W3">
        <v>97</v>
      </c>
      <c r="X3">
        <v>44</v>
      </c>
      <c r="Y3">
        <v>0.26500000000000001</v>
      </c>
      <c r="Z3">
        <v>0.33300000000000002</v>
      </c>
      <c r="AA3">
        <v>0.42899999999999999</v>
      </c>
    </row>
    <row r="4" spans="1:27" x14ac:dyDescent="0.2">
      <c r="A4" s="52">
        <v>2000</v>
      </c>
      <c r="B4" t="s">
        <v>42</v>
      </c>
      <c r="C4" t="s">
        <v>38</v>
      </c>
      <c r="D4">
        <v>162</v>
      </c>
      <c r="E4">
        <v>5489</v>
      </c>
      <c r="F4" s="1">
        <v>810</v>
      </c>
      <c r="G4">
        <v>1490</v>
      </c>
      <c r="H4">
        <f t="shared" si="1"/>
        <v>1011</v>
      </c>
      <c r="I4">
        <v>274</v>
      </c>
      <c r="J4">
        <v>26</v>
      </c>
      <c r="K4">
        <v>179</v>
      </c>
      <c r="L4">
        <v>595</v>
      </c>
      <c r="M4">
        <v>59</v>
      </c>
      <c r="N4">
        <f t="shared" si="0"/>
        <v>3345</v>
      </c>
      <c r="O4">
        <v>758</v>
      </c>
      <c r="P4">
        <v>38</v>
      </c>
      <c r="Q4">
        <v>1010</v>
      </c>
      <c r="R4">
        <v>87</v>
      </c>
      <c r="S4">
        <v>45</v>
      </c>
      <c r="T4">
        <v>0</v>
      </c>
      <c r="U4">
        <v>106</v>
      </c>
      <c r="V4">
        <v>127</v>
      </c>
      <c r="W4">
        <v>148</v>
      </c>
      <c r="X4">
        <v>56</v>
      </c>
      <c r="Y4">
        <v>0.27100000000000002</v>
      </c>
      <c r="Z4">
        <v>0.34599999999999997</v>
      </c>
      <c r="AA4">
        <v>0.42899999999999999</v>
      </c>
    </row>
    <row r="5" spans="1:27" x14ac:dyDescent="0.2">
      <c r="A5" s="52">
        <v>2000</v>
      </c>
      <c r="B5" t="s">
        <v>45</v>
      </c>
      <c r="C5" t="s">
        <v>163</v>
      </c>
      <c r="D5">
        <v>162</v>
      </c>
      <c r="E5">
        <v>5549</v>
      </c>
      <c r="F5" s="1">
        <v>794</v>
      </c>
      <c r="G5">
        <v>1508</v>
      </c>
      <c r="H5">
        <f t="shared" si="1"/>
        <v>992</v>
      </c>
      <c r="I5">
        <v>310</v>
      </c>
      <c r="J5">
        <v>22</v>
      </c>
      <c r="K5">
        <v>184</v>
      </c>
      <c r="L5">
        <v>558</v>
      </c>
      <c r="M5">
        <v>49</v>
      </c>
      <c r="N5">
        <f t="shared" si="0"/>
        <v>3434</v>
      </c>
      <c r="O5">
        <v>750</v>
      </c>
      <c r="P5">
        <v>34</v>
      </c>
      <c r="Q5">
        <v>900</v>
      </c>
      <c r="R5">
        <v>27</v>
      </c>
      <c r="S5">
        <v>54</v>
      </c>
      <c r="T5">
        <v>1</v>
      </c>
      <c r="U5">
        <v>76</v>
      </c>
      <c r="V5">
        <v>148</v>
      </c>
      <c r="W5">
        <v>126</v>
      </c>
      <c r="X5">
        <v>65</v>
      </c>
      <c r="Y5">
        <v>0.27200000000000002</v>
      </c>
      <c r="Z5">
        <v>0.34100000000000003</v>
      </c>
      <c r="AA5">
        <v>0.435</v>
      </c>
    </row>
    <row r="6" spans="1:27" x14ac:dyDescent="0.2">
      <c r="A6" s="52">
        <v>2000</v>
      </c>
      <c r="B6" t="s">
        <v>47</v>
      </c>
      <c r="C6" t="s">
        <v>163</v>
      </c>
      <c r="D6">
        <v>162</v>
      </c>
      <c r="E6">
        <v>5630</v>
      </c>
      <c r="F6" s="1">
        <v>792</v>
      </c>
      <c r="G6">
        <v>1503</v>
      </c>
      <c r="H6">
        <f t="shared" si="1"/>
        <v>988</v>
      </c>
      <c r="I6">
        <v>316</v>
      </c>
      <c r="J6">
        <v>32</v>
      </c>
      <c r="K6">
        <v>167</v>
      </c>
      <c r="L6">
        <v>611</v>
      </c>
      <c r="M6">
        <v>42</v>
      </c>
      <c r="N6">
        <f t="shared" si="0"/>
        <v>3474</v>
      </c>
      <c r="O6">
        <v>755</v>
      </c>
      <c r="P6">
        <v>40</v>
      </c>
      <c r="Q6">
        <v>1019</v>
      </c>
      <c r="R6">
        <v>40</v>
      </c>
      <c r="S6">
        <v>48</v>
      </c>
      <c r="T6">
        <v>0</v>
      </c>
      <c r="U6">
        <v>66</v>
      </c>
      <c r="V6">
        <v>115</v>
      </c>
      <c r="W6">
        <v>43</v>
      </c>
      <c r="X6">
        <v>30</v>
      </c>
      <c r="Y6">
        <v>0.26700000000000002</v>
      </c>
      <c r="Z6">
        <v>0.34100000000000003</v>
      </c>
      <c r="AA6">
        <v>0.42299999999999999</v>
      </c>
    </row>
    <row r="7" spans="1:27" x14ac:dyDescent="0.2">
      <c r="A7" s="52">
        <v>2000</v>
      </c>
      <c r="B7" t="s">
        <v>157</v>
      </c>
      <c r="C7" t="s">
        <v>38</v>
      </c>
      <c r="D7">
        <v>162</v>
      </c>
      <c r="E7">
        <v>5577</v>
      </c>
      <c r="F7" s="1">
        <v>764</v>
      </c>
      <c r="G7">
        <v>1426</v>
      </c>
      <c r="H7">
        <f t="shared" si="1"/>
        <v>948</v>
      </c>
      <c r="I7">
        <v>272</v>
      </c>
      <c r="J7">
        <v>23</v>
      </c>
      <c r="K7">
        <v>183</v>
      </c>
      <c r="L7">
        <v>632</v>
      </c>
      <c r="M7">
        <v>54</v>
      </c>
      <c r="N7">
        <f t="shared" si="0"/>
        <v>3465</v>
      </c>
      <c r="O7">
        <v>722</v>
      </c>
      <c r="P7">
        <v>50</v>
      </c>
      <c r="Q7">
        <v>1120</v>
      </c>
      <c r="R7">
        <v>89</v>
      </c>
      <c r="S7">
        <v>45</v>
      </c>
      <c r="T7">
        <v>0</v>
      </c>
      <c r="U7">
        <v>74</v>
      </c>
      <c r="V7">
        <v>114</v>
      </c>
      <c r="W7">
        <v>93</v>
      </c>
      <c r="X7">
        <v>37</v>
      </c>
      <c r="Y7">
        <v>0.25600000000000001</v>
      </c>
      <c r="Z7">
        <v>0.33500000000000002</v>
      </c>
      <c r="AA7">
        <v>0.41099999999999998</v>
      </c>
    </row>
    <row r="8" spans="1:27" x14ac:dyDescent="0.2">
      <c r="A8" s="52">
        <v>2000</v>
      </c>
      <c r="B8" t="s">
        <v>157</v>
      </c>
      <c r="C8" t="s">
        <v>163</v>
      </c>
      <c r="D8">
        <v>162</v>
      </c>
      <c r="E8">
        <v>5646</v>
      </c>
      <c r="F8" s="1">
        <v>978</v>
      </c>
      <c r="G8">
        <v>1615</v>
      </c>
      <c r="H8">
        <f t="shared" si="1"/>
        <v>1041</v>
      </c>
      <c r="I8">
        <v>325</v>
      </c>
      <c r="J8">
        <v>33</v>
      </c>
      <c r="K8">
        <v>216</v>
      </c>
      <c r="L8">
        <v>591</v>
      </c>
      <c r="M8">
        <v>53</v>
      </c>
      <c r="N8">
        <f t="shared" si="0"/>
        <v>3387</v>
      </c>
      <c r="O8">
        <v>926</v>
      </c>
      <c r="P8">
        <v>28</v>
      </c>
      <c r="Q8">
        <v>960</v>
      </c>
      <c r="R8">
        <v>55</v>
      </c>
      <c r="S8">
        <v>61</v>
      </c>
      <c r="T8">
        <v>4</v>
      </c>
      <c r="U8">
        <v>76</v>
      </c>
      <c r="V8">
        <v>140</v>
      </c>
      <c r="W8">
        <v>119</v>
      </c>
      <c r="X8">
        <v>42</v>
      </c>
      <c r="Y8">
        <v>0.28599999999999998</v>
      </c>
      <c r="Z8">
        <v>0.35599999999999998</v>
      </c>
      <c r="AA8">
        <v>0.47</v>
      </c>
    </row>
    <row r="9" spans="1:27" x14ac:dyDescent="0.2">
      <c r="A9" s="52">
        <v>2000</v>
      </c>
      <c r="B9" t="s">
        <v>53</v>
      </c>
      <c r="C9" t="s">
        <v>38</v>
      </c>
      <c r="D9">
        <v>163</v>
      </c>
      <c r="E9">
        <v>5635</v>
      </c>
      <c r="F9" s="1">
        <v>825</v>
      </c>
      <c r="G9">
        <v>1545</v>
      </c>
      <c r="H9">
        <f t="shared" si="1"/>
        <v>1007</v>
      </c>
      <c r="I9">
        <v>302</v>
      </c>
      <c r="J9">
        <v>36</v>
      </c>
      <c r="K9">
        <v>200</v>
      </c>
      <c r="L9">
        <v>559</v>
      </c>
      <c r="M9">
        <v>64</v>
      </c>
      <c r="N9">
        <f t="shared" si="0"/>
        <v>3467</v>
      </c>
      <c r="O9">
        <v>794</v>
      </c>
      <c r="P9">
        <v>60</v>
      </c>
      <c r="Q9">
        <v>995</v>
      </c>
      <c r="R9">
        <v>56</v>
      </c>
      <c r="S9">
        <v>58</v>
      </c>
      <c r="T9">
        <v>1</v>
      </c>
      <c r="U9">
        <v>67</v>
      </c>
      <c r="V9">
        <v>137</v>
      </c>
      <c r="W9">
        <v>100</v>
      </c>
      <c r="X9">
        <v>38</v>
      </c>
      <c r="Y9">
        <v>0.27400000000000002</v>
      </c>
      <c r="Z9">
        <v>0.34300000000000003</v>
      </c>
      <c r="AA9">
        <v>0.44700000000000001</v>
      </c>
    </row>
    <row r="10" spans="1:27" x14ac:dyDescent="0.2">
      <c r="A10" s="52">
        <v>2000</v>
      </c>
      <c r="B10" t="s">
        <v>55</v>
      </c>
      <c r="C10" t="s">
        <v>163</v>
      </c>
      <c r="D10">
        <v>162</v>
      </c>
      <c r="E10">
        <v>5683</v>
      </c>
      <c r="F10" s="1">
        <v>950</v>
      </c>
      <c r="G10">
        <v>1639</v>
      </c>
      <c r="H10">
        <f t="shared" si="1"/>
        <v>1078</v>
      </c>
      <c r="I10">
        <v>310</v>
      </c>
      <c r="J10">
        <v>30</v>
      </c>
      <c r="K10">
        <v>221</v>
      </c>
      <c r="L10">
        <v>685</v>
      </c>
      <c r="M10">
        <v>51</v>
      </c>
      <c r="N10">
        <f t="shared" si="0"/>
        <v>3308</v>
      </c>
      <c r="O10">
        <v>889</v>
      </c>
      <c r="P10">
        <v>27</v>
      </c>
      <c r="Q10">
        <v>1057</v>
      </c>
      <c r="R10">
        <v>41</v>
      </c>
      <c r="S10">
        <v>52</v>
      </c>
      <c r="T10">
        <v>0</v>
      </c>
      <c r="U10">
        <v>81</v>
      </c>
      <c r="V10">
        <v>134</v>
      </c>
      <c r="W10">
        <v>113</v>
      </c>
      <c r="X10">
        <v>34</v>
      </c>
      <c r="Y10">
        <v>0.28799999999999998</v>
      </c>
      <c r="Z10">
        <v>0.36699999999999999</v>
      </c>
      <c r="AA10">
        <v>0.47</v>
      </c>
    </row>
    <row r="11" spans="1:27" x14ac:dyDescent="0.2">
      <c r="A11" s="52">
        <v>2000</v>
      </c>
      <c r="B11" t="s">
        <v>57</v>
      </c>
      <c r="C11" t="s">
        <v>38</v>
      </c>
      <c r="D11">
        <v>162</v>
      </c>
      <c r="E11">
        <v>5660</v>
      </c>
      <c r="F11" s="1">
        <v>968</v>
      </c>
      <c r="G11">
        <v>1664</v>
      </c>
      <c r="H11">
        <f t="shared" si="1"/>
        <v>1130</v>
      </c>
      <c r="I11">
        <v>320</v>
      </c>
      <c r="J11">
        <v>53</v>
      </c>
      <c r="K11">
        <v>161</v>
      </c>
      <c r="L11">
        <v>601</v>
      </c>
      <c r="M11">
        <v>42</v>
      </c>
      <c r="N11">
        <f t="shared" si="0"/>
        <v>3353</v>
      </c>
      <c r="O11">
        <v>905</v>
      </c>
      <c r="P11">
        <v>64</v>
      </c>
      <c r="Q11">
        <v>907</v>
      </c>
      <c r="R11">
        <v>75</v>
      </c>
      <c r="S11">
        <v>75</v>
      </c>
      <c r="T11">
        <v>0</v>
      </c>
      <c r="U11">
        <v>111</v>
      </c>
      <c r="V11">
        <v>126</v>
      </c>
      <c r="W11">
        <v>131</v>
      </c>
      <c r="X11">
        <v>61</v>
      </c>
      <c r="Y11">
        <v>0.29399999999999998</v>
      </c>
      <c r="Z11">
        <v>0.36199999999999999</v>
      </c>
      <c r="AA11">
        <v>0.45500000000000002</v>
      </c>
    </row>
    <row r="12" spans="1:27" x14ac:dyDescent="0.2">
      <c r="A12" s="52">
        <v>2000</v>
      </c>
      <c r="B12" t="s">
        <v>59</v>
      </c>
      <c r="C12" t="s">
        <v>163</v>
      </c>
      <c r="D12">
        <v>162</v>
      </c>
      <c r="E12">
        <v>5644</v>
      </c>
      <c r="F12" s="1">
        <v>823</v>
      </c>
      <c r="G12">
        <v>1553</v>
      </c>
      <c r="H12">
        <f t="shared" si="1"/>
        <v>1028</v>
      </c>
      <c r="I12">
        <v>307</v>
      </c>
      <c r="J12">
        <v>41</v>
      </c>
      <c r="K12">
        <v>177</v>
      </c>
      <c r="L12">
        <v>562</v>
      </c>
      <c r="M12">
        <v>43</v>
      </c>
      <c r="N12">
        <f t="shared" si="0"/>
        <v>3486</v>
      </c>
      <c r="O12">
        <v>785</v>
      </c>
      <c r="P12">
        <v>22</v>
      </c>
      <c r="Q12">
        <v>982</v>
      </c>
      <c r="R12">
        <v>42</v>
      </c>
      <c r="S12">
        <v>49</v>
      </c>
      <c r="T12">
        <v>3</v>
      </c>
      <c r="U12">
        <v>74</v>
      </c>
      <c r="V12">
        <v>142</v>
      </c>
      <c r="W12">
        <v>83</v>
      </c>
      <c r="X12">
        <v>38</v>
      </c>
      <c r="Y12">
        <v>0.27500000000000002</v>
      </c>
      <c r="Z12">
        <v>0.34300000000000003</v>
      </c>
      <c r="AA12">
        <v>0.438</v>
      </c>
    </row>
    <row r="13" spans="1:27" x14ac:dyDescent="0.2">
      <c r="A13" s="52">
        <v>2000</v>
      </c>
      <c r="B13" t="s">
        <v>160</v>
      </c>
      <c r="C13" t="s">
        <v>38</v>
      </c>
      <c r="D13">
        <v>161</v>
      </c>
      <c r="E13">
        <v>5509</v>
      </c>
      <c r="F13" s="1">
        <v>731</v>
      </c>
      <c r="G13">
        <v>1441</v>
      </c>
      <c r="H13">
        <f t="shared" si="1"/>
        <v>978</v>
      </c>
      <c r="I13">
        <v>274</v>
      </c>
      <c r="J13">
        <v>29</v>
      </c>
      <c r="K13">
        <v>160</v>
      </c>
      <c r="L13">
        <v>540</v>
      </c>
      <c r="M13">
        <v>60</v>
      </c>
      <c r="N13">
        <f t="shared" si="0"/>
        <v>3468</v>
      </c>
      <c r="O13">
        <v>691</v>
      </c>
      <c r="P13">
        <v>39</v>
      </c>
      <c r="Q13">
        <v>1184</v>
      </c>
      <c r="R13">
        <v>42</v>
      </c>
      <c r="S13">
        <v>51</v>
      </c>
      <c r="T13">
        <v>1</v>
      </c>
      <c r="U13">
        <v>78</v>
      </c>
      <c r="V13">
        <v>100</v>
      </c>
      <c r="W13">
        <v>168</v>
      </c>
      <c r="X13">
        <v>55</v>
      </c>
      <c r="Y13">
        <v>0.26200000000000001</v>
      </c>
      <c r="Z13">
        <v>0.33100000000000002</v>
      </c>
      <c r="AA13">
        <v>0.40899999999999997</v>
      </c>
    </row>
    <row r="14" spans="1:27" x14ac:dyDescent="0.2">
      <c r="A14" s="52">
        <v>2000</v>
      </c>
      <c r="B14" t="s">
        <v>63</v>
      </c>
      <c r="C14" t="s">
        <v>38</v>
      </c>
      <c r="D14">
        <v>162</v>
      </c>
      <c r="E14">
        <v>5570</v>
      </c>
      <c r="F14" s="1">
        <v>938</v>
      </c>
      <c r="G14">
        <v>1547</v>
      </c>
      <c r="H14">
        <f t="shared" si="1"/>
        <v>973</v>
      </c>
      <c r="I14">
        <v>289</v>
      </c>
      <c r="J14">
        <v>36</v>
      </c>
      <c r="K14">
        <v>249</v>
      </c>
      <c r="L14">
        <v>673</v>
      </c>
      <c r="M14">
        <v>83</v>
      </c>
      <c r="N14">
        <f t="shared" si="0"/>
        <v>3267</v>
      </c>
      <c r="O14">
        <v>900</v>
      </c>
      <c r="P14">
        <v>57</v>
      </c>
      <c r="Q14">
        <v>1129</v>
      </c>
      <c r="R14">
        <v>57</v>
      </c>
      <c r="S14">
        <v>61</v>
      </c>
      <c r="T14">
        <v>0</v>
      </c>
      <c r="U14">
        <v>73</v>
      </c>
      <c r="V14">
        <v>154</v>
      </c>
      <c r="W14">
        <v>114</v>
      </c>
      <c r="X14">
        <v>52</v>
      </c>
      <c r="Y14">
        <v>0.27800000000000002</v>
      </c>
      <c r="Z14">
        <v>0.36099999999999999</v>
      </c>
      <c r="AA14">
        <v>0.47699999999999998</v>
      </c>
    </row>
    <row r="15" spans="1:27" x14ac:dyDescent="0.2">
      <c r="A15" s="52">
        <v>2000</v>
      </c>
      <c r="B15" t="s">
        <v>164</v>
      </c>
      <c r="C15" t="s">
        <v>163</v>
      </c>
      <c r="D15">
        <v>162</v>
      </c>
      <c r="E15">
        <v>5709</v>
      </c>
      <c r="F15" s="1">
        <v>879</v>
      </c>
      <c r="G15">
        <v>1644</v>
      </c>
      <c r="H15">
        <f t="shared" si="1"/>
        <v>1186</v>
      </c>
      <c r="I15">
        <v>281</v>
      </c>
      <c r="J15">
        <v>27</v>
      </c>
      <c r="K15">
        <v>150</v>
      </c>
      <c r="L15">
        <v>511</v>
      </c>
      <c r="M15">
        <v>48</v>
      </c>
      <c r="N15">
        <f t="shared" si="0"/>
        <v>3506</v>
      </c>
      <c r="O15">
        <v>831</v>
      </c>
      <c r="P15">
        <v>28</v>
      </c>
      <c r="Q15">
        <v>840</v>
      </c>
      <c r="R15">
        <v>56</v>
      </c>
      <c r="S15">
        <v>70</v>
      </c>
      <c r="T15">
        <v>0</v>
      </c>
      <c r="U15">
        <v>95</v>
      </c>
      <c r="V15">
        <v>139</v>
      </c>
      <c r="W15">
        <v>121</v>
      </c>
      <c r="X15">
        <v>35</v>
      </c>
      <c r="Y15">
        <v>0.28799999999999998</v>
      </c>
      <c r="Z15">
        <v>0.34799999999999998</v>
      </c>
      <c r="AA15">
        <v>0.42499999999999999</v>
      </c>
    </row>
    <row r="16" spans="1:27" x14ac:dyDescent="0.2">
      <c r="A16" s="52">
        <v>2000</v>
      </c>
      <c r="B16" t="s">
        <v>159</v>
      </c>
      <c r="C16" t="s">
        <v>38</v>
      </c>
      <c r="D16">
        <v>162</v>
      </c>
      <c r="E16">
        <v>5481</v>
      </c>
      <c r="F16" s="1">
        <v>798</v>
      </c>
      <c r="G16">
        <v>1408</v>
      </c>
      <c r="H16">
        <f t="shared" si="1"/>
        <v>904</v>
      </c>
      <c r="I16">
        <v>265</v>
      </c>
      <c r="J16">
        <v>28</v>
      </c>
      <c r="K16">
        <v>211</v>
      </c>
      <c r="L16">
        <v>668</v>
      </c>
      <c r="M16">
        <v>51</v>
      </c>
      <c r="N16">
        <f t="shared" si="0"/>
        <v>3354</v>
      </c>
      <c r="O16">
        <v>756</v>
      </c>
      <c r="P16">
        <v>42</v>
      </c>
      <c r="Q16">
        <v>1083</v>
      </c>
      <c r="R16">
        <v>66</v>
      </c>
      <c r="S16">
        <v>46</v>
      </c>
      <c r="T16">
        <v>0</v>
      </c>
      <c r="U16">
        <v>80</v>
      </c>
      <c r="V16">
        <v>129</v>
      </c>
      <c r="W16">
        <v>95</v>
      </c>
      <c r="X16">
        <v>42</v>
      </c>
      <c r="Y16">
        <v>0.25700000000000001</v>
      </c>
      <c r="Z16">
        <v>0.34100000000000003</v>
      </c>
      <c r="AA16">
        <v>0.43099999999999999</v>
      </c>
    </row>
    <row r="17" spans="1:27" x14ac:dyDescent="0.2">
      <c r="A17" s="52">
        <v>2000</v>
      </c>
      <c r="B17" t="s">
        <v>69</v>
      </c>
      <c r="C17" t="s">
        <v>38</v>
      </c>
      <c r="D17">
        <v>163</v>
      </c>
      <c r="E17">
        <v>5563</v>
      </c>
      <c r="F17" s="1">
        <v>740</v>
      </c>
      <c r="G17">
        <v>1366</v>
      </c>
      <c r="H17">
        <f t="shared" si="1"/>
        <v>867</v>
      </c>
      <c r="I17">
        <v>297</v>
      </c>
      <c r="J17">
        <v>25</v>
      </c>
      <c r="K17">
        <v>177</v>
      </c>
      <c r="L17">
        <v>620</v>
      </c>
      <c r="M17">
        <v>61</v>
      </c>
      <c r="N17">
        <f t="shared" si="0"/>
        <v>3516</v>
      </c>
      <c r="O17">
        <v>708</v>
      </c>
      <c r="P17">
        <v>47</v>
      </c>
      <c r="Q17">
        <v>1245</v>
      </c>
      <c r="R17">
        <v>61</v>
      </c>
      <c r="S17">
        <v>49</v>
      </c>
      <c r="T17">
        <v>1</v>
      </c>
      <c r="U17">
        <v>91</v>
      </c>
      <c r="V17">
        <v>126</v>
      </c>
      <c r="W17">
        <v>72</v>
      </c>
      <c r="X17">
        <v>44</v>
      </c>
      <c r="Y17">
        <v>0.246</v>
      </c>
      <c r="Z17">
        <v>0.32500000000000001</v>
      </c>
      <c r="AA17">
        <v>0.40300000000000002</v>
      </c>
    </row>
    <row r="18" spans="1:27" x14ac:dyDescent="0.2">
      <c r="A18" s="52">
        <v>2000</v>
      </c>
      <c r="B18" t="s">
        <v>71</v>
      </c>
      <c r="C18" t="s">
        <v>163</v>
      </c>
      <c r="D18">
        <v>162</v>
      </c>
      <c r="E18">
        <v>5615</v>
      </c>
      <c r="F18" s="1">
        <v>748</v>
      </c>
      <c r="G18">
        <v>1516</v>
      </c>
      <c r="H18">
        <f t="shared" si="1"/>
        <v>1026</v>
      </c>
      <c r="I18">
        <v>325</v>
      </c>
      <c r="J18">
        <v>49</v>
      </c>
      <c r="K18">
        <v>116</v>
      </c>
      <c r="L18">
        <v>556</v>
      </c>
      <c r="M18">
        <v>35</v>
      </c>
      <c r="N18">
        <f t="shared" si="0"/>
        <v>3508</v>
      </c>
      <c r="O18">
        <v>711</v>
      </c>
      <c r="P18">
        <v>31</v>
      </c>
      <c r="Q18">
        <v>1021</v>
      </c>
      <c r="R18">
        <v>24</v>
      </c>
      <c r="S18">
        <v>51</v>
      </c>
      <c r="T18">
        <v>2</v>
      </c>
      <c r="U18">
        <v>87</v>
      </c>
      <c r="V18">
        <v>143</v>
      </c>
      <c r="W18">
        <v>90</v>
      </c>
      <c r="X18">
        <v>45</v>
      </c>
      <c r="Y18">
        <v>0.27</v>
      </c>
      <c r="Z18">
        <v>0.33700000000000002</v>
      </c>
      <c r="AA18">
        <v>0.40699999999999997</v>
      </c>
    </row>
    <row r="19" spans="1:27" x14ac:dyDescent="0.2">
      <c r="A19" s="52">
        <v>2000</v>
      </c>
      <c r="B19" t="s">
        <v>73</v>
      </c>
      <c r="C19" t="s">
        <v>38</v>
      </c>
      <c r="D19">
        <v>162</v>
      </c>
      <c r="E19">
        <v>5535</v>
      </c>
      <c r="F19" s="1">
        <v>738</v>
      </c>
      <c r="G19">
        <v>1475</v>
      </c>
      <c r="H19">
        <f t="shared" si="1"/>
        <v>952</v>
      </c>
      <c r="I19">
        <v>310</v>
      </c>
      <c r="J19">
        <v>35</v>
      </c>
      <c r="K19">
        <v>178</v>
      </c>
      <c r="L19">
        <v>476</v>
      </c>
      <c r="M19">
        <v>29</v>
      </c>
      <c r="N19">
        <f t="shared" si="0"/>
        <v>3555</v>
      </c>
      <c r="O19">
        <v>705</v>
      </c>
      <c r="P19">
        <v>53</v>
      </c>
      <c r="Q19">
        <v>1048</v>
      </c>
      <c r="R19">
        <v>78</v>
      </c>
      <c r="S19">
        <v>34</v>
      </c>
      <c r="T19">
        <v>1</v>
      </c>
      <c r="U19">
        <v>70</v>
      </c>
      <c r="V19">
        <v>111</v>
      </c>
      <c r="W19">
        <v>58</v>
      </c>
      <c r="X19">
        <v>48</v>
      </c>
      <c r="Y19">
        <v>0.26600000000000001</v>
      </c>
      <c r="Z19">
        <v>0.32600000000000001</v>
      </c>
      <c r="AA19">
        <v>0.432</v>
      </c>
    </row>
    <row r="20" spans="1:27" x14ac:dyDescent="0.2">
      <c r="A20" s="52">
        <v>2000</v>
      </c>
      <c r="B20" t="s">
        <v>158</v>
      </c>
      <c r="C20" t="s">
        <v>38</v>
      </c>
      <c r="D20">
        <v>162</v>
      </c>
      <c r="E20">
        <v>5486</v>
      </c>
      <c r="F20" s="1">
        <v>807</v>
      </c>
      <c r="G20">
        <v>1445</v>
      </c>
      <c r="H20">
        <f t="shared" si="1"/>
        <v>946</v>
      </c>
      <c r="I20">
        <v>281</v>
      </c>
      <c r="J20">
        <v>20</v>
      </c>
      <c r="K20">
        <v>198</v>
      </c>
      <c r="L20">
        <v>675</v>
      </c>
      <c r="M20">
        <v>45</v>
      </c>
      <c r="N20">
        <f t="shared" si="0"/>
        <v>3321</v>
      </c>
      <c r="O20">
        <v>761</v>
      </c>
      <c r="P20">
        <v>42</v>
      </c>
      <c r="Q20">
        <v>1037</v>
      </c>
      <c r="R20">
        <v>70</v>
      </c>
      <c r="S20">
        <v>51</v>
      </c>
      <c r="T20">
        <v>1</v>
      </c>
      <c r="U20">
        <v>82</v>
      </c>
      <c r="V20">
        <v>122</v>
      </c>
      <c r="W20">
        <v>66</v>
      </c>
      <c r="X20">
        <v>46</v>
      </c>
      <c r="Y20">
        <v>0.26300000000000001</v>
      </c>
      <c r="Z20">
        <v>0.34599999999999997</v>
      </c>
      <c r="AA20">
        <v>0.43</v>
      </c>
    </row>
    <row r="21" spans="1:27" x14ac:dyDescent="0.2">
      <c r="A21" s="52">
        <v>2000</v>
      </c>
      <c r="B21" t="s">
        <v>158</v>
      </c>
      <c r="C21" t="s">
        <v>163</v>
      </c>
      <c r="D21">
        <v>161</v>
      </c>
      <c r="E21">
        <v>5556</v>
      </c>
      <c r="F21" s="1">
        <v>871</v>
      </c>
      <c r="G21">
        <v>1541</v>
      </c>
      <c r="H21">
        <f t="shared" si="1"/>
        <v>1017</v>
      </c>
      <c r="I21">
        <v>294</v>
      </c>
      <c r="J21">
        <v>25</v>
      </c>
      <c r="K21">
        <v>205</v>
      </c>
      <c r="L21">
        <v>631</v>
      </c>
      <c r="M21">
        <v>57</v>
      </c>
      <c r="N21">
        <f t="shared" si="0"/>
        <v>3327</v>
      </c>
      <c r="O21">
        <v>833</v>
      </c>
      <c r="P21">
        <v>42</v>
      </c>
      <c r="Q21">
        <v>1007</v>
      </c>
      <c r="R21">
        <v>16</v>
      </c>
      <c r="S21">
        <v>50</v>
      </c>
      <c r="T21">
        <v>1</v>
      </c>
      <c r="U21">
        <v>64</v>
      </c>
      <c r="V21">
        <v>134</v>
      </c>
      <c r="W21">
        <v>99</v>
      </c>
      <c r="X21">
        <v>48</v>
      </c>
      <c r="Y21">
        <v>0.27700000000000002</v>
      </c>
      <c r="Z21">
        <v>0.35399999999999998</v>
      </c>
      <c r="AA21">
        <v>0.45</v>
      </c>
    </row>
    <row r="22" spans="1:27" x14ac:dyDescent="0.2">
      <c r="A22" s="52">
        <v>2000</v>
      </c>
      <c r="B22" t="s">
        <v>79</v>
      </c>
      <c r="C22" t="s">
        <v>163</v>
      </c>
      <c r="D22">
        <v>161</v>
      </c>
      <c r="E22">
        <v>5560</v>
      </c>
      <c r="F22" s="1">
        <v>947</v>
      </c>
      <c r="G22">
        <v>1501</v>
      </c>
      <c r="H22">
        <f t="shared" si="1"/>
        <v>958</v>
      </c>
      <c r="I22">
        <v>281</v>
      </c>
      <c r="J22">
        <v>23</v>
      </c>
      <c r="K22">
        <v>239</v>
      </c>
      <c r="L22">
        <v>750</v>
      </c>
      <c r="M22">
        <v>52</v>
      </c>
      <c r="N22">
        <f t="shared" si="0"/>
        <v>3257</v>
      </c>
      <c r="O22">
        <v>908</v>
      </c>
      <c r="P22">
        <v>32</v>
      </c>
      <c r="Q22">
        <v>1159</v>
      </c>
      <c r="R22">
        <v>26</v>
      </c>
      <c r="S22">
        <v>44</v>
      </c>
      <c r="T22">
        <v>0</v>
      </c>
      <c r="U22">
        <v>71</v>
      </c>
      <c r="V22">
        <v>147</v>
      </c>
      <c r="W22">
        <v>40</v>
      </c>
      <c r="X22">
        <v>15</v>
      </c>
      <c r="Y22">
        <v>0.27</v>
      </c>
      <c r="Z22">
        <v>0.36</v>
      </c>
      <c r="AA22">
        <v>0.45800000000000002</v>
      </c>
    </row>
    <row r="23" spans="1:27" x14ac:dyDescent="0.2">
      <c r="A23" s="52">
        <v>2000</v>
      </c>
      <c r="B23" t="s">
        <v>81</v>
      </c>
      <c r="C23" t="s">
        <v>38</v>
      </c>
      <c r="D23">
        <v>162</v>
      </c>
      <c r="E23">
        <v>5511</v>
      </c>
      <c r="F23" s="1">
        <v>708</v>
      </c>
      <c r="G23">
        <v>1386</v>
      </c>
      <c r="H23">
        <f t="shared" si="1"/>
        <v>898</v>
      </c>
      <c r="I23">
        <v>304</v>
      </c>
      <c r="J23">
        <v>40</v>
      </c>
      <c r="K23">
        <v>144</v>
      </c>
      <c r="L23">
        <v>611</v>
      </c>
      <c r="M23">
        <v>44</v>
      </c>
      <c r="N23">
        <f t="shared" si="0"/>
        <v>3470</v>
      </c>
      <c r="O23">
        <v>668</v>
      </c>
      <c r="P23">
        <v>40</v>
      </c>
      <c r="Q23">
        <v>1117</v>
      </c>
      <c r="R23">
        <v>70</v>
      </c>
      <c r="S23">
        <v>37</v>
      </c>
      <c r="T23">
        <v>0</v>
      </c>
      <c r="U23">
        <v>74</v>
      </c>
      <c r="V23">
        <v>115</v>
      </c>
      <c r="W23">
        <v>102</v>
      </c>
      <c r="X23">
        <v>30</v>
      </c>
      <c r="Y23">
        <v>0.251</v>
      </c>
      <c r="Z23">
        <v>0.32900000000000001</v>
      </c>
      <c r="AA23">
        <v>0.4</v>
      </c>
    </row>
    <row r="24" spans="1:27" x14ac:dyDescent="0.2">
      <c r="A24" s="52">
        <v>2000</v>
      </c>
      <c r="B24" t="s">
        <v>83</v>
      </c>
      <c r="C24" t="s">
        <v>38</v>
      </c>
      <c r="D24">
        <v>162</v>
      </c>
      <c r="E24">
        <v>5643</v>
      </c>
      <c r="F24" s="1">
        <v>793</v>
      </c>
      <c r="G24">
        <v>1506</v>
      </c>
      <c r="H24">
        <f t="shared" si="1"/>
        <v>987</v>
      </c>
      <c r="I24">
        <v>320</v>
      </c>
      <c r="J24">
        <v>31</v>
      </c>
      <c r="K24">
        <v>168</v>
      </c>
      <c r="L24">
        <v>564</v>
      </c>
      <c r="M24">
        <v>66</v>
      </c>
      <c r="N24">
        <f t="shared" si="0"/>
        <v>3507</v>
      </c>
      <c r="O24">
        <v>749</v>
      </c>
      <c r="P24">
        <v>41</v>
      </c>
      <c r="Q24">
        <v>1032</v>
      </c>
      <c r="R24">
        <v>59</v>
      </c>
      <c r="S24">
        <v>37</v>
      </c>
      <c r="T24">
        <v>0</v>
      </c>
      <c r="U24">
        <v>83</v>
      </c>
      <c r="V24">
        <v>133</v>
      </c>
      <c r="W24">
        <v>86</v>
      </c>
      <c r="X24">
        <v>40</v>
      </c>
      <c r="Y24">
        <v>0.26700000000000002</v>
      </c>
      <c r="Z24">
        <v>0.33900000000000002</v>
      </c>
      <c r="AA24">
        <v>0.42399999999999999</v>
      </c>
    </row>
    <row r="25" spans="1:27" x14ac:dyDescent="0.2">
      <c r="A25" s="52">
        <v>2000</v>
      </c>
      <c r="B25" t="s">
        <v>161</v>
      </c>
      <c r="C25" t="s">
        <v>38</v>
      </c>
      <c r="D25">
        <v>162</v>
      </c>
      <c r="E25">
        <v>5560</v>
      </c>
      <c r="F25" s="1">
        <v>752</v>
      </c>
      <c r="G25">
        <v>1413</v>
      </c>
      <c r="H25">
        <f t="shared" si="1"/>
        <v>940</v>
      </c>
      <c r="I25">
        <v>279</v>
      </c>
      <c r="J25">
        <v>37</v>
      </c>
      <c r="K25">
        <v>157</v>
      </c>
      <c r="L25">
        <v>602</v>
      </c>
      <c r="M25">
        <v>46</v>
      </c>
      <c r="N25">
        <f t="shared" si="0"/>
        <v>3499</v>
      </c>
      <c r="O25">
        <v>714</v>
      </c>
      <c r="P25">
        <v>50</v>
      </c>
      <c r="Q25">
        <v>1177</v>
      </c>
      <c r="R25">
        <v>39</v>
      </c>
      <c r="S25">
        <v>43</v>
      </c>
      <c r="T25">
        <v>1</v>
      </c>
      <c r="U25">
        <v>72</v>
      </c>
      <c r="V25">
        <v>123</v>
      </c>
      <c r="W25">
        <v>131</v>
      </c>
      <c r="X25">
        <v>53</v>
      </c>
      <c r="Y25">
        <v>0.254</v>
      </c>
      <c r="Z25">
        <v>0.33</v>
      </c>
      <c r="AA25">
        <v>0.40200000000000002</v>
      </c>
    </row>
    <row r="26" spans="1:27" x14ac:dyDescent="0.2">
      <c r="A26" s="52">
        <v>2000</v>
      </c>
      <c r="B26" t="s">
        <v>87</v>
      </c>
      <c r="C26" t="s">
        <v>163</v>
      </c>
      <c r="D26">
        <v>162</v>
      </c>
      <c r="E26">
        <v>5497</v>
      </c>
      <c r="F26" s="1">
        <v>907</v>
      </c>
      <c r="G26">
        <v>1481</v>
      </c>
      <c r="H26">
        <f t="shared" si="1"/>
        <v>957</v>
      </c>
      <c r="I26">
        <v>300</v>
      </c>
      <c r="J26">
        <v>26</v>
      </c>
      <c r="K26">
        <v>198</v>
      </c>
      <c r="L26">
        <v>775</v>
      </c>
      <c r="M26">
        <v>48</v>
      </c>
      <c r="N26">
        <f t="shared" si="0"/>
        <v>3193</v>
      </c>
      <c r="O26">
        <v>869</v>
      </c>
      <c r="P26">
        <v>34</v>
      </c>
      <c r="Q26">
        <v>1073</v>
      </c>
      <c r="R26">
        <v>63</v>
      </c>
      <c r="S26">
        <v>61</v>
      </c>
      <c r="T26">
        <v>0</v>
      </c>
      <c r="U26">
        <v>77</v>
      </c>
      <c r="V26">
        <v>129</v>
      </c>
      <c r="W26">
        <v>122</v>
      </c>
      <c r="X26">
        <v>56</v>
      </c>
      <c r="Y26">
        <v>0.26900000000000002</v>
      </c>
      <c r="Z26">
        <v>0.36099999999999999</v>
      </c>
      <c r="AA26">
        <v>0.442</v>
      </c>
    </row>
    <row r="27" spans="1:27" x14ac:dyDescent="0.2">
      <c r="A27" s="52">
        <v>2000</v>
      </c>
      <c r="B27" t="s">
        <v>21</v>
      </c>
      <c r="C27" t="s">
        <v>38</v>
      </c>
      <c r="D27">
        <v>162</v>
      </c>
      <c r="E27">
        <v>5519</v>
      </c>
      <c r="F27" s="1">
        <v>925</v>
      </c>
      <c r="G27">
        <v>1535</v>
      </c>
      <c r="H27">
        <f t="shared" si="1"/>
        <v>961</v>
      </c>
      <c r="I27">
        <v>304</v>
      </c>
      <c r="J27">
        <v>44</v>
      </c>
      <c r="K27">
        <v>226</v>
      </c>
      <c r="L27">
        <v>709</v>
      </c>
      <c r="M27">
        <v>51</v>
      </c>
      <c r="N27">
        <f t="shared" si="0"/>
        <v>3224</v>
      </c>
      <c r="O27">
        <v>889</v>
      </c>
      <c r="P27">
        <v>60</v>
      </c>
      <c r="Q27">
        <v>1032</v>
      </c>
      <c r="R27">
        <v>73</v>
      </c>
      <c r="S27">
        <v>66</v>
      </c>
      <c r="T27">
        <v>0</v>
      </c>
      <c r="U27">
        <v>68</v>
      </c>
      <c r="V27">
        <v>131</v>
      </c>
      <c r="W27">
        <v>79</v>
      </c>
      <c r="X27">
        <v>39</v>
      </c>
      <c r="Y27">
        <v>0.27800000000000002</v>
      </c>
      <c r="Z27">
        <v>0.36199999999999999</v>
      </c>
      <c r="AA27">
        <v>0.47199999999999998</v>
      </c>
    </row>
    <row r="28" spans="1:27" x14ac:dyDescent="0.2">
      <c r="A28" s="52">
        <v>2000</v>
      </c>
      <c r="B28" t="s">
        <v>156</v>
      </c>
      <c r="C28" t="s">
        <v>38</v>
      </c>
      <c r="D28">
        <v>162</v>
      </c>
      <c r="E28">
        <v>5478</v>
      </c>
      <c r="F28" s="1">
        <v>887</v>
      </c>
      <c r="G28">
        <v>1481</v>
      </c>
      <c r="H28">
        <f t="shared" si="1"/>
        <v>962</v>
      </c>
      <c r="I28">
        <v>259</v>
      </c>
      <c r="J28">
        <v>25</v>
      </c>
      <c r="K28">
        <v>235</v>
      </c>
      <c r="L28">
        <v>675</v>
      </c>
      <c r="M28">
        <v>84</v>
      </c>
      <c r="N28">
        <f t="shared" si="0"/>
        <v>3238</v>
      </c>
      <c r="O28">
        <v>841</v>
      </c>
      <c r="P28">
        <v>33</v>
      </c>
      <c r="Q28">
        <v>1253</v>
      </c>
      <c r="R28">
        <v>79</v>
      </c>
      <c r="S28">
        <v>53</v>
      </c>
      <c r="T28">
        <v>0</v>
      </c>
      <c r="U28">
        <v>87</v>
      </c>
      <c r="V28">
        <v>116</v>
      </c>
      <c r="W28">
        <v>87</v>
      </c>
      <c r="X28">
        <v>51</v>
      </c>
      <c r="Y28">
        <v>0.27</v>
      </c>
      <c r="Z28">
        <v>0.35599999999999998</v>
      </c>
      <c r="AA28">
        <v>0.45500000000000002</v>
      </c>
    </row>
    <row r="29" spans="1:27" x14ac:dyDescent="0.2">
      <c r="A29" s="52">
        <v>2000</v>
      </c>
      <c r="B29" t="s">
        <v>165</v>
      </c>
      <c r="C29" t="s">
        <v>163</v>
      </c>
      <c r="D29">
        <v>161</v>
      </c>
      <c r="E29">
        <v>5505</v>
      </c>
      <c r="F29" s="1">
        <v>733</v>
      </c>
      <c r="G29">
        <v>1414</v>
      </c>
      <c r="H29">
        <f t="shared" si="1"/>
        <v>977</v>
      </c>
      <c r="I29">
        <v>253</v>
      </c>
      <c r="J29">
        <v>22</v>
      </c>
      <c r="K29">
        <v>162</v>
      </c>
      <c r="L29">
        <v>558</v>
      </c>
      <c r="M29">
        <v>51</v>
      </c>
      <c r="N29">
        <f t="shared" si="0"/>
        <v>3482</v>
      </c>
      <c r="O29">
        <v>692</v>
      </c>
      <c r="P29">
        <v>25</v>
      </c>
      <c r="Q29">
        <v>1022</v>
      </c>
      <c r="R29">
        <v>52</v>
      </c>
      <c r="S29">
        <v>40</v>
      </c>
      <c r="T29">
        <v>0</v>
      </c>
      <c r="U29">
        <v>71</v>
      </c>
      <c r="V29">
        <v>126</v>
      </c>
      <c r="W29">
        <v>90</v>
      </c>
      <c r="X29">
        <v>46</v>
      </c>
      <c r="Y29">
        <v>0.25700000000000001</v>
      </c>
      <c r="Z29">
        <v>0.32900000000000001</v>
      </c>
      <c r="AA29">
        <v>0.39900000000000002</v>
      </c>
    </row>
    <row r="30" spans="1:27" x14ac:dyDescent="0.2">
      <c r="A30" s="52">
        <v>2000</v>
      </c>
      <c r="B30" t="s">
        <v>95</v>
      </c>
      <c r="C30" t="s">
        <v>163</v>
      </c>
      <c r="D30">
        <v>162</v>
      </c>
      <c r="E30">
        <v>5648</v>
      </c>
      <c r="F30" s="1">
        <v>848</v>
      </c>
      <c r="G30">
        <v>1601</v>
      </c>
      <c r="H30">
        <f t="shared" si="1"/>
        <v>1063</v>
      </c>
      <c r="I30">
        <v>330</v>
      </c>
      <c r="J30">
        <v>35</v>
      </c>
      <c r="K30">
        <v>173</v>
      </c>
      <c r="L30">
        <v>580</v>
      </c>
      <c r="M30">
        <v>39</v>
      </c>
      <c r="N30">
        <f t="shared" si="0"/>
        <v>3428</v>
      </c>
      <c r="O30">
        <v>806</v>
      </c>
      <c r="P30">
        <v>39</v>
      </c>
      <c r="Q30">
        <v>922</v>
      </c>
      <c r="R30">
        <v>48</v>
      </c>
      <c r="S30">
        <v>48</v>
      </c>
      <c r="T30">
        <v>1</v>
      </c>
      <c r="U30">
        <v>80</v>
      </c>
      <c r="V30">
        <v>161</v>
      </c>
      <c r="W30">
        <v>69</v>
      </c>
      <c r="X30">
        <v>47</v>
      </c>
      <c r="Y30">
        <v>0.28299999999999997</v>
      </c>
      <c r="Z30">
        <v>0.35199999999999998</v>
      </c>
      <c r="AA30">
        <v>0.44600000000000001</v>
      </c>
    </row>
    <row r="31" spans="1:27" x14ac:dyDescent="0.2">
      <c r="A31" s="52">
        <v>2000</v>
      </c>
      <c r="B31" t="s">
        <v>97</v>
      </c>
      <c r="C31" t="s">
        <v>163</v>
      </c>
      <c r="D31">
        <v>162</v>
      </c>
      <c r="E31">
        <v>5677</v>
      </c>
      <c r="F31" s="1">
        <v>861</v>
      </c>
      <c r="G31">
        <v>1562</v>
      </c>
      <c r="H31">
        <f t="shared" si="1"/>
        <v>969</v>
      </c>
      <c r="I31">
        <v>328</v>
      </c>
      <c r="J31">
        <v>21</v>
      </c>
      <c r="K31">
        <v>244</v>
      </c>
      <c r="L31">
        <v>526</v>
      </c>
      <c r="M31">
        <v>60</v>
      </c>
      <c r="N31">
        <f t="shared" si="0"/>
        <v>3529</v>
      </c>
      <c r="O31">
        <v>826</v>
      </c>
      <c r="P31">
        <v>32</v>
      </c>
      <c r="Q31">
        <v>1026</v>
      </c>
      <c r="R31">
        <v>29</v>
      </c>
      <c r="S31">
        <v>34</v>
      </c>
      <c r="T31">
        <v>0</v>
      </c>
      <c r="U31">
        <v>79</v>
      </c>
      <c r="V31">
        <v>130</v>
      </c>
      <c r="W31">
        <v>89</v>
      </c>
      <c r="X31">
        <v>34</v>
      </c>
      <c r="Y31">
        <v>0.27500000000000002</v>
      </c>
      <c r="Z31">
        <v>0.34100000000000003</v>
      </c>
      <c r="AA31">
        <v>0.46899999999999997</v>
      </c>
    </row>
    <row r="32" spans="1:27" x14ac:dyDescent="0.2">
      <c r="A32" s="52">
        <v>2001</v>
      </c>
      <c r="B32" t="s">
        <v>37</v>
      </c>
      <c r="C32" t="s">
        <v>163</v>
      </c>
      <c r="D32">
        <v>162</v>
      </c>
      <c r="E32">
        <v>5551</v>
      </c>
      <c r="F32" s="1">
        <v>691</v>
      </c>
      <c r="G32">
        <v>1447</v>
      </c>
      <c r="H32">
        <f t="shared" si="1"/>
        <v>988</v>
      </c>
      <c r="I32">
        <v>275</v>
      </c>
      <c r="J32">
        <v>26</v>
      </c>
      <c r="K32">
        <v>158</v>
      </c>
      <c r="L32">
        <v>494</v>
      </c>
      <c r="M32">
        <v>77</v>
      </c>
      <c r="N32">
        <f t="shared" si="0"/>
        <v>3533</v>
      </c>
      <c r="O32">
        <v>662</v>
      </c>
      <c r="P32">
        <v>34</v>
      </c>
      <c r="Q32">
        <v>1001</v>
      </c>
      <c r="R32">
        <v>46</v>
      </c>
      <c r="S32">
        <v>53</v>
      </c>
      <c r="T32">
        <v>5</v>
      </c>
      <c r="U32">
        <v>88</v>
      </c>
      <c r="V32">
        <v>109</v>
      </c>
      <c r="W32">
        <v>116</v>
      </c>
      <c r="X32">
        <v>52</v>
      </c>
      <c r="Y32">
        <v>0.26100000000000001</v>
      </c>
      <c r="Z32">
        <v>0.32700000000000001</v>
      </c>
      <c r="AA32">
        <v>0.40500000000000003</v>
      </c>
    </row>
    <row r="33" spans="1:27" x14ac:dyDescent="0.2">
      <c r="A33" s="52">
        <v>2001</v>
      </c>
      <c r="B33" t="s">
        <v>40</v>
      </c>
      <c r="C33" t="s">
        <v>38</v>
      </c>
      <c r="D33">
        <v>162</v>
      </c>
      <c r="E33">
        <v>5595</v>
      </c>
      <c r="F33" s="1">
        <v>818</v>
      </c>
      <c r="G33">
        <v>1494</v>
      </c>
      <c r="H33">
        <f t="shared" si="1"/>
        <v>967</v>
      </c>
      <c r="I33">
        <v>284</v>
      </c>
      <c r="J33">
        <v>35</v>
      </c>
      <c r="K33">
        <v>208</v>
      </c>
      <c r="L33">
        <v>587</v>
      </c>
      <c r="M33">
        <v>57</v>
      </c>
      <c r="N33">
        <f t="shared" si="0"/>
        <v>3457</v>
      </c>
      <c r="O33">
        <v>776</v>
      </c>
      <c r="P33">
        <v>73</v>
      </c>
      <c r="Q33">
        <v>1052</v>
      </c>
      <c r="R33">
        <v>71</v>
      </c>
      <c r="S33">
        <v>36</v>
      </c>
      <c r="T33">
        <v>3</v>
      </c>
      <c r="U33">
        <v>60</v>
      </c>
      <c r="V33">
        <v>105</v>
      </c>
      <c r="W33">
        <v>71</v>
      </c>
      <c r="X33">
        <v>38</v>
      </c>
      <c r="Y33">
        <v>0.26700000000000002</v>
      </c>
      <c r="Z33">
        <v>0.34100000000000003</v>
      </c>
      <c r="AA33">
        <v>0.442</v>
      </c>
    </row>
    <row r="34" spans="1:27" x14ac:dyDescent="0.2">
      <c r="A34" s="52">
        <v>2001</v>
      </c>
      <c r="B34" t="s">
        <v>42</v>
      </c>
      <c r="C34" t="s">
        <v>38</v>
      </c>
      <c r="D34">
        <v>162</v>
      </c>
      <c r="E34">
        <v>5498</v>
      </c>
      <c r="F34" s="1">
        <v>729</v>
      </c>
      <c r="G34">
        <v>1432</v>
      </c>
      <c r="H34">
        <f t="shared" si="1"/>
        <v>971</v>
      </c>
      <c r="I34">
        <v>263</v>
      </c>
      <c r="J34">
        <v>24</v>
      </c>
      <c r="K34">
        <v>174</v>
      </c>
      <c r="L34">
        <v>493</v>
      </c>
      <c r="M34">
        <v>45</v>
      </c>
      <c r="N34">
        <f t="shared" si="0"/>
        <v>3528</v>
      </c>
      <c r="O34">
        <v>696</v>
      </c>
      <c r="P34">
        <v>51</v>
      </c>
      <c r="Q34">
        <v>1039</v>
      </c>
      <c r="R34">
        <v>64</v>
      </c>
      <c r="S34">
        <v>52</v>
      </c>
      <c r="T34">
        <v>0</v>
      </c>
      <c r="U34">
        <v>82</v>
      </c>
      <c r="V34">
        <v>132</v>
      </c>
      <c r="W34">
        <v>85</v>
      </c>
      <c r="X34">
        <v>46</v>
      </c>
      <c r="Y34">
        <v>0.26</v>
      </c>
      <c r="Z34">
        <v>0.32400000000000001</v>
      </c>
      <c r="AA34">
        <v>0.41199999999999998</v>
      </c>
    </row>
    <row r="35" spans="1:27" x14ac:dyDescent="0.2">
      <c r="A35" s="52">
        <v>2001</v>
      </c>
      <c r="B35" t="s">
        <v>45</v>
      </c>
      <c r="C35" t="s">
        <v>163</v>
      </c>
      <c r="D35">
        <v>162</v>
      </c>
      <c r="E35">
        <v>5472</v>
      </c>
      <c r="F35" s="1">
        <v>687</v>
      </c>
      <c r="G35">
        <v>1359</v>
      </c>
      <c r="H35">
        <f t="shared" si="1"/>
        <v>937</v>
      </c>
      <c r="I35">
        <v>262</v>
      </c>
      <c r="J35">
        <v>24</v>
      </c>
      <c r="K35">
        <v>136</v>
      </c>
      <c r="L35">
        <v>514</v>
      </c>
      <c r="M35">
        <v>77</v>
      </c>
      <c r="N35">
        <f t="shared" si="0"/>
        <v>3522</v>
      </c>
      <c r="O35">
        <v>663</v>
      </c>
      <c r="P35">
        <v>26</v>
      </c>
      <c r="Q35">
        <v>989</v>
      </c>
      <c r="R35">
        <v>38</v>
      </c>
      <c r="S35">
        <v>49</v>
      </c>
      <c r="T35">
        <v>1</v>
      </c>
      <c r="U35">
        <v>69</v>
      </c>
      <c r="V35">
        <v>121</v>
      </c>
      <c r="W35">
        <v>133</v>
      </c>
      <c r="X35">
        <v>53</v>
      </c>
      <c r="Y35">
        <v>0.248</v>
      </c>
      <c r="Z35">
        <v>0.31900000000000001</v>
      </c>
      <c r="AA35">
        <v>0.38</v>
      </c>
    </row>
    <row r="36" spans="1:27" x14ac:dyDescent="0.2">
      <c r="A36" s="52">
        <v>2001</v>
      </c>
      <c r="B36" t="s">
        <v>47</v>
      </c>
      <c r="C36" t="s">
        <v>163</v>
      </c>
      <c r="D36">
        <v>161</v>
      </c>
      <c r="E36">
        <v>5605</v>
      </c>
      <c r="F36" s="1">
        <v>772</v>
      </c>
      <c r="G36">
        <v>1493</v>
      </c>
      <c r="H36">
        <f t="shared" si="1"/>
        <v>950</v>
      </c>
      <c r="I36">
        <v>316</v>
      </c>
      <c r="J36">
        <v>29</v>
      </c>
      <c r="K36">
        <v>198</v>
      </c>
      <c r="L36">
        <v>520</v>
      </c>
      <c r="M36">
        <v>70</v>
      </c>
      <c r="N36">
        <f t="shared" si="0"/>
        <v>3522</v>
      </c>
      <c r="O36">
        <v>739</v>
      </c>
      <c r="P36">
        <v>50</v>
      </c>
      <c r="Q36">
        <v>1131</v>
      </c>
      <c r="R36">
        <v>28</v>
      </c>
      <c r="S36">
        <v>41</v>
      </c>
      <c r="T36">
        <v>0</v>
      </c>
      <c r="U36">
        <v>72</v>
      </c>
      <c r="V36">
        <v>132</v>
      </c>
      <c r="W36">
        <v>46</v>
      </c>
      <c r="X36">
        <v>35</v>
      </c>
      <c r="Y36">
        <v>0.26600000000000001</v>
      </c>
      <c r="Z36">
        <v>0.33400000000000002</v>
      </c>
      <c r="AA36">
        <v>0.439</v>
      </c>
    </row>
    <row r="37" spans="1:27" x14ac:dyDescent="0.2">
      <c r="A37" s="52">
        <v>2001</v>
      </c>
      <c r="B37" t="s">
        <v>157</v>
      </c>
      <c r="C37" t="s">
        <v>38</v>
      </c>
      <c r="D37">
        <v>162</v>
      </c>
      <c r="E37">
        <v>5406</v>
      </c>
      <c r="F37" s="1">
        <v>777</v>
      </c>
      <c r="G37">
        <v>1409</v>
      </c>
      <c r="H37">
        <f t="shared" si="1"/>
        <v>915</v>
      </c>
      <c r="I37">
        <v>268</v>
      </c>
      <c r="J37">
        <v>32</v>
      </c>
      <c r="K37">
        <v>194</v>
      </c>
      <c r="L37">
        <v>577</v>
      </c>
      <c r="M37">
        <v>66</v>
      </c>
      <c r="N37">
        <f t="shared" si="0"/>
        <v>3354</v>
      </c>
      <c r="O37">
        <v>748</v>
      </c>
      <c r="P37">
        <v>72</v>
      </c>
      <c r="Q37">
        <v>1077</v>
      </c>
      <c r="R37">
        <v>117</v>
      </c>
      <c r="S37">
        <v>53</v>
      </c>
      <c r="T37">
        <v>0</v>
      </c>
      <c r="U37">
        <v>86</v>
      </c>
      <c r="V37">
        <v>132</v>
      </c>
      <c r="W37">
        <v>67</v>
      </c>
      <c r="X37">
        <v>36</v>
      </c>
      <c r="Y37">
        <v>0.26100000000000001</v>
      </c>
      <c r="Z37">
        <v>0.33600000000000002</v>
      </c>
      <c r="AA37">
        <v>0.43</v>
      </c>
    </row>
    <row r="38" spans="1:27" x14ac:dyDescent="0.2">
      <c r="A38" s="52">
        <v>2001</v>
      </c>
      <c r="B38" t="s">
        <v>157</v>
      </c>
      <c r="C38" t="s">
        <v>163</v>
      </c>
      <c r="D38">
        <v>162</v>
      </c>
      <c r="E38">
        <v>5464</v>
      </c>
      <c r="F38" s="1">
        <v>798</v>
      </c>
      <c r="G38">
        <v>1463</v>
      </c>
      <c r="H38">
        <f t="shared" si="1"/>
        <v>920</v>
      </c>
      <c r="I38">
        <v>300</v>
      </c>
      <c r="J38">
        <v>29</v>
      </c>
      <c r="K38">
        <v>214</v>
      </c>
      <c r="L38">
        <v>520</v>
      </c>
      <c r="M38">
        <v>52</v>
      </c>
      <c r="N38">
        <f t="shared" si="0"/>
        <v>3429</v>
      </c>
      <c r="O38">
        <v>770</v>
      </c>
      <c r="P38">
        <v>31</v>
      </c>
      <c r="Q38">
        <v>998</v>
      </c>
      <c r="R38">
        <v>63</v>
      </c>
      <c r="S38">
        <v>51</v>
      </c>
      <c r="T38">
        <v>1</v>
      </c>
      <c r="U38">
        <v>69</v>
      </c>
      <c r="V38">
        <v>128</v>
      </c>
      <c r="W38">
        <v>123</v>
      </c>
      <c r="X38">
        <v>59</v>
      </c>
      <c r="Y38">
        <v>0.26800000000000002</v>
      </c>
      <c r="Z38">
        <v>0.33400000000000002</v>
      </c>
      <c r="AA38">
        <v>0.45100000000000001</v>
      </c>
    </row>
    <row r="39" spans="1:27" x14ac:dyDescent="0.2">
      <c r="A39" s="52">
        <v>2001</v>
      </c>
      <c r="B39" t="s">
        <v>53</v>
      </c>
      <c r="C39" t="s">
        <v>38</v>
      </c>
      <c r="D39">
        <v>162</v>
      </c>
      <c r="E39">
        <v>5583</v>
      </c>
      <c r="F39" s="1">
        <v>735</v>
      </c>
      <c r="G39">
        <v>1464</v>
      </c>
      <c r="H39">
        <f t="shared" si="1"/>
        <v>962</v>
      </c>
      <c r="I39">
        <v>304</v>
      </c>
      <c r="J39">
        <v>22</v>
      </c>
      <c r="K39">
        <v>176</v>
      </c>
      <c r="L39">
        <v>468</v>
      </c>
      <c r="M39">
        <v>65</v>
      </c>
      <c r="N39">
        <f t="shared" si="0"/>
        <v>3586</v>
      </c>
      <c r="O39">
        <v>690</v>
      </c>
      <c r="P39">
        <v>47</v>
      </c>
      <c r="Q39">
        <v>1172</v>
      </c>
      <c r="R39">
        <v>66</v>
      </c>
      <c r="S39">
        <v>40</v>
      </c>
      <c r="T39">
        <v>0</v>
      </c>
      <c r="U39">
        <v>95</v>
      </c>
      <c r="V39">
        <v>130</v>
      </c>
      <c r="W39">
        <v>103</v>
      </c>
      <c r="X39">
        <v>54</v>
      </c>
      <c r="Y39">
        <v>0.26200000000000001</v>
      </c>
      <c r="Z39">
        <v>0.32400000000000001</v>
      </c>
      <c r="AA39">
        <v>0.41899999999999998</v>
      </c>
    </row>
    <row r="40" spans="1:27" x14ac:dyDescent="0.2">
      <c r="A40" s="52">
        <v>2001</v>
      </c>
      <c r="B40" t="s">
        <v>55</v>
      </c>
      <c r="C40" t="s">
        <v>163</v>
      </c>
      <c r="D40">
        <v>162</v>
      </c>
      <c r="E40">
        <v>5600</v>
      </c>
      <c r="F40" s="1">
        <v>897</v>
      </c>
      <c r="G40">
        <v>1559</v>
      </c>
      <c r="H40">
        <f t="shared" si="1"/>
        <v>1016</v>
      </c>
      <c r="I40">
        <v>294</v>
      </c>
      <c r="J40">
        <v>37</v>
      </c>
      <c r="K40">
        <v>212</v>
      </c>
      <c r="L40">
        <v>577</v>
      </c>
      <c r="M40">
        <v>69</v>
      </c>
      <c r="N40">
        <f t="shared" si="0"/>
        <v>3395</v>
      </c>
      <c r="O40">
        <v>868</v>
      </c>
      <c r="P40">
        <v>32</v>
      </c>
      <c r="Q40">
        <v>1076</v>
      </c>
      <c r="R40">
        <v>49</v>
      </c>
      <c r="S40">
        <v>62</v>
      </c>
      <c r="T40">
        <v>0</v>
      </c>
      <c r="U40">
        <v>59</v>
      </c>
      <c r="V40">
        <v>126</v>
      </c>
      <c r="W40">
        <v>79</v>
      </c>
      <c r="X40">
        <v>41</v>
      </c>
      <c r="Y40">
        <v>0.27800000000000002</v>
      </c>
      <c r="Z40">
        <v>0.35</v>
      </c>
      <c r="AA40">
        <v>0.45800000000000002</v>
      </c>
    </row>
    <row r="41" spans="1:27" x14ac:dyDescent="0.2">
      <c r="A41" s="52">
        <v>2001</v>
      </c>
      <c r="B41" t="s">
        <v>57</v>
      </c>
      <c r="C41" t="s">
        <v>38</v>
      </c>
      <c r="D41">
        <v>162</v>
      </c>
      <c r="E41">
        <v>5690</v>
      </c>
      <c r="F41" s="1">
        <v>923</v>
      </c>
      <c r="G41">
        <v>1663</v>
      </c>
      <c r="H41">
        <f t="shared" si="1"/>
        <v>1065</v>
      </c>
      <c r="I41">
        <v>324</v>
      </c>
      <c r="J41">
        <v>61</v>
      </c>
      <c r="K41">
        <v>213</v>
      </c>
      <c r="L41">
        <v>511</v>
      </c>
      <c r="M41">
        <v>61</v>
      </c>
      <c r="N41">
        <f t="shared" si="0"/>
        <v>3455</v>
      </c>
      <c r="O41">
        <v>874</v>
      </c>
      <c r="P41">
        <v>50</v>
      </c>
      <c r="Q41">
        <v>1027</v>
      </c>
      <c r="R41">
        <v>81</v>
      </c>
      <c r="S41">
        <v>50</v>
      </c>
      <c r="T41">
        <v>1</v>
      </c>
      <c r="U41">
        <v>84</v>
      </c>
      <c r="V41">
        <v>116</v>
      </c>
      <c r="W41">
        <v>132</v>
      </c>
      <c r="X41">
        <v>54</v>
      </c>
      <c r="Y41">
        <v>0.29199999999999998</v>
      </c>
      <c r="Z41">
        <v>0.35399999999999998</v>
      </c>
      <c r="AA41">
        <v>0.48299999999999998</v>
      </c>
    </row>
    <row r="42" spans="1:27" x14ac:dyDescent="0.2">
      <c r="A42" s="52">
        <v>2001</v>
      </c>
      <c r="B42" t="s">
        <v>59</v>
      </c>
      <c r="C42" t="s">
        <v>163</v>
      </c>
      <c r="D42">
        <v>162</v>
      </c>
      <c r="E42">
        <v>5537</v>
      </c>
      <c r="F42" s="1">
        <v>724</v>
      </c>
      <c r="G42">
        <v>1439</v>
      </c>
      <c r="H42">
        <f t="shared" si="1"/>
        <v>949</v>
      </c>
      <c r="I42">
        <v>291</v>
      </c>
      <c r="J42">
        <v>60</v>
      </c>
      <c r="K42">
        <v>139</v>
      </c>
      <c r="L42">
        <v>466</v>
      </c>
      <c r="M42">
        <v>51</v>
      </c>
      <c r="N42">
        <f t="shared" si="0"/>
        <v>3581</v>
      </c>
      <c r="O42">
        <v>691</v>
      </c>
      <c r="P42">
        <v>26</v>
      </c>
      <c r="Q42">
        <v>972</v>
      </c>
      <c r="R42">
        <v>41</v>
      </c>
      <c r="S42">
        <v>49</v>
      </c>
      <c r="T42">
        <v>1</v>
      </c>
      <c r="U42">
        <v>89</v>
      </c>
      <c r="V42">
        <v>120</v>
      </c>
      <c r="W42">
        <v>133</v>
      </c>
      <c r="X42">
        <v>61</v>
      </c>
      <c r="Y42">
        <v>0.26</v>
      </c>
      <c r="Z42">
        <v>0.32</v>
      </c>
      <c r="AA42">
        <v>0.40899999999999997</v>
      </c>
    </row>
    <row r="43" spans="1:27" x14ac:dyDescent="0.2">
      <c r="A43" s="52">
        <v>2001</v>
      </c>
      <c r="B43" t="s">
        <v>160</v>
      </c>
      <c r="C43" t="s">
        <v>38</v>
      </c>
      <c r="D43">
        <v>162</v>
      </c>
      <c r="E43">
        <v>5542</v>
      </c>
      <c r="F43" s="1">
        <v>742</v>
      </c>
      <c r="G43">
        <v>1461</v>
      </c>
      <c r="H43">
        <f t="shared" si="1"/>
        <v>940</v>
      </c>
      <c r="I43">
        <v>325</v>
      </c>
      <c r="J43">
        <v>30</v>
      </c>
      <c r="K43">
        <v>166</v>
      </c>
      <c r="L43">
        <v>470</v>
      </c>
      <c r="M43">
        <v>67</v>
      </c>
      <c r="N43">
        <f t="shared" si="0"/>
        <v>3544</v>
      </c>
      <c r="O43">
        <v>713</v>
      </c>
      <c r="P43">
        <v>43</v>
      </c>
      <c r="Q43">
        <v>1145</v>
      </c>
      <c r="R43">
        <v>60</v>
      </c>
      <c r="S43">
        <v>45</v>
      </c>
      <c r="T43">
        <v>0</v>
      </c>
      <c r="U43">
        <v>68</v>
      </c>
      <c r="V43">
        <v>118</v>
      </c>
      <c r="W43">
        <v>89</v>
      </c>
      <c r="X43">
        <v>40</v>
      </c>
      <c r="Y43">
        <v>0.26400000000000001</v>
      </c>
      <c r="Z43">
        <v>0.32600000000000001</v>
      </c>
      <c r="AA43">
        <v>0.42299999999999999</v>
      </c>
    </row>
    <row r="44" spans="1:27" x14ac:dyDescent="0.2">
      <c r="A44" s="52">
        <v>2001</v>
      </c>
      <c r="B44" t="s">
        <v>63</v>
      </c>
      <c r="C44" t="s">
        <v>38</v>
      </c>
      <c r="D44">
        <v>162</v>
      </c>
      <c r="E44">
        <v>5528</v>
      </c>
      <c r="F44" s="1">
        <v>847</v>
      </c>
      <c r="G44">
        <v>1500</v>
      </c>
      <c r="H44">
        <f t="shared" si="1"/>
        <v>950</v>
      </c>
      <c r="I44">
        <v>313</v>
      </c>
      <c r="J44">
        <v>29</v>
      </c>
      <c r="K44">
        <v>208</v>
      </c>
      <c r="L44">
        <v>581</v>
      </c>
      <c r="M44">
        <v>89</v>
      </c>
      <c r="N44">
        <f t="shared" si="0"/>
        <v>3358</v>
      </c>
      <c r="O44">
        <v>805</v>
      </c>
      <c r="P44">
        <v>52</v>
      </c>
      <c r="Q44">
        <v>1119</v>
      </c>
      <c r="R44">
        <v>71</v>
      </c>
      <c r="S44">
        <v>56</v>
      </c>
      <c r="T44">
        <v>0</v>
      </c>
      <c r="U44">
        <v>77</v>
      </c>
      <c r="V44">
        <v>128</v>
      </c>
      <c r="W44">
        <v>64</v>
      </c>
      <c r="X44">
        <v>49</v>
      </c>
      <c r="Y44">
        <v>0.27100000000000002</v>
      </c>
      <c r="Z44">
        <v>0.34699999999999998</v>
      </c>
      <c r="AA44">
        <v>0.45100000000000001</v>
      </c>
    </row>
    <row r="45" spans="1:27" x14ac:dyDescent="0.2">
      <c r="A45" s="52">
        <v>2001</v>
      </c>
      <c r="B45" t="s">
        <v>164</v>
      </c>
      <c r="C45" t="s">
        <v>163</v>
      </c>
      <c r="D45">
        <v>162</v>
      </c>
      <c r="E45">
        <v>5643</v>
      </c>
      <c r="F45" s="1">
        <v>729</v>
      </c>
      <c r="G45">
        <v>1503</v>
      </c>
      <c r="H45">
        <f t="shared" si="1"/>
        <v>1037</v>
      </c>
      <c r="I45">
        <v>277</v>
      </c>
      <c r="J45">
        <v>37</v>
      </c>
      <c r="K45">
        <v>152</v>
      </c>
      <c r="L45">
        <v>406</v>
      </c>
      <c r="M45">
        <v>44</v>
      </c>
      <c r="N45">
        <f t="shared" si="0"/>
        <v>3690</v>
      </c>
      <c r="O45">
        <v>691</v>
      </c>
      <c r="P45">
        <v>31</v>
      </c>
      <c r="Q45">
        <v>898</v>
      </c>
      <c r="R45">
        <v>36</v>
      </c>
      <c r="S45">
        <v>47</v>
      </c>
      <c r="T45">
        <v>0</v>
      </c>
      <c r="U45">
        <v>91</v>
      </c>
      <c r="V45">
        <v>134</v>
      </c>
      <c r="W45">
        <v>100</v>
      </c>
      <c r="X45">
        <v>42</v>
      </c>
      <c r="Y45">
        <v>0.26600000000000001</v>
      </c>
      <c r="Z45">
        <v>0.318</v>
      </c>
      <c r="AA45">
        <v>0.40899999999999997</v>
      </c>
    </row>
    <row r="46" spans="1:27" x14ac:dyDescent="0.2">
      <c r="A46" s="52">
        <v>2001</v>
      </c>
      <c r="B46" t="s">
        <v>159</v>
      </c>
      <c r="C46" t="s">
        <v>38</v>
      </c>
      <c r="D46">
        <v>162</v>
      </c>
      <c r="E46">
        <v>5493</v>
      </c>
      <c r="F46" s="1">
        <v>758</v>
      </c>
      <c r="G46">
        <v>1399</v>
      </c>
      <c r="H46">
        <f t="shared" si="1"/>
        <v>902</v>
      </c>
      <c r="I46">
        <v>264</v>
      </c>
      <c r="J46">
        <v>27</v>
      </c>
      <c r="K46">
        <v>206</v>
      </c>
      <c r="L46">
        <v>519</v>
      </c>
      <c r="M46">
        <v>56</v>
      </c>
      <c r="N46">
        <f t="shared" si="0"/>
        <v>3519</v>
      </c>
      <c r="O46">
        <v>714</v>
      </c>
      <c r="P46">
        <v>45</v>
      </c>
      <c r="Q46">
        <v>1062</v>
      </c>
      <c r="R46">
        <v>57</v>
      </c>
      <c r="S46">
        <v>44</v>
      </c>
      <c r="T46">
        <v>0</v>
      </c>
      <c r="U46">
        <v>73</v>
      </c>
      <c r="V46">
        <v>115</v>
      </c>
      <c r="W46">
        <v>89</v>
      </c>
      <c r="X46">
        <v>42</v>
      </c>
      <c r="Y46">
        <v>0.255</v>
      </c>
      <c r="Z46">
        <v>0.32300000000000001</v>
      </c>
      <c r="AA46">
        <v>0.42499999999999999</v>
      </c>
    </row>
    <row r="47" spans="1:27" x14ac:dyDescent="0.2">
      <c r="A47" s="52">
        <v>2001</v>
      </c>
      <c r="B47" t="s">
        <v>69</v>
      </c>
      <c r="C47" t="s">
        <v>38</v>
      </c>
      <c r="D47">
        <v>162</v>
      </c>
      <c r="E47">
        <v>5488</v>
      </c>
      <c r="F47" s="1">
        <v>740</v>
      </c>
      <c r="G47">
        <v>1378</v>
      </c>
      <c r="H47">
        <f t="shared" si="1"/>
        <v>866</v>
      </c>
      <c r="I47">
        <v>273</v>
      </c>
      <c r="J47">
        <v>30</v>
      </c>
      <c r="K47">
        <v>209</v>
      </c>
      <c r="L47">
        <v>488</v>
      </c>
      <c r="M47">
        <v>72</v>
      </c>
      <c r="N47">
        <f t="shared" si="0"/>
        <v>3550</v>
      </c>
      <c r="O47">
        <v>712</v>
      </c>
      <c r="P47">
        <v>44</v>
      </c>
      <c r="Q47">
        <v>1399</v>
      </c>
      <c r="R47">
        <v>65</v>
      </c>
      <c r="S47">
        <v>35</v>
      </c>
      <c r="T47">
        <v>0</v>
      </c>
      <c r="U47">
        <v>62</v>
      </c>
      <c r="V47">
        <v>102</v>
      </c>
      <c r="W47">
        <v>66</v>
      </c>
      <c r="X47">
        <v>36</v>
      </c>
      <c r="Y47">
        <v>0.251</v>
      </c>
      <c r="Z47">
        <v>0.31900000000000001</v>
      </c>
      <c r="AA47">
        <v>0.42599999999999999</v>
      </c>
    </row>
    <row r="48" spans="1:27" x14ac:dyDescent="0.2">
      <c r="A48" s="52">
        <v>2001</v>
      </c>
      <c r="B48" t="s">
        <v>71</v>
      </c>
      <c r="C48" t="s">
        <v>163</v>
      </c>
      <c r="D48">
        <v>162</v>
      </c>
      <c r="E48">
        <v>5560</v>
      </c>
      <c r="F48" s="1">
        <v>771</v>
      </c>
      <c r="G48">
        <v>1514</v>
      </c>
      <c r="H48">
        <f t="shared" si="1"/>
        <v>984</v>
      </c>
      <c r="I48">
        <v>328</v>
      </c>
      <c r="J48">
        <v>38</v>
      </c>
      <c r="K48">
        <v>164</v>
      </c>
      <c r="L48">
        <v>495</v>
      </c>
      <c r="M48">
        <v>64</v>
      </c>
      <c r="N48">
        <f t="shared" si="0"/>
        <v>3487</v>
      </c>
      <c r="O48">
        <v>717</v>
      </c>
      <c r="P48">
        <v>42</v>
      </c>
      <c r="Q48">
        <v>1083</v>
      </c>
      <c r="R48">
        <v>25</v>
      </c>
      <c r="S48">
        <v>38</v>
      </c>
      <c r="T48">
        <v>3</v>
      </c>
      <c r="U48">
        <v>67</v>
      </c>
      <c r="V48">
        <v>124</v>
      </c>
      <c r="W48">
        <v>146</v>
      </c>
      <c r="X48">
        <v>67</v>
      </c>
      <c r="Y48">
        <v>0.27200000000000002</v>
      </c>
      <c r="Z48">
        <v>0.33700000000000002</v>
      </c>
      <c r="AA48">
        <v>0.433</v>
      </c>
    </row>
    <row r="49" spans="1:27" x14ac:dyDescent="0.2">
      <c r="A49" s="52">
        <v>2001</v>
      </c>
      <c r="B49" t="s">
        <v>73</v>
      </c>
      <c r="C49" t="s">
        <v>38</v>
      </c>
      <c r="D49">
        <v>162</v>
      </c>
      <c r="E49">
        <v>5379</v>
      </c>
      <c r="F49" s="1">
        <v>670</v>
      </c>
      <c r="G49">
        <v>1361</v>
      </c>
      <c r="H49">
        <f t="shared" si="1"/>
        <v>882</v>
      </c>
      <c r="I49">
        <v>320</v>
      </c>
      <c r="J49">
        <v>28</v>
      </c>
      <c r="K49">
        <v>131</v>
      </c>
      <c r="L49">
        <v>478</v>
      </c>
      <c r="M49">
        <v>60</v>
      </c>
      <c r="N49">
        <f t="shared" si="0"/>
        <v>3480</v>
      </c>
      <c r="O49">
        <v>622</v>
      </c>
      <c r="P49">
        <v>59</v>
      </c>
      <c r="Q49">
        <v>1071</v>
      </c>
      <c r="R49">
        <v>64</v>
      </c>
      <c r="S49">
        <v>45</v>
      </c>
      <c r="T49">
        <v>0</v>
      </c>
      <c r="U49">
        <v>66</v>
      </c>
      <c r="V49">
        <v>151</v>
      </c>
      <c r="W49">
        <v>101</v>
      </c>
      <c r="X49">
        <v>51</v>
      </c>
      <c r="Y49">
        <v>0.253</v>
      </c>
      <c r="Z49">
        <v>0.31900000000000001</v>
      </c>
      <c r="AA49">
        <v>0.39600000000000002</v>
      </c>
    </row>
    <row r="50" spans="1:27" x14ac:dyDescent="0.2">
      <c r="A50" s="52">
        <v>2001</v>
      </c>
      <c r="B50" t="s">
        <v>158</v>
      </c>
      <c r="C50" t="s">
        <v>38</v>
      </c>
      <c r="D50">
        <v>162</v>
      </c>
      <c r="E50">
        <v>5459</v>
      </c>
      <c r="F50" s="1">
        <v>642</v>
      </c>
      <c r="G50">
        <v>1361</v>
      </c>
      <c r="H50">
        <f t="shared" si="1"/>
        <v>923</v>
      </c>
      <c r="I50">
        <v>273</v>
      </c>
      <c r="J50">
        <v>18</v>
      </c>
      <c r="K50">
        <v>147</v>
      </c>
      <c r="L50">
        <v>545</v>
      </c>
      <c r="M50">
        <v>65</v>
      </c>
      <c r="N50">
        <f t="shared" si="0"/>
        <v>3488</v>
      </c>
      <c r="O50">
        <v>608</v>
      </c>
      <c r="P50">
        <v>59</v>
      </c>
      <c r="Q50">
        <v>1062</v>
      </c>
      <c r="R50">
        <v>52</v>
      </c>
      <c r="S50">
        <v>35</v>
      </c>
      <c r="T50">
        <v>0</v>
      </c>
      <c r="U50">
        <v>78</v>
      </c>
      <c r="V50">
        <v>124</v>
      </c>
      <c r="W50">
        <v>66</v>
      </c>
      <c r="X50">
        <v>48</v>
      </c>
      <c r="Y50">
        <v>0.249</v>
      </c>
      <c r="Z50">
        <v>0.32300000000000001</v>
      </c>
      <c r="AA50">
        <v>0.38700000000000001</v>
      </c>
    </row>
    <row r="51" spans="1:27" x14ac:dyDescent="0.2">
      <c r="A51" s="52">
        <v>2001</v>
      </c>
      <c r="B51" t="s">
        <v>158</v>
      </c>
      <c r="C51" t="s">
        <v>163</v>
      </c>
      <c r="D51">
        <v>161</v>
      </c>
      <c r="E51">
        <v>5577</v>
      </c>
      <c r="F51" s="1">
        <v>804</v>
      </c>
      <c r="G51">
        <v>1488</v>
      </c>
      <c r="H51">
        <f t="shared" si="1"/>
        <v>976</v>
      </c>
      <c r="I51">
        <v>289</v>
      </c>
      <c r="J51">
        <v>20</v>
      </c>
      <c r="K51">
        <v>203</v>
      </c>
      <c r="L51">
        <v>519</v>
      </c>
      <c r="M51">
        <v>64</v>
      </c>
      <c r="N51">
        <f t="shared" si="0"/>
        <v>3506</v>
      </c>
      <c r="O51">
        <v>774</v>
      </c>
      <c r="P51">
        <v>38</v>
      </c>
      <c r="Q51">
        <v>1035</v>
      </c>
      <c r="R51">
        <v>30</v>
      </c>
      <c r="S51">
        <v>43</v>
      </c>
      <c r="T51">
        <v>0</v>
      </c>
      <c r="U51">
        <v>78</v>
      </c>
      <c r="V51">
        <v>119</v>
      </c>
      <c r="W51">
        <v>161</v>
      </c>
      <c r="X51">
        <v>53</v>
      </c>
      <c r="Y51">
        <v>0.26700000000000002</v>
      </c>
      <c r="Z51">
        <v>0.33400000000000002</v>
      </c>
      <c r="AA51">
        <v>0.435</v>
      </c>
    </row>
    <row r="52" spans="1:27" x14ac:dyDescent="0.2">
      <c r="A52" s="52">
        <v>2001</v>
      </c>
      <c r="B52" t="s">
        <v>79</v>
      </c>
      <c r="C52" t="s">
        <v>163</v>
      </c>
      <c r="D52">
        <v>162</v>
      </c>
      <c r="E52">
        <v>5573</v>
      </c>
      <c r="F52" s="1">
        <v>884</v>
      </c>
      <c r="G52">
        <v>1469</v>
      </c>
      <c r="H52">
        <f t="shared" si="1"/>
        <v>914</v>
      </c>
      <c r="I52">
        <v>334</v>
      </c>
      <c r="J52">
        <v>22</v>
      </c>
      <c r="K52">
        <v>199</v>
      </c>
      <c r="L52">
        <v>640</v>
      </c>
      <c r="M52">
        <v>88</v>
      </c>
      <c r="N52">
        <f t="shared" si="0"/>
        <v>3376</v>
      </c>
      <c r="O52">
        <v>835</v>
      </c>
      <c r="P52">
        <v>57</v>
      </c>
      <c r="Q52">
        <v>1021</v>
      </c>
      <c r="R52">
        <v>25</v>
      </c>
      <c r="S52">
        <v>59</v>
      </c>
      <c r="T52">
        <v>0</v>
      </c>
      <c r="U52">
        <v>64</v>
      </c>
      <c r="V52">
        <v>131</v>
      </c>
      <c r="W52">
        <v>68</v>
      </c>
      <c r="X52">
        <v>29</v>
      </c>
      <c r="Y52">
        <v>0.26400000000000001</v>
      </c>
      <c r="Z52">
        <v>0.34499999999999997</v>
      </c>
      <c r="AA52">
        <v>0.439</v>
      </c>
    </row>
    <row r="53" spans="1:27" x14ac:dyDescent="0.2">
      <c r="A53" s="52">
        <v>2001</v>
      </c>
      <c r="B53" t="s">
        <v>81</v>
      </c>
      <c r="C53" t="s">
        <v>38</v>
      </c>
      <c r="D53">
        <v>162</v>
      </c>
      <c r="E53">
        <v>5497</v>
      </c>
      <c r="F53" s="1">
        <v>746</v>
      </c>
      <c r="G53">
        <v>1431</v>
      </c>
      <c r="H53">
        <f t="shared" si="1"/>
        <v>943</v>
      </c>
      <c r="I53">
        <v>295</v>
      </c>
      <c r="J53">
        <v>29</v>
      </c>
      <c r="K53">
        <v>164</v>
      </c>
      <c r="L53">
        <v>551</v>
      </c>
      <c r="M53">
        <v>43</v>
      </c>
      <c r="N53">
        <f t="shared" si="0"/>
        <v>3472</v>
      </c>
      <c r="O53">
        <v>708</v>
      </c>
      <c r="P53">
        <v>52</v>
      </c>
      <c r="Q53">
        <v>1125</v>
      </c>
      <c r="R53">
        <v>67</v>
      </c>
      <c r="S53">
        <v>61</v>
      </c>
      <c r="T53">
        <v>0</v>
      </c>
      <c r="U53">
        <v>71</v>
      </c>
      <c r="V53">
        <v>104</v>
      </c>
      <c r="W53">
        <v>153</v>
      </c>
      <c r="X53">
        <v>47</v>
      </c>
      <c r="Y53">
        <v>0.26</v>
      </c>
      <c r="Z53">
        <v>0.32900000000000001</v>
      </c>
      <c r="AA53">
        <v>0.41399999999999998</v>
      </c>
    </row>
    <row r="54" spans="1:27" x14ac:dyDescent="0.2">
      <c r="A54" s="52">
        <v>2001</v>
      </c>
      <c r="B54" t="s">
        <v>83</v>
      </c>
      <c r="C54" t="s">
        <v>38</v>
      </c>
      <c r="D54">
        <v>162</v>
      </c>
      <c r="E54">
        <v>5398</v>
      </c>
      <c r="F54" s="1">
        <v>657</v>
      </c>
      <c r="G54">
        <v>1333</v>
      </c>
      <c r="H54">
        <f t="shared" si="1"/>
        <v>891</v>
      </c>
      <c r="I54">
        <v>256</v>
      </c>
      <c r="J54">
        <v>25</v>
      </c>
      <c r="K54">
        <v>161</v>
      </c>
      <c r="L54">
        <v>467</v>
      </c>
      <c r="M54">
        <v>67</v>
      </c>
      <c r="N54">
        <f t="shared" si="0"/>
        <v>3531</v>
      </c>
      <c r="O54">
        <v>618</v>
      </c>
      <c r="P54">
        <v>51</v>
      </c>
      <c r="Q54">
        <v>1106</v>
      </c>
      <c r="R54">
        <v>60</v>
      </c>
      <c r="S54">
        <v>35</v>
      </c>
      <c r="T54">
        <v>0</v>
      </c>
      <c r="U54">
        <v>91</v>
      </c>
      <c r="V54">
        <v>114</v>
      </c>
      <c r="W54">
        <v>93</v>
      </c>
      <c r="X54">
        <v>73</v>
      </c>
      <c r="Y54">
        <v>0.247</v>
      </c>
      <c r="Z54">
        <v>0.313</v>
      </c>
      <c r="AA54">
        <v>0.39300000000000002</v>
      </c>
    </row>
    <row r="55" spans="1:27" x14ac:dyDescent="0.2">
      <c r="A55" s="52">
        <v>2001</v>
      </c>
      <c r="B55" t="s">
        <v>161</v>
      </c>
      <c r="C55" t="s">
        <v>38</v>
      </c>
      <c r="D55">
        <v>162</v>
      </c>
      <c r="E55">
        <v>5482</v>
      </c>
      <c r="F55" s="1">
        <v>789</v>
      </c>
      <c r="G55">
        <v>1379</v>
      </c>
      <c r="H55">
        <f t="shared" si="1"/>
        <v>919</v>
      </c>
      <c r="I55">
        <v>273</v>
      </c>
      <c r="J55">
        <v>26</v>
      </c>
      <c r="K55">
        <v>161</v>
      </c>
      <c r="L55">
        <v>678</v>
      </c>
      <c r="M55">
        <v>41</v>
      </c>
      <c r="N55">
        <f t="shared" si="0"/>
        <v>3384</v>
      </c>
      <c r="O55">
        <v>753</v>
      </c>
      <c r="P55">
        <v>37</v>
      </c>
      <c r="Q55">
        <v>1273</v>
      </c>
      <c r="R55">
        <v>29</v>
      </c>
      <c r="S55">
        <v>48</v>
      </c>
      <c r="T55">
        <v>0</v>
      </c>
      <c r="U55">
        <v>76</v>
      </c>
      <c r="V55">
        <v>121</v>
      </c>
      <c r="W55">
        <v>129</v>
      </c>
      <c r="X55">
        <v>44</v>
      </c>
      <c r="Y55">
        <v>0.252</v>
      </c>
      <c r="Z55">
        <v>0.33600000000000002</v>
      </c>
      <c r="AA55">
        <v>0.39900000000000002</v>
      </c>
    </row>
    <row r="56" spans="1:27" x14ac:dyDescent="0.2">
      <c r="A56" s="52">
        <v>2001</v>
      </c>
      <c r="B56" t="s">
        <v>87</v>
      </c>
      <c r="C56" t="s">
        <v>163</v>
      </c>
      <c r="D56">
        <v>162</v>
      </c>
      <c r="E56">
        <v>5680</v>
      </c>
      <c r="F56" s="1">
        <v>927</v>
      </c>
      <c r="G56">
        <v>1637</v>
      </c>
      <c r="H56">
        <f t="shared" si="1"/>
        <v>1120</v>
      </c>
      <c r="I56">
        <v>310</v>
      </c>
      <c r="J56">
        <v>38</v>
      </c>
      <c r="K56">
        <v>169</v>
      </c>
      <c r="L56">
        <v>614</v>
      </c>
      <c r="M56">
        <v>62</v>
      </c>
      <c r="N56">
        <f t="shared" si="0"/>
        <v>3367</v>
      </c>
      <c r="O56">
        <v>881</v>
      </c>
      <c r="P56">
        <v>54</v>
      </c>
      <c r="Q56">
        <v>989</v>
      </c>
      <c r="R56">
        <v>48</v>
      </c>
      <c r="S56">
        <v>70</v>
      </c>
      <c r="T56">
        <v>0</v>
      </c>
      <c r="U56">
        <v>80</v>
      </c>
      <c r="V56">
        <v>112</v>
      </c>
      <c r="W56">
        <v>174</v>
      </c>
      <c r="X56">
        <v>42</v>
      </c>
      <c r="Y56">
        <v>0.28799999999999998</v>
      </c>
      <c r="Z56">
        <v>0.36</v>
      </c>
      <c r="AA56">
        <v>0.44500000000000001</v>
      </c>
    </row>
    <row r="57" spans="1:27" x14ac:dyDescent="0.2">
      <c r="A57" s="52">
        <v>2001</v>
      </c>
      <c r="B57" t="s">
        <v>21</v>
      </c>
      <c r="C57" t="s">
        <v>38</v>
      </c>
      <c r="D57">
        <v>162</v>
      </c>
      <c r="E57">
        <v>5612</v>
      </c>
      <c r="F57" s="1">
        <v>799</v>
      </c>
      <c r="G57">
        <v>1493</v>
      </c>
      <c r="H57">
        <f t="shared" si="1"/>
        <v>914</v>
      </c>
      <c r="I57">
        <v>304</v>
      </c>
      <c r="J57">
        <v>40</v>
      </c>
      <c r="K57">
        <v>235</v>
      </c>
      <c r="L57">
        <v>625</v>
      </c>
      <c r="M57">
        <v>50</v>
      </c>
      <c r="N57">
        <f t="shared" si="0"/>
        <v>3444</v>
      </c>
      <c r="O57">
        <v>775</v>
      </c>
      <c r="P57">
        <v>79</v>
      </c>
      <c r="Q57">
        <v>1090</v>
      </c>
      <c r="R57">
        <v>67</v>
      </c>
      <c r="S57">
        <v>54</v>
      </c>
      <c r="T57">
        <v>0</v>
      </c>
      <c r="U57">
        <v>67</v>
      </c>
      <c r="V57">
        <v>108</v>
      </c>
      <c r="W57">
        <v>57</v>
      </c>
      <c r="X57">
        <v>42</v>
      </c>
      <c r="Y57">
        <v>0.26600000000000001</v>
      </c>
      <c r="Z57">
        <v>0.34200000000000003</v>
      </c>
      <c r="AA57">
        <v>0.46</v>
      </c>
    </row>
    <row r="58" spans="1:27" x14ac:dyDescent="0.2">
      <c r="A58" s="52">
        <v>2001</v>
      </c>
      <c r="B58" t="s">
        <v>156</v>
      </c>
      <c r="C58" t="s">
        <v>38</v>
      </c>
      <c r="D58">
        <v>162</v>
      </c>
      <c r="E58">
        <v>5450</v>
      </c>
      <c r="F58" s="1">
        <v>814</v>
      </c>
      <c r="G58">
        <v>1469</v>
      </c>
      <c r="H58">
        <f t="shared" si="1"/>
        <v>964</v>
      </c>
      <c r="I58">
        <v>274</v>
      </c>
      <c r="J58">
        <v>32</v>
      </c>
      <c r="K58">
        <v>199</v>
      </c>
      <c r="L58">
        <v>529</v>
      </c>
      <c r="M58">
        <v>65</v>
      </c>
      <c r="N58">
        <f t="shared" si="0"/>
        <v>3387</v>
      </c>
      <c r="O58">
        <v>768</v>
      </c>
      <c r="P58">
        <v>51</v>
      </c>
      <c r="Q58">
        <v>1089</v>
      </c>
      <c r="R58">
        <v>83</v>
      </c>
      <c r="S58">
        <v>50</v>
      </c>
      <c r="T58">
        <v>0</v>
      </c>
      <c r="U58">
        <v>69</v>
      </c>
      <c r="V58">
        <v>125</v>
      </c>
      <c r="W58">
        <v>91</v>
      </c>
      <c r="X58">
        <v>35</v>
      </c>
      <c r="Y58">
        <v>0.27</v>
      </c>
      <c r="Z58">
        <v>0.33900000000000002</v>
      </c>
      <c r="AA58">
        <v>0.441</v>
      </c>
    </row>
    <row r="59" spans="1:27" x14ac:dyDescent="0.2">
      <c r="A59" s="52">
        <v>2001</v>
      </c>
      <c r="B59" t="s">
        <v>165</v>
      </c>
      <c r="C59" t="s">
        <v>163</v>
      </c>
      <c r="D59">
        <v>162</v>
      </c>
      <c r="E59">
        <v>5524</v>
      </c>
      <c r="F59" s="1">
        <v>672</v>
      </c>
      <c r="G59">
        <v>1426</v>
      </c>
      <c r="H59">
        <f t="shared" si="1"/>
        <v>973</v>
      </c>
      <c r="I59">
        <v>311</v>
      </c>
      <c r="J59">
        <v>21</v>
      </c>
      <c r="K59">
        <v>121</v>
      </c>
      <c r="L59">
        <v>456</v>
      </c>
      <c r="M59">
        <v>54</v>
      </c>
      <c r="N59">
        <f t="shared" si="0"/>
        <v>3588</v>
      </c>
      <c r="O59">
        <v>645</v>
      </c>
      <c r="P59">
        <v>24</v>
      </c>
      <c r="Q59">
        <v>1116</v>
      </c>
      <c r="R59">
        <v>45</v>
      </c>
      <c r="S59">
        <v>25</v>
      </c>
      <c r="T59">
        <v>0</v>
      </c>
      <c r="U59">
        <v>74</v>
      </c>
      <c r="V59">
        <v>130</v>
      </c>
      <c r="W59">
        <v>115</v>
      </c>
      <c r="X59">
        <v>52</v>
      </c>
      <c r="Y59">
        <v>0.25800000000000001</v>
      </c>
      <c r="Z59">
        <v>0.32</v>
      </c>
      <c r="AA59">
        <v>0.38800000000000001</v>
      </c>
    </row>
    <row r="60" spans="1:27" x14ac:dyDescent="0.2">
      <c r="A60" s="52">
        <v>2001</v>
      </c>
      <c r="B60" t="s">
        <v>95</v>
      </c>
      <c r="C60" t="s">
        <v>163</v>
      </c>
      <c r="D60">
        <v>162</v>
      </c>
      <c r="E60">
        <v>5685</v>
      </c>
      <c r="F60" s="1">
        <v>890</v>
      </c>
      <c r="G60">
        <v>1566</v>
      </c>
      <c r="H60">
        <f t="shared" si="1"/>
        <v>971</v>
      </c>
      <c r="I60">
        <v>326</v>
      </c>
      <c r="J60">
        <v>23</v>
      </c>
      <c r="K60">
        <v>246</v>
      </c>
      <c r="L60">
        <v>548</v>
      </c>
      <c r="M60">
        <v>75</v>
      </c>
      <c r="N60">
        <f t="shared" si="0"/>
        <v>3496</v>
      </c>
      <c r="O60">
        <v>844</v>
      </c>
      <c r="P60">
        <v>27</v>
      </c>
      <c r="Q60">
        <v>1093</v>
      </c>
      <c r="R60">
        <v>25</v>
      </c>
      <c r="S60">
        <v>55</v>
      </c>
      <c r="T60">
        <v>0</v>
      </c>
      <c r="U60">
        <v>80</v>
      </c>
      <c r="V60">
        <v>131</v>
      </c>
      <c r="W60">
        <v>97</v>
      </c>
      <c r="X60">
        <v>32</v>
      </c>
      <c r="Y60">
        <v>0.27500000000000002</v>
      </c>
      <c r="Z60">
        <v>0.34399999999999997</v>
      </c>
      <c r="AA60">
        <v>0.47099999999999997</v>
      </c>
    </row>
    <row r="61" spans="1:27" x14ac:dyDescent="0.2">
      <c r="A61" s="52">
        <v>2001</v>
      </c>
      <c r="B61" t="s">
        <v>97</v>
      </c>
      <c r="C61" t="s">
        <v>163</v>
      </c>
      <c r="D61">
        <v>162</v>
      </c>
      <c r="E61">
        <v>5663</v>
      </c>
      <c r="F61" s="1">
        <v>767</v>
      </c>
      <c r="G61">
        <v>1489</v>
      </c>
      <c r="H61">
        <f t="shared" si="1"/>
        <v>971</v>
      </c>
      <c r="I61">
        <v>287</v>
      </c>
      <c r="J61">
        <v>36</v>
      </c>
      <c r="K61">
        <v>195</v>
      </c>
      <c r="L61">
        <v>470</v>
      </c>
      <c r="M61">
        <v>74</v>
      </c>
      <c r="N61">
        <f t="shared" si="0"/>
        <v>3630</v>
      </c>
      <c r="O61">
        <v>728</v>
      </c>
      <c r="P61">
        <v>47</v>
      </c>
      <c r="Q61">
        <v>1094</v>
      </c>
      <c r="R61">
        <v>34</v>
      </c>
      <c r="S61">
        <v>43</v>
      </c>
      <c r="T61">
        <v>0</v>
      </c>
      <c r="U61">
        <v>71</v>
      </c>
      <c r="V61">
        <v>111</v>
      </c>
      <c r="W61">
        <v>156</v>
      </c>
      <c r="X61">
        <v>55</v>
      </c>
      <c r="Y61">
        <v>0.26300000000000001</v>
      </c>
      <c r="Z61">
        <v>0.32500000000000001</v>
      </c>
      <c r="AA61">
        <v>0.43</v>
      </c>
    </row>
    <row r="62" spans="1:27" x14ac:dyDescent="0.2">
      <c r="A62" s="52">
        <v>2002</v>
      </c>
      <c r="B62" t="s">
        <v>37</v>
      </c>
      <c r="C62" t="s">
        <v>163</v>
      </c>
      <c r="D62">
        <v>162</v>
      </c>
      <c r="E62">
        <v>5678</v>
      </c>
      <c r="F62" s="1">
        <v>851</v>
      </c>
      <c r="G62">
        <v>1603</v>
      </c>
      <c r="H62">
        <f t="shared" si="1"/>
        <v>1086</v>
      </c>
      <c r="I62">
        <v>333</v>
      </c>
      <c r="J62">
        <v>32</v>
      </c>
      <c r="K62">
        <v>152</v>
      </c>
      <c r="L62">
        <v>462</v>
      </c>
      <c r="M62">
        <v>74</v>
      </c>
      <c r="N62">
        <f t="shared" si="0"/>
        <v>3539</v>
      </c>
      <c r="O62">
        <v>811</v>
      </c>
      <c r="P62">
        <v>42</v>
      </c>
      <c r="Q62">
        <v>805</v>
      </c>
      <c r="R62">
        <v>49</v>
      </c>
      <c r="S62">
        <v>64</v>
      </c>
      <c r="T62">
        <v>0</v>
      </c>
      <c r="U62">
        <v>84</v>
      </c>
      <c r="V62">
        <v>105</v>
      </c>
      <c r="W62">
        <v>117</v>
      </c>
      <c r="X62">
        <v>51</v>
      </c>
      <c r="Y62">
        <v>0.28199999999999997</v>
      </c>
      <c r="Z62">
        <v>0.34100000000000003</v>
      </c>
      <c r="AA62">
        <v>0.433</v>
      </c>
    </row>
    <row r="63" spans="1:27" x14ac:dyDescent="0.2">
      <c r="A63" s="52">
        <v>2002</v>
      </c>
      <c r="B63" t="s">
        <v>40</v>
      </c>
      <c r="C63" t="s">
        <v>38</v>
      </c>
      <c r="D63">
        <v>162</v>
      </c>
      <c r="E63">
        <v>5508</v>
      </c>
      <c r="F63" s="1">
        <v>819</v>
      </c>
      <c r="G63">
        <v>1471</v>
      </c>
      <c r="H63">
        <f t="shared" si="1"/>
        <v>982</v>
      </c>
      <c r="I63">
        <v>283</v>
      </c>
      <c r="J63">
        <v>41</v>
      </c>
      <c r="K63">
        <v>165</v>
      </c>
      <c r="L63">
        <v>643</v>
      </c>
      <c r="M63">
        <v>50</v>
      </c>
      <c r="N63">
        <f t="shared" si="0"/>
        <v>3344</v>
      </c>
      <c r="O63">
        <v>783</v>
      </c>
      <c r="P63">
        <v>58</v>
      </c>
      <c r="Q63">
        <v>1016</v>
      </c>
      <c r="R63">
        <v>62</v>
      </c>
      <c r="S63">
        <v>53</v>
      </c>
      <c r="T63">
        <v>2</v>
      </c>
      <c r="U63">
        <v>92</v>
      </c>
      <c r="V63">
        <v>130</v>
      </c>
      <c r="W63">
        <v>92</v>
      </c>
      <c r="X63">
        <v>46</v>
      </c>
      <c r="Y63">
        <v>0.26700000000000002</v>
      </c>
      <c r="Z63">
        <v>0.34599999999999997</v>
      </c>
      <c r="AA63">
        <v>0.42299999999999999</v>
      </c>
    </row>
    <row r="64" spans="1:27" x14ac:dyDescent="0.2">
      <c r="A64" s="52">
        <v>2002</v>
      </c>
      <c r="B64" t="s">
        <v>42</v>
      </c>
      <c r="C64" t="s">
        <v>38</v>
      </c>
      <c r="D64">
        <v>161</v>
      </c>
      <c r="E64">
        <v>5495</v>
      </c>
      <c r="F64" s="1">
        <v>708</v>
      </c>
      <c r="G64">
        <v>1428</v>
      </c>
      <c r="H64">
        <f t="shared" si="1"/>
        <v>959</v>
      </c>
      <c r="I64">
        <v>280</v>
      </c>
      <c r="J64">
        <v>25</v>
      </c>
      <c r="K64">
        <v>164</v>
      </c>
      <c r="L64">
        <v>558</v>
      </c>
      <c r="M64">
        <v>54</v>
      </c>
      <c r="N64">
        <f t="shared" si="0"/>
        <v>3455</v>
      </c>
      <c r="O64">
        <v>669</v>
      </c>
      <c r="P64">
        <v>68</v>
      </c>
      <c r="Q64">
        <v>1028</v>
      </c>
      <c r="R64">
        <v>67</v>
      </c>
      <c r="S64">
        <v>49</v>
      </c>
      <c r="T64">
        <v>1</v>
      </c>
      <c r="U64">
        <v>80</v>
      </c>
      <c r="V64">
        <v>147</v>
      </c>
      <c r="W64">
        <v>76</v>
      </c>
      <c r="X64">
        <v>39</v>
      </c>
      <c r="Y64">
        <v>0.26</v>
      </c>
      <c r="Z64">
        <v>0.33100000000000002</v>
      </c>
      <c r="AA64">
        <v>0.40899999999999997</v>
      </c>
    </row>
    <row r="65" spans="1:27" x14ac:dyDescent="0.2">
      <c r="A65" s="52">
        <v>2002</v>
      </c>
      <c r="B65" t="s">
        <v>45</v>
      </c>
      <c r="C65" t="s">
        <v>163</v>
      </c>
      <c r="D65">
        <v>162</v>
      </c>
      <c r="E65">
        <v>5491</v>
      </c>
      <c r="F65" s="1">
        <v>667</v>
      </c>
      <c r="G65">
        <v>1353</v>
      </c>
      <c r="H65">
        <f t="shared" si="1"/>
        <v>850</v>
      </c>
      <c r="I65">
        <v>311</v>
      </c>
      <c r="J65">
        <v>27</v>
      </c>
      <c r="K65">
        <v>165</v>
      </c>
      <c r="L65">
        <v>452</v>
      </c>
      <c r="M65">
        <v>64</v>
      </c>
      <c r="N65">
        <f t="shared" si="0"/>
        <v>3622</v>
      </c>
      <c r="O65">
        <v>636</v>
      </c>
      <c r="P65">
        <v>25</v>
      </c>
      <c r="Q65">
        <v>993</v>
      </c>
      <c r="R65">
        <v>40</v>
      </c>
      <c r="S65">
        <v>49</v>
      </c>
      <c r="T65">
        <v>0</v>
      </c>
      <c r="U65">
        <v>57</v>
      </c>
      <c r="V65">
        <v>128</v>
      </c>
      <c r="W65">
        <v>110</v>
      </c>
      <c r="X65">
        <v>48</v>
      </c>
      <c r="Y65">
        <v>0.246</v>
      </c>
      <c r="Z65">
        <v>0.309</v>
      </c>
      <c r="AA65">
        <v>0.40300000000000002</v>
      </c>
    </row>
    <row r="66" spans="1:27" x14ac:dyDescent="0.2">
      <c r="A66" s="52">
        <v>2002</v>
      </c>
      <c r="B66" t="s">
        <v>47</v>
      </c>
      <c r="C66" t="s">
        <v>163</v>
      </c>
      <c r="D66">
        <v>162</v>
      </c>
      <c r="E66">
        <v>5640</v>
      </c>
      <c r="F66" s="1">
        <v>859</v>
      </c>
      <c r="G66">
        <v>1560</v>
      </c>
      <c r="H66">
        <f t="shared" si="1"/>
        <v>1002</v>
      </c>
      <c r="I66">
        <v>348</v>
      </c>
      <c r="J66">
        <v>33</v>
      </c>
      <c r="K66">
        <v>177</v>
      </c>
      <c r="L66">
        <v>545</v>
      </c>
      <c r="M66">
        <v>72</v>
      </c>
      <c r="N66">
        <f t="shared" ref="N66:N129" si="2">E66-(G66+L66+M66)</f>
        <v>3463</v>
      </c>
      <c r="O66">
        <v>810</v>
      </c>
      <c r="P66">
        <v>39</v>
      </c>
      <c r="Q66">
        <v>944</v>
      </c>
      <c r="R66">
        <v>22</v>
      </c>
      <c r="S66">
        <v>53</v>
      </c>
      <c r="T66">
        <v>0</v>
      </c>
      <c r="U66">
        <v>70</v>
      </c>
      <c r="V66">
        <v>139</v>
      </c>
      <c r="W66">
        <v>80</v>
      </c>
      <c r="X66">
        <v>28</v>
      </c>
      <c r="Y66">
        <v>0.27700000000000002</v>
      </c>
      <c r="Z66">
        <v>0.34499999999999997</v>
      </c>
      <c r="AA66">
        <v>0.44400000000000001</v>
      </c>
    </row>
    <row r="67" spans="1:27" x14ac:dyDescent="0.2">
      <c r="A67" s="52">
        <v>2002</v>
      </c>
      <c r="B67" t="s">
        <v>157</v>
      </c>
      <c r="C67" t="s">
        <v>38</v>
      </c>
      <c r="D67">
        <v>162</v>
      </c>
      <c r="E67">
        <v>5496</v>
      </c>
      <c r="F67" s="1">
        <v>706</v>
      </c>
      <c r="G67">
        <v>1351</v>
      </c>
      <c r="H67">
        <f t="shared" ref="H67:H130" si="3">G67-(I67+J67+K67)</f>
        <v>863</v>
      </c>
      <c r="I67">
        <v>259</v>
      </c>
      <c r="J67">
        <v>29</v>
      </c>
      <c r="K67">
        <v>200</v>
      </c>
      <c r="L67">
        <v>585</v>
      </c>
      <c r="M67">
        <v>44</v>
      </c>
      <c r="N67">
        <f t="shared" si="2"/>
        <v>3516</v>
      </c>
      <c r="O67">
        <v>676</v>
      </c>
      <c r="P67">
        <v>52</v>
      </c>
      <c r="Q67">
        <v>1269</v>
      </c>
      <c r="R67">
        <v>78</v>
      </c>
      <c r="S67">
        <v>39</v>
      </c>
      <c r="T67">
        <v>0</v>
      </c>
      <c r="U67">
        <v>80</v>
      </c>
      <c r="V67">
        <v>117</v>
      </c>
      <c r="W67">
        <v>63</v>
      </c>
      <c r="X67">
        <v>21</v>
      </c>
      <c r="Y67">
        <v>0.246</v>
      </c>
      <c r="Z67">
        <v>0.32100000000000001</v>
      </c>
      <c r="AA67">
        <v>0.41299999999999998</v>
      </c>
    </row>
    <row r="68" spans="1:27" x14ac:dyDescent="0.2">
      <c r="A68" s="52">
        <v>2002</v>
      </c>
      <c r="B68" t="s">
        <v>157</v>
      </c>
      <c r="C68" t="s">
        <v>163</v>
      </c>
      <c r="D68">
        <v>162</v>
      </c>
      <c r="E68">
        <v>5502</v>
      </c>
      <c r="F68" s="1">
        <v>856</v>
      </c>
      <c r="G68">
        <v>1475</v>
      </c>
      <c r="H68">
        <f t="shared" si="3"/>
        <v>940</v>
      </c>
      <c r="I68">
        <v>289</v>
      </c>
      <c r="J68">
        <v>29</v>
      </c>
      <c r="K68">
        <v>217</v>
      </c>
      <c r="L68">
        <v>555</v>
      </c>
      <c r="M68">
        <v>49</v>
      </c>
      <c r="N68">
        <f t="shared" si="2"/>
        <v>3423</v>
      </c>
      <c r="O68">
        <v>819</v>
      </c>
      <c r="P68">
        <v>17</v>
      </c>
      <c r="Q68">
        <v>952</v>
      </c>
      <c r="R68">
        <v>48</v>
      </c>
      <c r="S68">
        <v>53</v>
      </c>
      <c r="T68">
        <v>1</v>
      </c>
      <c r="U68">
        <v>68</v>
      </c>
      <c r="V68">
        <v>111</v>
      </c>
      <c r="W68">
        <v>75</v>
      </c>
      <c r="X68">
        <v>31</v>
      </c>
      <c r="Y68">
        <v>0.26800000000000002</v>
      </c>
      <c r="Z68">
        <v>0.33800000000000002</v>
      </c>
      <c r="AA68">
        <v>0.44900000000000001</v>
      </c>
    </row>
    <row r="69" spans="1:27" x14ac:dyDescent="0.2">
      <c r="A69" s="52">
        <v>2002</v>
      </c>
      <c r="B69" t="s">
        <v>53</v>
      </c>
      <c r="C69" t="s">
        <v>38</v>
      </c>
      <c r="D69">
        <v>162</v>
      </c>
      <c r="E69">
        <v>5470</v>
      </c>
      <c r="F69" s="1">
        <v>709</v>
      </c>
      <c r="G69">
        <v>1386</v>
      </c>
      <c r="H69">
        <f t="shared" si="3"/>
        <v>899</v>
      </c>
      <c r="I69">
        <v>297</v>
      </c>
      <c r="J69">
        <v>21</v>
      </c>
      <c r="K69">
        <v>169</v>
      </c>
      <c r="L69">
        <v>583</v>
      </c>
      <c r="M69">
        <v>66</v>
      </c>
      <c r="N69">
        <f t="shared" si="2"/>
        <v>3435</v>
      </c>
      <c r="O69">
        <v>678</v>
      </c>
      <c r="P69">
        <v>66</v>
      </c>
      <c r="Q69">
        <v>1188</v>
      </c>
      <c r="R69">
        <v>95</v>
      </c>
      <c r="S69">
        <v>40</v>
      </c>
      <c r="T69">
        <v>0</v>
      </c>
      <c r="U69">
        <v>69</v>
      </c>
      <c r="V69">
        <v>119</v>
      </c>
      <c r="W69">
        <v>116</v>
      </c>
      <c r="X69">
        <v>52</v>
      </c>
      <c r="Y69">
        <v>0.253</v>
      </c>
      <c r="Z69">
        <v>0.33</v>
      </c>
      <c r="AA69">
        <v>0.40799999999999997</v>
      </c>
    </row>
    <row r="70" spans="1:27" x14ac:dyDescent="0.2">
      <c r="A70" s="52">
        <v>2002</v>
      </c>
      <c r="B70" t="s">
        <v>55</v>
      </c>
      <c r="C70" t="s">
        <v>163</v>
      </c>
      <c r="D70">
        <v>162</v>
      </c>
      <c r="E70">
        <v>5423</v>
      </c>
      <c r="F70" s="1">
        <v>739</v>
      </c>
      <c r="G70">
        <v>1349</v>
      </c>
      <c r="H70">
        <f t="shared" si="3"/>
        <v>876</v>
      </c>
      <c r="I70">
        <v>255</v>
      </c>
      <c r="J70">
        <v>26</v>
      </c>
      <c r="K70">
        <v>192</v>
      </c>
      <c r="L70">
        <v>542</v>
      </c>
      <c r="M70">
        <v>56</v>
      </c>
      <c r="N70">
        <f t="shared" si="2"/>
        <v>3476</v>
      </c>
      <c r="O70">
        <v>706</v>
      </c>
      <c r="P70">
        <v>35</v>
      </c>
      <c r="Q70">
        <v>1000</v>
      </c>
      <c r="R70">
        <v>39</v>
      </c>
      <c r="S70">
        <v>39</v>
      </c>
      <c r="T70">
        <v>0</v>
      </c>
      <c r="U70">
        <v>81</v>
      </c>
      <c r="V70">
        <v>149</v>
      </c>
      <c r="W70">
        <v>52</v>
      </c>
      <c r="X70">
        <v>37</v>
      </c>
      <c r="Y70">
        <v>0.249</v>
      </c>
      <c r="Z70">
        <v>0.32100000000000001</v>
      </c>
      <c r="AA70">
        <v>0.41199999999999998</v>
      </c>
    </row>
    <row r="71" spans="1:27" x14ac:dyDescent="0.2">
      <c r="A71" s="52">
        <v>2002</v>
      </c>
      <c r="B71" t="s">
        <v>57</v>
      </c>
      <c r="C71" t="s">
        <v>38</v>
      </c>
      <c r="D71">
        <v>162</v>
      </c>
      <c r="E71">
        <v>5512</v>
      </c>
      <c r="F71" s="1">
        <v>778</v>
      </c>
      <c r="G71">
        <v>1508</v>
      </c>
      <c r="H71">
        <f t="shared" si="3"/>
        <v>1032</v>
      </c>
      <c r="I71">
        <v>283</v>
      </c>
      <c r="J71">
        <v>41</v>
      </c>
      <c r="K71">
        <v>152</v>
      </c>
      <c r="L71">
        <v>497</v>
      </c>
      <c r="M71">
        <v>56</v>
      </c>
      <c r="N71">
        <f t="shared" si="2"/>
        <v>3451</v>
      </c>
      <c r="O71">
        <v>726</v>
      </c>
      <c r="P71">
        <v>40</v>
      </c>
      <c r="Q71">
        <v>1043</v>
      </c>
      <c r="R71">
        <v>49</v>
      </c>
      <c r="S71">
        <v>50</v>
      </c>
      <c r="T71">
        <v>1</v>
      </c>
      <c r="U71">
        <v>60</v>
      </c>
      <c r="V71">
        <v>133</v>
      </c>
      <c r="W71">
        <v>103</v>
      </c>
      <c r="X71">
        <v>53</v>
      </c>
      <c r="Y71">
        <v>0.27400000000000002</v>
      </c>
      <c r="Z71">
        <v>0.33700000000000002</v>
      </c>
      <c r="AA71">
        <v>0.42299999999999999</v>
      </c>
    </row>
    <row r="72" spans="1:27" x14ac:dyDescent="0.2">
      <c r="A72" s="52">
        <v>2002</v>
      </c>
      <c r="B72" t="s">
        <v>59</v>
      </c>
      <c r="C72" t="s">
        <v>163</v>
      </c>
      <c r="D72">
        <v>161</v>
      </c>
      <c r="E72">
        <v>5406</v>
      </c>
      <c r="F72" s="1">
        <v>575</v>
      </c>
      <c r="G72">
        <v>1340</v>
      </c>
      <c r="H72">
        <f t="shared" si="3"/>
        <v>914</v>
      </c>
      <c r="I72">
        <v>265</v>
      </c>
      <c r="J72">
        <v>37</v>
      </c>
      <c r="K72">
        <v>124</v>
      </c>
      <c r="L72">
        <v>363</v>
      </c>
      <c r="M72">
        <v>64</v>
      </c>
      <c r="N72">
        <f t="shared" si="2"/>
        <v>3639</v>
      </c>
      <c r="O72">
        <v>546</v>
      </c>
      <c r="P72">
        <v>22</v>
      </c>
      <c r="Q72">
        <v>1035</v>
      </c>
      <c r="R72">
        <v>30</v>
      </c>
      <c r="S72">
        <v>57</v>
      </c>
      <c r="T72">
        <v>0</v>
      </c>
      <c r="U72">
        <v>50</v>
      </c>
      <c r="V72">
        <v>125</v>
      </c>
      <c r="W72">
        <v>65</v>
      </c>
      <c r="X72">
        <v>44</v>
      </c>
      <c r="Y72">
        <v>0.248</v>
      </c>
      <c r="Z72">
        <v>0.3</v>
      </c>
      <c r="AA72">
        <v>0.379</v>
      </c>
    </row>
    <row r="73" spans="1:27" x14ac:dyDescent="0.2">
      <c r="A73" s="52">
        <v>2002</v>
      </c>
      <c r="B73" t="s">
        <v>160</v>
      </c>
      <c r="C73" t="s">
        <v>38</v>
      </c>
      <c r="D73">
        <v>162</v>
      </c>
      <c r="E73">
        <v>5496</v>
      </c>
      <c r="F73" s="1">
        <v>699</v>
      </c>
      <c r="G73">
        <v>1433</v>
      </c>
      <c r="H73">
        <f t="shared" si="3"/>
        <v>975</v>
      </c>
      <c r="I73">
        <v>280</v>
      </c>
      <c r="J73">
        <v>32</v>
      </c>
      <c r="K73">
        <v>146</v>
      </c>
      <c r="L73">
        <v>595</v>
      </c>
      <c r="M73">
        <v>61</v>
      </c>
      <c r="N73">
        <f t="shared" si="2"/>
        <v>3407</v>
      </c>
      <c r="O73">
        <v>653</v>
      </c>
      <c r="P73">
        <v>69</v>
      </c>
      <c r="Q73">
        <v>1130</v>
      </c>
      <c r="R73">
        <v>59</v>
      </c>
      <c r="S73">
        <v>49</v>
      </c>
      <c r="T73">
        <v>3</v>
      </c>
      <c r="U73">
        <v>60</v>
      </c>
      <c r="V73">
        <v>129</v>
      </c>
      <c r="W73">
        <v>177</v>
      </c>
      <c r="X73">
        <v>73</v>
      </c>
      <c r="Y73">
        <v>0.26100000000000001</v>
      </c>
      <c r="Z73">
        <v>0.33700000000000002</v>
      </c>
      <c r="AA73">
        <v>0.40300000000000002</v>
      </c>
    </row>
    <row r="74" spans="1:27" x14ac:dyDescent="0.2">
      <c r="A74" s="52">
        <v>2002</v>
      </c>
      <c r="B74" t="s">
        <v>63</v>
      </c>
      <c r="C74" t="s">
        <v>38</v>
      </c>
      <c r="D74">
        <v>162</v>
      </c>
      <c r="E74">
        <v>5503</v>
      </c>
      <c r="F74" s="1">
        <v>749</v>
      </c>
      <c r="G74">
        <v>1441</v>
      </c>
      <c r="H74">
        <f t="shared" si="3"/>
        <v>951</v>
      </c>
      <c r="I74">
        <v>291</v>
      </c>
      <c r="J74">
        <v>32</v>
      </c>
      <c r="K74">
        <v>167</v>
      </c>
      <c r="L74">
        <v>589</v>
      </c>
      <c r="M74">
        <v>59</v>
      </c>
      <c r="N74">
        <f t="shared" si="2"/>
        <v>3414</v>
      </c>
      <c r="O74">
        <v>719</v>
      </c>
      <c r="P74">
        <v>57</v>
      </c>
      <c r="Q74">
        <v>1120</v>
      </c>
      <c r="R74">
        <v>64</v>
      </c>
      <c r="S74">
        <v>37</v>
      </c>
      <c r="T74">
        <v>0</v>
      </c>
      <c r="U74">
        <v>66</v>
      </c>
      <c r="V74">
        <v>144</v>
      </c>
      <c r="W74">
        <v>71</v>
      </c>
      <c r="X74">
        <v>27</v>
      </c>
      <c r="Y74">
        <v>0.26200000000000001</v>
      </c>
      <c r="Z74">
        <v>0.33800000000000002</v>
      </c>
      <c r="AA74">
        <v>0.41699999999999998</v>
      </c>
    </row>
    <row r="75" spans="1:27" x14ac:dyDescent="0.2">
      <c r="A75" s="52">
        <v>2002</v>
      </c>
      <c r="B75" t="s">
        <v>164</v>
      </c>
      <c r="C75" t="s">
        <v>163</v>
      </c>
      <c r="D75">
        <v>162</v>
      </c>
      <c r="E75">
        <v>5535</v>
      </c>
      <c r="F75" s="1">
        <v>737</v>
      </c>
      <c r="G75">
        <v>1415</v>
      </c>
      <c r="H75">
        <f t="shared" si="3"/>
        <v>948</v>
      </c>
      <c r="I75">
        <v>285</v>
      </c>
      <c r="J75">
        <v>42</v>
      </c>
      <c r="K75">
        <v>140</v>
      </c>
      <c r="L75">
        <v>524</v>
      </c>
      <c r="M75">
        <v>52</v>
      </c>
      <c r="N75">
        <f t="shared" si="2"/>
        <v>3544</v>
      </c>
      <c r="O75">
        <v>695</v>
      </c>
      <c r="P75">
        <v>27</v>
      </c>
      <c r="Q75">
        <v>921</v>
      </c>
      <c r="R75">
        <v>44</v>
      </c>
      <c r="S75">
        <v>51</v>
      </c>
      <c r="T75">
        <v>0</v>
      </c>
      <c r="U75">
        <v>73</v>
      </c>
      <c r="V75">
        <v>106</v>
      </c>
      <c r="W75">
        <v>140</v>
      </c>
      <c r="X75">
        <v>65</v>
      </c>
      <c r="Y75">
        <v>0.25600000000000001</v>
      </c>
      <c r="Z75">
        <v>0.32300000000000001</v>
      </c>
      <c r="AA75">
        <v>0.39800000000000002</v>
      </c>
    </row>
    <row r="76" spans="1:27" x14ac:dyDescent="0.2">
      <c r="A76" s="52">
        <v>2002</v>
      </c>
      <c r="B76" t="s">
        <v>159</v>
      </c>
      <c r="C76" t="s">
        <v>38</v>
      </c>
      <c r="D76">
        <v>162</v>
      </c>
      <c r="E76">
        <v>5554</v>
      </c>
      <c r="F76" s="1">
        <v>713</v>
      </c>
      <c r="G76">
        <v>1464</v>
      </c>
      <c r="H76">
        <f t="shared" si="3"/>
        <v>994</v>
      </c>
      <c r="I76">
        <v>286</v>
      </c>
      <c r="J76">
        <v>29</v>
      </c>
      <c r="K76">
        <v>155</v>
      </c>
      <c r="L76">
        <v>428</v>
      </c>
      <c r="M76">
        <v>53</v>
      </c>
      <c r="N76">
        <f t="shared" si="2"/>
        <v>3609</v>
      </c>
      <c r="O76">
        <v>693</v>
      </c>
      <c r="P76">
        <v>50</v>
      </c>
      <c r="Q76">
        <v>940</v>
      </c>
      <c r="R76">
        <v>67</v>
      </c>
      <c r="S76">
        <v>44</v>
      </c>
      <c r="T76">
        <v>0</v>
      </c>
      <c r="U76">
        <v>88</v>
      </c>
      <c r="V76">
        <v>140</v>
      </c>
      <c r="W76">
        <v>96</v>
      </c>
      <c r="X76">
        <v>37</v>
      </c>
      <c r="Y76">
        <v>0.26400000000000001</v>
      </c>
      <c r="Z76">
        <v>0.32</v>
      </c>
      <c r="AA76">
        <v>0.40899999999999997</v>
      </c>
    </row>
    <row r="77" spans="1:27" x14ac:dyDescent="0.2">
      <c r="A77" s="52">
        <v>2002</v>
      </c>
      <c r="B77" t="s">
        <v>69</v>
      </c>
      <c r="C77" t="s">
        <v>38</v>
      </c>
      <c r="D77">
        <v>162</v>
      </c>
      <c r="E77">
        <v>5415</v>
      </c>
      <c r="F77" s="1">
        <v>627</v>
      </c>
      <c r="G77">
        <v>1369</v>
      </c>
      <c r="H77">
        <f t="shared" si="3"/>
        <v>932</v>
      </c>
      <c r="I77">
        <v>269</v>
      </c>
      <c r="J77">
        <v>29</v>
      </c>
      <c r="K77">
        <v>139</v>
      </c>
      <c r="L77">
        <v>500</v>
      </c>
      <c r="M77">
        <v>55</v>
      </c>
      <c r="N77">
        <f t="shared" si="2"/>
        <v>3491</v>
      </c>
      <c r="O77">
        <v>597</v>
      </c>
      <c r="P77">
        <v>37</v>
      </c>
      <c r="Q77">
        <v>1125</v>
      </c>
      <c r="R77">
        <v>79</v>
      </c>
      <c r="S77">
        <v>34</v>
      </c>
      <c r="T77">
        <v>0</v>
      </c>
      <c r="U77">
        <v>58</v>
      </c>
      <c r="V77">
        <v>144</v>
      </c>
      <c r="W77">
        <v>94</v>
      </c>
      <c r="X77">
        <v>50</v>
      </c>
      <c r="Y77">
        <v>0.253</v>
      </c>
      <c r="Z77">
        <v>0.32</v>
      </c>
      <c r="AA77">
        <v>0.39</v>
      </c>
    </row>
    <row r="78" spans="1:27" x14ac:dyDescent="0.2">
      <c r="A78" s="52">
        <v>2002</v>
      </c>
      <c r="B78" t="s">
        <v>71</v>
      </c>
      <c r="C78" t="s">
        <v>163</v>
      </c>
      <c r="D78">
        <v>161</v>
      </c>
      <c r="E78">
        <v>5582</v>
      </c>
      <c r="F78" s="1">
        <v>768</v>
      </c>
      <c r="G78">
        <v>1518</v>
      </c>
      <c r="H78">
        <f t="shared" si="3"/>
        <v>967</v>
      </c>
      <c r="I78">
        <v>348</v>
      </c>
      <c r="J78">
        <v>36</v>
      </c>
      <c r="K78">
        <v>167</v>
      </c>
      <c r="L78">
        <v>472</v>
      </c>
      <c r="M78">
        <v>56</v>
      </c>
      <c r="N78">
        <f t="shared" si="2"/>
        <v>3536</v>
      </c>
      <c r="O78">
        <v>731</v>
      </c>
      <c r="P78">
        <v>30</v>
      </c>
      <c r="Q78">
        <v>1089</v>
      </c>
      <c r="R78">
        <v>34</v>
      </c>
      <c r="S78">
        <v>52</v>
      </c>
      <c r="T78">
        <v>0</v>
      </c>
      <c r="U78">
        <v>72</v>
      </c>
      <c r="V78">
        <v>121</v>
      </c>
      <c r="W78">
        <v>79</v>
      </c>
      <c r="X78">
        <v>62</v>
      </c>
      <c r="Y78">
        <v>0.27200000000000002</v>
      </c>
      <c r="Z78">
        <v>0.33200000000000002</v>
      </c>
      <c r="AA78">
        <v>0.437</v>
      </c>
    </row>
    <row r="79" spans="1:27" x14ac:dyDescent="0.2">
      <c r="A79" s="52">
        <v>2002</v>
      </c>
      <c r="B79" t="s">
        <v>73</v>
      </c>
      <c r="C79" t="s">
        <v>38</v>
      </c>
      <c r="D79">
        <v>162</v>
      </c>
      <c r="E79">
        <v>5479</v>
      </c>
      <c r="F79" s="1">
        <v>735</v>
      </c>
      <c r="G79">
        <v>1432</v>
      </c>
      <c r="H79">
        <f t="shared" si="3"/>
        <v>934</v>
      </c>
      <c r="I79">
        <v>300</v>
      </c>
      <c r="J79">
        <v>36</v>
      </c>
      <c r="K79">
        <v>162</v>
      </c>
      <c r="L79">
        <v>575</v>
      </c>
      <c r="M79">
        <v>46</v>
      </c>
      <c r="N79">
        <f t="shared" si="2"/>
        <v>3426</v>
      </c>
      <c r="O79">
        <v>695</v>
      </c>
      <c r="P79">
        <v>85</v>
      </c>
      <c r="Q79">
        <v>1104</v>
      </c>
      <c r="R79">
        <v>108</v>
      </c>
      <c r="S79">
        <v>42</v>
      </c>
      <c r="T79">
        <v>0</v>
      </c>
      <c r="U79">
        <v>81</v>
      </c>
      <c r="V79">
        <v>123</v>
      </c>
      <c r="W79">
        <v>118</v>
      </c>
      <c r="X79">
        <v>64</v>
      </c>
      <c r="Y79">
        <v>0.26100000000000001</v>
      </c>
      <c r="Z79">
        <v>0.33400000000000002</v>
      </c>
      <c r="AA79">
        <v>0.41799999999999998</v>
      </c>
    </row>
    <row r="80" spans="1:27" x14ac:dyDescent="0.2">
      <c r="A80" s="52">
        <v>2002</v>
      </c>
      <c r="B80" t="s">
        <v>158</v>
      </c>
      <c r="C80" t="s">
        <v>38</v>
      </c>
      <c r="D80">
        <v>161</v>
      </c>
      <c r="E80">
        <v>5496</v>
      </c>
      <c r="F80" s="1">
        <v>690</v>
      </c>
      <c r="G80">
        <v>1409</v>
      </c>
      <c r="H80">
        <f t="shared" si="3"/>
        <v>989</v>
      </c>
      <c r="I80">
        <v>238</v>
      </c>
      <c r="J80">
        <v>22</v>
      </c>
      <c r="K80">
        <v>160</v>
      </c>
      <c r="L80">
        <v>486</v>
      </c>
      <c r="M80">
        <v>63</v>
      </c>
      <c r="N80">
        <f t="shared" si="2"/>
        <v>3538</v>
      </c>
      <c r="O80">
        <v>650</v>
      </c>
      <c r="P80">
        <v>46</v>
      </c>
      <c r="Q80">
        <v>1044</v>
      </c>
      <c r="R80">
        <v>75</v>
      </c>
      <c r="S80">
        <v>30</v>
      </c>
      <c r="T80">
        <v>0</v>
      </c>
      <c r="U80">
        <v>83</v>
      </c>
      <c r="V80">
        <v>142</v>
      </c>
      <c r="W80">
        <v>87</v>
      </c>
      <c r="X80">
        <v>42</v>
      </c>
      <c r="Y80">
        <v>0.25600000000000001</v>
      </c>
      <c r="Z80">
        <v>0.32200000000000001</v>
      </c>
      <c r="AA80">
        <v>0.39500000000000002</v>
      </c>
    </row>
    <row r="81" spans="1:27" x14ac:dyDescent="0.2">
      <c r="A81" s="52">
        <v>2002</v>
      </c>
      <c r="B81" t="s">
        <v>158</v>
      </c>
      <c r="C81" t="s">
        <v>163</v>
      </c>
      <c r="D81">
        <v>161</v>
      </c>
      <c r="E81">
        <v>5601</v>
      </c>
      <c r="F81" s="1">
        <v>897</v>
      </c>
      <c r="G81">
        <v>1540</v>
      </c>
      <c r="H81">
        <f t="shared" si="3"/>
        <v>991</v>
      </c>
      <c r="I81">
        <v>314</v>
      </c>
      <c r="J81">
        <v>12</v>
      </c>
      <c r="K81">
        <v>223</v>
      </c>
      <c r="L81">
        <v>640</v>
      </c>
      <c r="M81">
        <v>72</v>
      </c>
      <c r="N81">
        <f t="shared" si="2"/>
        <v>3349</v>
      </c>
      <c r="O81">
        <v>857</v>
      </c>
      <c r="P81">
        <v>48</v>
      </c>
      <c r="Q81">
        <v>1171</v>
      </c>
      <c r="R81">
        <v>23</v>
      </c>
      <c r="S81">
        <v>41</v>
      </c>
      <c r="T81">
        <v>0</v>
      </c>
      <c r="U81">
        <v>66</v>
      </c>
      <c r="V81">
        <v>150</v>
      </c>
      <c r="W81">
        <v>100</v>
      </c>
      <c r="X81">
        <v>38</v>
      </c>
      <c r="Y81">
        <v>0.27500000000000002</v>
      </c>
      <c r="Z81">
        <v>0.35399999999999998</v>
      </c>
      <c r="AA81">
        <v>0.45500000000000002</v>
      </c>
    </row>
    <row r="82" spans="1:27" x14ac:dyDescent="0.2">
      <c r="A82" s="52">
        <v>2002</v>
      </c>
      <c r="B82" t="s">
        <v>79</v>
      </c>
      <c r="C82" t="s">
        <v>163</v>
      </c>
      <c r="D82">
        <v>162</v>
      </c>
      <c r="E82">
        <v>5558</v>
      </c>
      <c r="F82" s="1">
        <v>800</v>
      </c>
      <c r="G82">
        <v>1450</v>
      </c>
      <c r="H82">
        <f t="shared" si="3"/>
        <v>938</v>
      </c>
      <c r="I82">
        <v>279</v>
      </c>
      <c r="J82">
        <v>28</v>
      </c>
      <c r="K82">
        <v>205</v>
      </c>
      <c r="L82">
        <v>609</v>
      </c>
      <c r="M82">
        <v>68</v>
      </c>
      <c r="N82">
        <f t="shared" si="2"/>
        <v>3431</v>
      </c>
      <c r="O82">
        <v>772</v>
      </c>
      <c r="P82">
        <v>37</v>
      </c>
      <c r="Q82">
        <v>1008</v>
      </c>
      <c r="R82">
        <v>20</v>
      </c>
      <c r="S82">
        <v>36</v>
      </c>
      <c r="T82">
        <v>0</v>
      </c>
      <c r="U82">
        <v>55</v>
      </c>
      <c r="V82">
        <v>128</v>
      </c>
      <c r="W82">
        <v>46</v>
      </c>
      <c r="X82">
        <v>20</v>
      </c>
      <c r="Y82">
        <v>0.26100000000000001</v>
      </c>
      <c r="Z82">
        <v>0.33900000000000002</v>
      </c>
      <c r="AA82">
        <v>0.432</v>
      </c>
    </row>
    <row r="83" spans="1:27" x14ac:dyDescent="0.2">
      <c r="A83" s="52">
        <v>2002</v>
      </c>
      <c r="B83" t="s">
        <v>81</v>
      </c>
      <c r="C83" t="s">
        <v>38</v>
      </c>
      <c r="D83">
        <v>161</v>
      </c>
      <c r="E83">
        <v>5523</v>
      </c>
      <c r="F83" s="1">
        <v>710</v>
      </c>
      <c r="G83">
        <v>1428</v>
      </c>
      <c r="H83">
        <f t="shared" si="3"/>
        <v>897</v>
      </c>
      <c r="I83">
        <v>325</v>
      </c>
      <c r="J83">
        <v>41</v>
      </c>
      <c r="K83">
        <v>165</v>
      </c>
      <c r="L83">
        <v>640</v>
      </c>
      <c r="M83">
        <v>53</v>
      </c>
      <c r="N83">
        <f t="shared" si="2"/>
        <v>3402</v>
      </c>
      <c r="O83">
        <v>676</v>
      </c>
      <c r="P83">
        <v>70</v>
      </c>
      <c r="Q83">
        <v>1095</v>
      </c>
      <c r="R83">
        <v>67</v>
      </c>
      <c r="S83">
        <v>39</v>
      </c>
      <c r="T83">
        <v>1</v>
      </c>
      <c r="U83">
        <v>73</v>
      </c>
      <c r="V83">
        <v>129</v>
      </c>
      <c r="W83">
        <v>104</v>
      </c>
      <c r="X83">
        <v>43</v>
      </c>
      <c r="Y83">
        <v>0.25900000000000001</v>
      </c>
      <c r="Z83">
        <v>0.33900000000000002</v>
      </c>
      <c r="AA83">
        <v>0.42199999999999999</v>
      </c>
    </row>
    <row r="84" spans="1:27" x14ac:dyDescent="0.2">
      <c r="A84" s="52">
        <v>2002</v>
      </c>
      <c r="B84" t="s">
        <v>83</v>
      </c>
      <c r="C84" t="s">
        <v>38</v>
      </c>
      <c r="D84">
        <v>161</v>
      </c>
      <c r="E84">
        <v>5330</v>
      </c>
      <c r="F84" s="1">
        <v>641</v>
      </c>
      <c r="G84">
        <v>1300</v>
      </c>
      <c r="H84">
        <f t="shared" si="3"/>
        <v>875</v>
      </c>
      <c r="I84">
        <v>263</v>
      </c>
      <c r="J84">
        <v>20</v>
      </c>
      <c r="K84">
        <v>142</v>
      </c>
      <c r="L84">
        <v>537</v>
      </c>
      <c r="M84">
        <v>73</v>
      </c>
      <c r="N84">
        <f t="shared" si="2"/>
        <v>3420</v>
      </c>
      <c r="O84">
        <v>610</v>
      </c>
      <c r="P84">
        <v>44</v>
      </c>
      <c r="Q84">
        <v>1109</v>
      </c>
      <c r="R84">
        <v>68</v>
      </c>
      <c r="S84">
        <v>41</v>
      </c>
      <c r="T84">
        <v>0</v>
      </c>
      <c r="U84">
        <v>63</v>
      </c>
      <c r="V84">
        <v>97</v>
      </c>
      <c r="W84">
        <v>86</v>
      </c>
      <c r="X84">
        <v>49</v>
      </c>
      <c r="Y84">
        <v>0.24399999999999999</v>
      </c>
      <c r="Z84">
        <v>0.31900000000000001</v>
      </c>
      <c r="AA84">
        <v>0.38100000000000001</v>
      </c>
    </row>
    <row r="85" spans="1:27" x14ac:dyDescent="0.2">
      <c r="A85" s="52">
        <v>2002</v>
      </c>
      <c r="B85" t="s">
        <v>161</v>
      </c>
      <c r="C85" t="s">
        <v>38</v>
      </c>
      <c r="D85">
        <v>162</v>
      </c>
      <c r="E85">
        <v>5515</v>
      </c>
      <c r="F85" s="1">
        <v>662</v>
      </c>
      <c r="G85">
        <v>1393</v>
      </c>
      <c r="H85">
        <f t="shared" si="3"/>
        <v>985</v>
      </c>
      <c r="I85">
        <v>243</v>
      </c>
      <c r="J85">
        <v>29</v>
      </c>
      <c r="K85">
        <v>136</v>
      </c>
      <c r="L85">
        <v>547</v>
      </c>
      <c r="M85">
        <v>30</v>
      </c>
      <c r="N85">
        <f t="shared" si="2"/>
        <v>3545</v>
      </c>
      <c r="O85">
        <v>627</v>
      </c>
      <c r="P85">
        <v>42</v>
      </c>
      <c r="Q85">
        <v>1062</v>
      </c>
      <c r="R85">
        <v>45</v>
      </c>
      <c r="S85">
        <v>41</v>
      </c>
      <c r="T85">
        <v>0</v>
      </c>
      <c r="U85">
        <v>79</v>
      </c>
      <c r="V85">
        <v>132</v>
      </c>
      <c r="W85">
        <v>71</v>
      </c>
      <c r="X85">
        <v>44</v>
      </c>
      <c r="Y85">
        <v>0.253</v>
      </c>
      <c r="Z85">
        <v>0.32100000000000001</v>
      </c>
      <c r="AA85">
        <v>0.38100000000000001</v>
      </c>
    </row>
    <row r="86" spans="1:27" x14ac:dyDescent="0.2">
      <c r="A86" s="52">
        <v>2002</v>
      </c>
      <c r="B86" t="s">
        <v>87</v>
      </c>
      <c r="C86" t="s">
        <v>163</v>
      </c>
      <c r="D86">
        <v>162</v>
      </c>
      <c r="E86">
        <v>5569</v>
      </c>
      <c r="F86" s="1">
        <v>814</v>
      </c>
      <c r="G86">
        <v>1531</v>
      </c>
      <c r="H86">
        <f t="shared" si="3"/>
        <v>1063</v>
      </c>
      <c r="I86">
        <v>285</v>
      </c>
      <c r="J86">
        <v>31</v>
      </c>
      <c r="K86">
        <v>152</v>
      </c>
      <c r="L86">
        <v>629</v>
      </c>
      <c r="M86">
        <v>51</v>
      </c>
      <c r="N86">
        <f t="shared" si="2"/>
        <v>3358</v>
      </c>
      <c r="O86">
        <v>771</v>
      </c>
      <c r="P86">
        <v>62</v>
      </c>
      <c r="Q86">
        <v>1003</v>
      </c>
      <c r="R86">
        <v>41</v>
      </c>
      <c r="S86">
        <v>72</v>
      </c>
      <c r="T86">
        <v>0</v>
      </c>
      <c r="U86">
        <v>78</v>
      </c>
      <c r="V86">
        <v>123</v>
      </c>
      <c r="W86">
        <v>137</v>
      </c>
      <c r="X86">
        <v>58</v>
      </c>
      <c r="Y86">
        <v>0.27500000000000002</v>
      </c>
      <c r="Z86">
        <v>0.35</v>
      </c>
      <c r="AA86">
        <v>0.41899999999999998</v>
      </c>
    </row>
    <row r="87" spans="1:27" x14ac:dyDescent="0.2">
      <c r="A87" s="52">
        <v>2002</v>
      </c>
      <c r="B87" t="s">
        <v>21</v>
      </c>
      <c r="C87" t="s">
        <v>38</v>
      </c>
      <c r="D87">
        <v>162</v>
      </c>
      <c r="E87">
        <v>5497</v>
      </c>
      <c r="F87" s="1">
        <v>783</v>
      </c>
      <c r="G87">
        <v>1465</v>
      </c>
      <c r="H87">
        <f t="shared" si="3"/>
        <v>932</v>
      </c>
      <c r="I87">
        <v>300</v>
      </c>
      <c r="J87">
        <v>35</v>
      </c>
      <c r="K87">
        <v>198</v>
      </c>
      <c r="L87">
        <v>616</v>
      </c>
      <c r="M87">
        <v>65</v>
      </c>
      <c r="N87">
        <f t="shared" si="2"/>
        <v>3351</v>
      </c>
      <c r="O87">
        <v>751</v>
      </c>
      <c r="P87">
        <v>103</v>
      </c>
      <c r="Q87">
        <v>961</v>
      </c>
      <c r="R87">
        <v>68</v>
      </c>
      <c r="S87">
        <v>52</v>
      </c>
      <c r="T87">
        <v>0</v>
      </c>
      <c r="U87">
        <v>86</v>
      </c>
      <c r="V87">
        <v>136</v>
      </c>
      <c r="W87">
        <v>74</v>
      </c>
      <c r="X87">
        <v>21</v>
      </c>
      <c r="Y87">
        <v>0.26700000000000002</v>
      </c>
      <c r="Z87">
        <v>0.34399999999999997</v>
      </c>
      <c r="AA87">
        <v>0.442</v>
      </c>
    </row>
    <row r="88" spans="1:27" x14ac:dyDescent="0.2">
      <c r="A88" s="52">
        <v>2002</v>
      </c>
      <c r="B88" t="s">
        <v>156</v>
      </c>
      <c r="C88" t="s">
        <v>38</v>
      </c>
      <c r="D88">
        <v>162</v>
      </c>
      <c r="E88">
        <v>5505</v>
      </c>
      <c r="F88" s="1">
        <v>787</v>
      </c>
      <c r="G88">
        <v>1475</v>
      </c>
      <c r="H88">
        <f t="shared" si="3"/>
        <v>989</v>
      </c>
      <c r="I88">
        <v>285</v>
      </c>
      <c r="J88">
        <v>26</v>
      </c>
      <c r="K88">
        <v>175</v>
      </c>
      <c r="L88">
        <v>542</v>
      </c>
      <c r="M88">
        <v>67</v>
      </c>
      <c r="N88">
        <f t="shared" si="2"/>
        <v>3421</v>
      </c>
      <c r="O88">
        <v>758</v>
      </c>
      <c r="P88">
        <v>77</v>
      </c>
      <c r="Q88">
        <v>927</v>
      </c>
      <c r="R88">
        <v>83</v>
      </c>
      <c r="S88">
        <v>49</v>
      </c>
      <c r="T88">
        <v>0</v>
      </c>
      <c r="U88">
        <v>80</v>
      </c>
      <c r="V88">
        <v>123</v>
      </c>
      <c r="W88">
        <v>86</v>
      </c>
      <c r="X88">
        <v>42</v>
      </c>
      <c r="Y88">
        <v>0.26800000000000002</v>
      </c>
      <c r="Z88">
        <v>0.33800000000000002</v>
      </c>
      <c r="AA88">
        <v>0.42499999999999999</v>
      </c>
    </row>
    <row r="89" spans="1:27" x14ac:dyDescent="0.2">
      <c r="A89" s="52">
        <v>2002</v>
      </c>
      <c r="B89" t="s">
        <v>165</v>
      </c>
      <c r="C89" t="s">
        <v>163</v>
      </c>
      <c r="D89">
        <v>161</v>
      </c>
      <c r="E89">
        <v>5604</v>
      </c>
      <c r="F89" s="1">
        <v>673</v>
      </c>
      <c r="G89">
        <v>1418</v>
      </c>
      <c r="H89">
        <f t="shared" si="3"/>
        <v>953</v>
      </c>
      <c r="I89">
        <v>297</v>
      </c>
      <c r="J89">
        <v>35</v>
      </c>
      <c r="K89">
        <v>133</v>
      </c>
      <c r="L89">
        <v>456</v>
      </c>
      <c r="M89">
        <v>58</v>
      </c>
      <c r="N89">
        <f t="shared" si="2"/>
        <v>3672</v>
      </c>
      <c r="O89">
        <v>640</v>
      </c>
      <c r="P89">
        <v>29</v>
      </c>
      <c r="Q89">
        <v>1115</v>
      </c>
      <c r="R89">
        <v>44</v>
      </c>
      <c r="S89">
        <v>36</v>
      </c>
      <c r="T89">
        <v>0</v>
      </c>
      <c r="U89">
        <v>76</v>
      </c>
      <c r="V89">
        <v>116</v>
      </c>
      <c r="W89">
        <v>102</v>
      </c>
      <c r="X89">
        <v>45</v>
      </c>
      <c r="Y89">
        <v>0.253</v>
      </c>
      <c r="Z89">
        <v>0.314</v>
      </c>
      <c r="AA89">
        <v>0.39</v>
      </c>
    </row>
    <row r="90" spans="1:27" x14ac:dyDescent="0.2">
      <c r="A90" s="52">
        <v>2002</v>
      </c>
      <c r="B90" t="s">
        <v>95</v>
      </c>
      <c r="C90" t="s">
        <v>163</v>
      </c>
      <c r="D90">
        <v>162</v>
      </c>
      <c r="E90">
        <v>5618</v>
      </c>
      <c r="F90" s="1">
        <v>843</v>
      </c>
      <c r="G90">
        <v>1510</v>
      </c>
      <c r="H90">
        <f t="shared" si="3"/>
        <v>949</v>
      </c>
      <c r="I90">
        <v>304</v>
      </c>
      <c r="J90">
        <v>27</v>
      </c>
      <c r="K90">
        <v>230</v>
      </c>
      <c r="L90">
        <v>554</v>
      </c>
      <c r="M90">
        <v>62</v>
      </c>
      <c r="N90">
        <f t="shared" si="2"/>
        <v>3492</v>
      </c>
      <c r="O90">
        <v>806</v>
      </c>
      <c r="P90">
        <v>45</v>
      </c>
      <c r="Q90">
        <v>1055</v>
      </c>
      <c r="R90">
        <v>48</v>
      </c>
      <c r="S90">
        <v>50</v>
      </c>
      <c r="T90">
        <v>0</v>
      </c>
      <c r="U90">
        <v>70</v>
      </c>
      <c r="V90">
        <v>129</v>
      </c>
      <c r="W90">
        <v>62</v>
      </c>
      <c r="X90">
        <v>34</v>
      </c>
      <c r="Y90">
        <v>0.26900000000000002</v>
      </c>
      <c r="Z90">
        <v>0.33800000000000002</v>
      </c>
      <c r="AA90">
        <v>0.45500000000000002</v>
      </c>
    </row>
    <row r="91" spans="1:27" x14ac:dyDescent="0.2">
      <c r="A91" s="52">
        <v>2002</v>
      </c>
      <c r="B91" t="s">
        <v>97</v>
      </c>
      <c r="C91" t="s">
        <v>163</v>
      </c>
      <c r="D91">
        <v>162</v>
      </c>
      <c r="E91">
        <v>5581</v>
      </c>
      <c r="F91" s="1">
        <v>813</v>
      </c>
      <c r="G91">
        <v>1457</v>
      </c>
      <c r="H91">
        <f t="shared" si="3"/>
        <v>927</v>
      </c>
      <c r="I91">
        <v>305</v>
      </c>
      <c r="J91">
        <v>38</v>
      </c>
      <c r="K91">
        <v>187</v>
      </c>
      <c r="L91">
        <v>522</v>
      </c>
      <c r="M91">
        <v>53</v>
      </c>
      <c r="N91">
        <f t="shared" si="2"/>
        <v>3549</v>
      </c>
      <c r="O91">
        <v>771</v>
      </c>
      <c r="P91">
        <v>30</v>
      </c>
      <c r="Q91">
        <v>1142</v>
      </c>
      <c r="R91">
        <v>17</v>
      </c>
      <c r="S91">
        <v>57</v>
      </c>
      <c r="T91">
        <v>0</v>
      </c>
      <c r="U91">
        <v>73</v>
      </c>
      <c r="V91">
        <v>130</v>
      </c>
      <c r="W91">
        <v>71</v>
      </c>
      <c r="X91">
        <v>18</v>
      </c>
      <c r="Y91">
        <v>0.26100000000000001</v>
      </c>
      <c r="Z91">
        <v>0.32700000000000001</v>
      </c>
      <c r="AA91">
        <v>0.43</v>
      </c>
    </row>
    <row r="92" spans="1:27" x14ac:dyDescent="0.2">
      <c r="A92" s="52">
        <v>2003</v>
      </c>
      <c r="B92" t="s">
        <v>37</v>
      </c>
      <c r="C92" t="s">
        <v>163</v>
      </c>
      <c r="D92">
        <v>162</v>
      </c>
      <c r="E92">
        <v>5487</v>
      </c>
      <c r="F92" s="1">
        <v>736</v>
      </c>
      <c r="G92">
        <v>1473</v>
      </c>
      <c r="H92">
        <f t="shared" si="3"/>
        <v>1014</v>
      </c>
      <c r="I92">
        <v>276</v>
      </c>
      <c r="J92">
        <v>33</v>
      </c>
      <c r="K92">
        <v>150</v>
      </c>
      <c r="L92">
        <v>476</v>
      </c>
      <c r="M92">
        <v>56</v>
      </c>
      <c r="N92">
        <f t="shared" si="2"/>
        <v>3482</v>
      </c>
      <c r="O92">
        <v>687</v>
      </c>
      <c r="P92">
        <v>42</v>
      </c>
      <c r="Q92">
        <v>838</v>
      </c>
      <c r="R92">
        <v>50</v>
      </c>
      <c r="S92">
        <v>50</v>
      </c>
      <c r="T92">
        <v>0</v>
      </c>
      <c r="U92">
        <v>49</v>
      </c>
      <c r="V92">
        <v>125</v>
      </c>
      <c r="W92">
        <v>129</v>
      </c>
      <c r="X92">
        <v>61</v>
      </c>
      <c r="Y92">
        <v>0.26800000000000002</v>
      </c>
      <c r="Z92">
        <v>0.33</v>
      </c>
      <c r="AA92">
        <v>0.41299999999999998</v>
      </c>
    </row>
    <row r="93" spans="1:27" x14ac:dyDescent="0.2">
      <c r="A93" s="52">
        <v>2003</v>
      </c>
      <c r="B93" t="s">
        <v>40</v>
      </c>
      <c r="C93" t="s">
        <v>38</v>
      </c>
      <c r="D93">
        <v>162</v>
      </c>
      <c r="E93">
        <v>5570</v>
      </c>
      <c r="F93" s="1">
        <v>717</v>
      </c>
      <c r="G93">
        <v>1467</v>
      </c>
      <c r="H93">
        <f t="shared" si="3"/>
        <v>965</v>
      </c>
      <c r="I93">
        <v>303</v>
      </c>
      <c r="J93">
        <v>47</v>
      </c>
      <c r="K93">
        <v>152</v>
      </c>
      <c r="L93">
        <v>531</v>
      </c>
      <c r="M93">
        <v>45</v>
      </c>
      <c r="N93">
        <f t="shared" si="2"/>
        <v>3527</v>
      </c>
      <c r="O93">
        <v>696</v>
      </c>
      <c r="P93">
        <v>63</v>
      </c>
      <c r="Q93">
        <v>1006</v>
      </c>
      <c r="R93">
        <v>63</v>
      </c>
      <c r="S93">
        <v>52</v>
      </c>
      <c r="T93">
        <v>0</v>
      </c>
      <c r="U93">
        <v>65</v>
      </c>
      <c r="V93">
        <v>126</v>
      </c>
      <c r="W93">
        <v>76</v>
      </c>
      <c r="X93">
        <v>38</v>
      </c>
      <c r="Y93">
        <v>0.26300000000000001</v>
      </c>
      <c r="Z93">
        <v>0.33</v>
      </c>
      <c r="AA93">
        <v>0.41699999999999998</v>
      </c>
    </row>
    <row r="94" spans="1:27" x14ac:dyDescent="0.2">
      <c r="A94" s="52">
        <v>2003</v>
      </c>
      <c r="B94" t="s">
        <v>42</v>
      </c>
      <c r="C94" t="s">
        <v>38</v>
      </c>
      <c r="D94">
        <v>162</v>
      </c>
      <c r="E94">
        <v>5670</v>
      </c>
      <c r="F94" s="1">
        <v>907</v>
      </c>
      <c r="G94">
        <v>1608</v>
      </c>
      <c r="H94">
        <f t="shared" si="3"/>
        <v>1021</v>
      </c>
      <c r="I94">
        <v>321</v>
      </c>
      <c r="J94">
        <v>31</v>
      </c>
      <c r="K94">
        <v>235</v>
      </c>
      <c r="L94">
        <v>545</v>
      </c>
      <c r="M94">
        <v>49</v>
      </c>
      <c r="N94">
        <f t="shared" si="2"/>
        <v>3468</v>
      </c>
      <c r="O94">
        <v>872</v>
      </c>
      <c r="P94">
        <v>46</v>
      </c>
      <c r="Q94">
        <v>933</v>
      </c>
      <c r="R94">
        <v>65</v>
      </c>
      <c r="S94">
        <v>49</v>
      </c>
      <c r="T94">
        <v>0</v>
      </c>
      <c r="U94">
        <v>73</v>
      </c>
      <c r="V94">
        <v>124</v>
      </c>
      <c r="W94">
        <v>68</v>
      </c>
      <c r="X94">
        <v>22</v>
      </c>
      <c r="Y94">
        <v>0.28399999999999997</v>
      </c>
      <c r="Z94">
        <v>0.34899999999999998</v>
      </c>
      <c r="AA94">
        <v>0.47499999999999998</v>
      </c>
    </row>
    <row r="95" spans="1:27" x14ac:dyDescent="0.2">
      <c r="A95" s="52">
        <v>2003</v>
      </c>
      <c r="B95" t="s">
        <v>45</v>
      </c>
      <c r="C95" t="s">
        <v>163</v>
      </c>
      <c r="D95">
        <v>163</v>
      </c>
      <c r="E95">
        <v>5665</v>
      </c>
      <c r="F95" s="1">
        <v>743</v>
      </c>
      <c r="G95">
        <v>1516</v>
      </c>
      <c r="H95">
        <f t="shared" si="3"/>
        <v>1063</v>
      </c>
      <c r="I95">
        <v>277</v>
      </c>
      <c r="J95">
        <v>24</v>
      </c>
      <c r="K95">
        <v>152</v>
      </c>
      <c r="L95">
        <v>431</v>
      </c>
      <c r="M95">
        <v>54</v>
      </c>
      <c r="N95">
        <f t="shared" si="2"/>
        <v>3664</v>
      </c>
      <c r="O95">
        <v>695</v>
      </c>
      <c r="P95">
        <v>32</v>
      </c>
      <c r="Q95">
        <v>902</v>
      </c>
      <c r="R95">
        <v>51</v>
      </c>
      <c r="S95">
        <v>40</v>
      </c>
      <c r="T95">
        <v>0</v>
      </c>
      <c r="U95">
        <v>73</v>
      </c>
      <c r="V95">
        <v>123</v>
      </c>
      <c r="W95">
        <v>89</v>
      </c>
      <c r="X95">
        <v>36</v>
      </c>
      <c r="Y95">
        <v>0.26800000000000002</v>
      </c>
      <c r="Z95">
        <v>0.32300000000000001</v>
      </c>
      <c r="AA95">
        <v>0.40500000000000003</v>
      </c>
    </row>
    <row r="96" spans="1:27" x14ac:dyDescent="0.2">
      <c r="A96" s="52">
        <v>2003</v>
      </c>
      <c r="B96" t="s">
        <v>47</v>
      </c>
      <c r="C96" t="s">
        <v>163</v>
      </c>
      <c r="D96">
        <v>162</v>
      </c>
      <c r="E96">
        <v>5769</v>
      </c>
      <c r="F96" s="1">
        <v>961</v>
      </c>
      <c r="G96">
        <v>1667</v>
      </c>
      <c r="H96">
        <f t="shared" si="3"/>
        <v>1018</v>
      </c>
      <c r="I96">
        <v>371</v>
      </c>
      <c r="J96">
        <v>40</v>
      </c>
      <c r="K96">
        <v>238</v>
      </c>
      <c r="L96">
        <v>620</v>
      </c>
      <c r="M96">
        <v>53</v>
      </c>
      <c r="N96">
        <f t="shared" si="2"/>
        <v>3429</v>
      </c>
      <c r="O96">
        <v>932</v>
      </c>
      <c r="P96">
        <v>61</v>
      </c>
      <c r="Q96">
        <v>943</v>
      </c>
      <c r="R96">
        <v>24</v>
      </c>
      <c r="S96">
        <v>64</v>
      </c>
      <c r="T96">
        <v>0</v>
      </c>
      <c r="U96">
        <v>65</v>
      </c>
      <c r="V96">
        <v>126</v>
      </c>
      <c r="W96">
        <v>88</v>
      </c>
      <c r="X96">
        <v>35</v>
      </c>
      <c r="Y96">
        <v>0.28899999999999998</v>
      </c>
      <c r="Z96">
        <v>0.36</v>
      </c>
      <c r="AA96">
        <v>0.49099999999999999</v>
      </c>
    </row>
    <row r="97" spans="1:27" x14ac:dyDescent="0.2">
      <c r="A97" s="52">
        <v>2003</v>
      </c>
      <c r="B97" t="s">
        <v>157</v>
      </c>
      <c r="C97" t="s">
        <v>38</v>
      </c>
      <c r="D97">
        <v>162</v>
      </c>
      <c r="E97">
        <v>5519</v>
      </c>
      <c r="F97" s="1">
        <v>724</v>
      </c>
      <c r="G97">
        <v>1431</v>
      </c>
      <c r="H97">
        <f t="shared" si="3"/>
        <v>933</v>
      </c>
      <c r="I97">
        <v>302</v>
      </c>
      <c r="J97">
        <v>24</v>
      </c>
      <c r="K97">
        <v>172</v>
      </c>
      <c r="L97">
        <v>492</v>
      </c>
      <c r="M97">
        <v>50</v>
      </c>
      <c r="N97">
        <f t="shared" si="2"/>
        <v>3546</v>
      </c>
      <c r="O97">
        <v>691</v>
      </c>
      <c r="P97">
        <v>40</v>
      </c>
      <c r="Q97">
        <v>1158</v>
      </c>
      <c r="R97">
        <v>80</v>
      </c>
      <c r="S97">
        <v>46</v>
      </c>
      <c r="T97">
        <v>0</v>
      </c>
      <c r="U97">
        <v>87</v>
      </c>
      <c r="V97">
        <v>135</v>
      </c>
      <c r="W97">
        <v>73</v>
      </c>
      <c r="X97">
        <v>31</v>
      </c>
      <c r="Y97">
        <v>0.25900000000000001</v>
      </c>
      <c r="Z97">
        <v>0.32300000000000001</v>
      </c>
      <c r="AA97">
        <v>0.41599999999999998</v>
      </c>
    </row>
    <row r="98" spans="1:27" x14ac:dyDescent="0.2">
      <c r="A98" s="52">
        <v>2003</v>
      </c>
      <c r="B98" t="s">
        <v>157</v>
      </c>
      <c r="C98" t="s">
        <v>163</v>
      </c>
      <c r="D98">
        <v>162</v>
      </c>
      <c r="E98">
        <v>5487</v>
      </c>
      <c r="F98" s="1">
        <v>791</v>
      </c>
      <c r="G98">
        <v>1445</v>
      </c>
      <c r="H98">
        <f t="shared" si="3"/>
        <v>903</v>
      </c>
      <c r="I98">
        <v>303</v>
      </c>
      <c r="J98">
        <v>19</v>
      </c>
      <c r="K98">
        <v>220</v>
      </c>
      <c r="L98">
        <v>519</v>
      </c>
      <c r="M98">
        <v>58</v>
      </c>
      <c r="N98">
        <f t="shared" si="2"/>
        <v>3465</v>
      </c>
      <c r="O98">
        <v>766</v>
      </c>
      <c r="P98">
        <v>27</v>
      </c>
      <c r="Q98">
        <v>916</v>
      </c>
      <c r="R98">
        <v>43</v>
      </c>
      <c r="S98">
        <v>41</v>
      </c>
      <c r="T98">
        <v>0</v>
      </c>
      <c r="U98">
        <v>60</v>
      </c>
      <c r="V98">
        <v>132</v>
      </c>
      <c r="W98">
        <v>77</v>
      </c>
      <c r="X98">
        <v>29</v>
      </c>
      <c r="Y98">
        <v>0.26300000000000001</v>
      </c>
      <c r="Z98">
        <v>0.33100000000000002</v>
      </c>
      <c r="AA98">
        <v>0.44600000000000001</v>
      </c>
    </row>
    <row r="99" spans="1:27" x14ac:dyDescent="0.2">
      <c r="A99" s="52">
        <v>2003</v>
      </c>
      <c r="B99" t="s">
        <v>53</v>
      </c>
      <c r="C99" t="s">
        <v>38</v>
      </c>
      <c r="D99">
        <v>162</v>
      </c>
      <c r="E99">
        <v>5509</v>
      </c>
      <c r="F99" s="1">
        <v>694</v>
      </c>
      <c r="G99">
        <v>1349</v>
      </c>
      <c r="H99">
        <f t="shared" si="3"/>
        <v>907</v>
      </c>
      <c r="I99">
        <v>239</v>
      </c>
      <c r="J99">
        <v>21</v>
      </c>
      <c r="K99">
        <v>182</v>
      </c>
      <c r="L99">
        <v>524</v>
      </c>
      <c r="M99">
        <v>79</v>
      </c>
      <c r="N99">
        <f t="shared" si="2"/>
        <v>3557</v>
      </c>
      <c r="O99">
        <v>669</v>
      </c>
      <c r="P99">
        <v>34</v>
      </c>
      <c r="Q99">
        <v>1326</v>
      </c>
      <c r="R99">
        <v>66</v>
      </c>
      <c r="S99">
        <v>32</v>
      </c>
      <c r="T99">
        <v>1</v>
      </c>
      <c r="U99">
        <v>68</v>
      </c>
      <c r="V99">
        <v>102</v>
      </c>
      <c r="W99">
        <v>80</v>
      </c>
      <c r="X99">
        <v>34</v>
      </c>
      <c r="Y99">
        <v>0.245</v>
      </c>
      <c r="Z99">
        <v>0.318</v>
      </c>
      <c r="AA99">
        <v>0.39500000000000002</v>
      </c>
    </row>
    <row r="100" spans="1:27" x14ac:dyDescent="0.2">
      <c r="A100" s="52">
        <v>2003</v>
      </c>
      <c r="B100" t="s">
        <v>55</v>
      </c>
      <c r="C100" t="s">
        <v>163</v>
      </c>
      <c r="D100">
        <v>162</v>
      </c>
      <c r="E100">
        <v>5572</v>
      </c>
      <c r="F100" s="1">
        <v>699</v>
      </c>
      <c r="G100">
        <v>1413</v>
      </c>
      <c r="H100">
        <f t="shared" si="3"/>
        <v>933</v>
      </c>
      <c r="I100">
        <v>296</v>
      </c>
      <c r="J100">
        <v>26</v>
      </c>
      <c r="K100">
        <v>158</v>
      </c>
      <c r="L100">
        <v>466</v>
      </c>
      <c r="M100">
        <v>62</v>
      </c>
      <c r="N100">
        <f t="shared" si="2"/>
        <v>3631</v>
      </c>
      <c r="O100">
        <v>660</v>
      </c>
      <c r="P100">
        <v>25</v>
      </c>
      <c r="Q100">
        <v>1062</v>
      </c>
      <c r="R100">
        <v>46</v>
      </c>
      <c r="S100">
        <v>41</v>
      </c>
      <c r="T100">
        <v>1</v>
      </c>
      <c r="U100">
        <v>79</v>
      </c>
      <c r="V100">
        <v>128</v>
      </c>
      <c r="W100">
        <v>86</v>
      </c>
      <c r="X100">
        <v>61</v>
      </c>
      <c r="Y100">
        <v>0.254</v>
      </c>
      <c r="Z100">
        <v>0.316</v>
      </c>
      <c r="AA100">
        <v>0.40100000000000002</v>
      </c>
    </row>
    <row r="101" spans="1:27" x14ac:dyDescent="0.2">
      <c r="A101" s="52">
        <v>2003</v>
      </c>
      <c r="B101" t="s">
        <v>57</v>
      </c>
      <c r="C101" t="s">
        <v>38</v>
      </c>
      <c r="D101">
        <v>162</v>
      </c>
      <c r="E101">
        <v>5518</v>
      </c>
      <c r="F101" s="1">
        <v>853</v>
      </c>
      <c r="G101">
        <v>1472</v>
      </c>
      <c r="H101">
        <f t="shared" si="3"/>
        <v>913</v>
      </c>
      <c r="I101">
        <v>330</v>
      </c>
      <c r="J101">
        <v>31</v>
      </c>
      <c r="K101">
        <v>198</v>
      </c>
      <c r="L101">
        <v>619</v>
      </c>
      <c r="M101">
        <v>52</v>
      </c>
      <c r="N101">
        <f t="shared" si="2"/>
        <v>3375</v>
      </c>
      <c r="O101">
        <v>814</v>
      </c>
      <c r="P101">
        <v>46</v>
      </c>
      <c r="Q101">
        <v>1134</v>
      </c>
      <c r="R101">
        <v>55</v>
      </c>
      <c r="S101">
        <v>38</v>
      </c>
      <c r="T101">
        <v>1</v>
      </c>
      <c r="U101">
        <v>89</v>
      </c>
      <c r="V101">
        <v>140</v>
      </c>
      <c r="W101">
        <v>63</v>
      </c>
      <c r="X101">
        <v>37</v>
      </c>
      <c r="Y101">
        <v>0.26700000000000002</v>
      </c>
      <c r="Z101">
        <v>0.34399999999999997</v>
      </c>
      <c r="AA101">
        <v>0.44500000000000001</v>
      </c>
    </row>
    <row r="102" spans="1:27" x14ac:dyDescent="0.2">
      <c r="A102" s="52">
        <v>2003</v>
      </c>
      <c r="B102" t="s">
        <v>59</v>
      </c>
      <c r="C102" t="s">
        <v>163</v>
      </c>
      <c r="D102">
        <v>162</v>
      </c>
      <c r="E102">
        <v>5466</v>
      </c>
      <c r="F102" s="1">
        <v>591</v>
      </c>
      <c r="G102">
        <v>1312</v>
      </c>
      <c r="H102">
        <f t="shared" si="3"/>
        <v>919</v>
      </c>
      <c r="I102">
        <v>201</v>
      </c>
      <c r="J102">
        <v>39</v>
      </c>
      <c r="K102">
        <v>153</v>
      </c>
      <c r="L102">
        <v>443</v>
      </c>
      <c r="M102">
        <v>47</v>
      </c>
      <c r="N102">
        <f t="shared" si="2"/>
        <v>3664</v>
      </c>
      <c r="O102">
        <v>553</v>
      </c>
      <c r="P102">
        <v>24</v>
      </c>
      <c r="Q102">
        <v>1099</v>
      </c>
      <c r="R102">
        <v>65</v>
      </c>
      <c r="S102">
        <v>49</v>
      </c>
      <c r="T102">
        <v>1</v>
      </c>
      <c r="U102">
        <v>62</v>
      </c>
      <c r="V102">
        <v>114</v>
      </c>
      <c r="W102">
        <v>98</v>
      </c>
      <c r="X102">
        <v>63</v>
      </c>
      <c r="Y102">
        <v>0.24</v>
      </c>
      <c r="Z102">
        <v>0.3</v>
      </c>
      <c r="AA102">
        <v>0.375</v>
      </c>
    </row>
    <row r="103" spans="1:27" x14ac:dyDescent="0.2">
      <c r="A103" s="52">
        <v>2003</v>
      </c>
      <c r="B103" t="s">
        <v>160</v>
      </c>
      <c r="C103" t="s">
        <v>38</v>
      </c>
      <c r="D103">
        <v>162</v>
      </c>
      <c r="E103">
        <v>5490</v>
      </c>
      <c r="F103" s="1">
        <v>751</v>
      </c>
      <c r="G103">
        <v>1459</v>
      </c>
      <c r="H103">
        <f t="shared" si="3"/>
        <v>966</v>
      </c>
      <c r="I103">
        <v>292</v>
      </c>
      <c r="J103">
        <v>44</v>
      </c>
      <c r="K103">
        <v>157</v>
      </c>
      <c r="L103">
        <v>515</v>
      </c>
      <c r="M103">
        <v>57</v>
      </c>
      <c r="N103">
        <f t="shared" si="2"/>
        <v>3459</v>
      </c>
      <c r="O103">
        <v>709</v>
      </c>
      <c r="P103">
        <v>44</v>
      </c>
      <c r="Q103">
        <v>978</v>
      </c>
      <c r="R103">
        <v>82</v>
      </c>
      <c r="S103">
        <v>41</v>
      </c>
      <c r="T103">
        <v>1</v>
      </c>
      <c r="U103">
        <v>71</v>
      </c>
      <c r="V103">
        <v>114</v>
      </c>
      <c r="W103">
        <v>150</v>
      </c>
      <c r="X103">
        <v>74</v>
      </c>
      <c r="Y103">
        <v>0.26600000000000001</v>
      </c>
      <c r="Z103">
        <v>0.33300000000000002</v>
      </c>
      <c r="AA103">
        <v>0.42099999999999999</v>
      </c>
    </row>
    <row r="104" spans="1:27" x14ac:dyDescent="0.2">
      <c r="A104" s="52">
        <v>2003</v>
      </c>
      <c r="B104" t="s">
        <v>63</v>
      </c>
      <c r="C104" t="s">
        <v>38</v>
      </c>
      <c r="D104">
        <v>162</v>
      </c>
      <c r="E104">
        <v>5583</v>
      </c>
      <c r="F104" s="1">
        <v>805</v>
      </c>
      <c r="G104">
        <v>1466</v>
      </c>
      <c r="H104">
        <f t="shared" si="3"/>
        <v>937</v>
      </c>
      <c r="I104">
        <v>308</v>
      </c>
      <c r="J104">
        <v>30</v>
      </c>
      <c r="K104">
        <v>191</v>
      </c>
      <c r="L104">
        <v>557</v>
      </c>
      <c r="M104">
        <v>81</v>
      </c>
      <c r="N104">
        <f t="shared" si="2"/>
        <v>3479</v>
      </c>
      <c r="O104">
        <v>763</v>
      </c>
      <c r="P104">
        <v>44</v>
      </c>
      <c r="Q104">
        <v>1021</v>
      </c>
      <c r="R104">
        <v>61</v>
      </c>
      <c r="S104">
        <v>38</v>
      </c>
      <c r="T104">
        <v>0</v>
      </c>
      <c r="U104">
        <v>83</v>
      </c>
      <c r="V104">
        <v>125</v>
      </c>
      <c r="W104">
        <v>66</v>
      </c>
      <c r="X104">
        <v>30</v>
      </c>
      <c r="Y104">
        <v>0.26300000000000001</v>
      </c>
      <c r="Z104">
        <v>0.33600000000000002</v>
      </c>
      <c r="AA104">
        <v>0.43099999999999999</v>
      </c>
    </row>
    <row r="105" spans="1:27" x14ac:dyDescent="0.2">
      <c r="A105" s="52">
        <v>2003</v>
      </c>
      <c r="B105" t="s">
        <v>164</v>
      </c>
      <c r="C105" t="s">
        <v>163</v>
      </c>
      <c r="D105">
        <v>162</v>
      </c>
      <c r="E105">
        <v>5568</v>
      </c>
      <c r="F105" s="1">
        <v>836</v>
      </c>
      <c r="G105">
        <v>1526</v>
      </c>
      <c r="H105">
        <f t="shared" si="3"/>
        <v>1037</v>
      </c>
      <c r="I105">
        <v>288</v>
      </c>
      <c r="J105">
        <v>39</v>
      </c>
      <c r="K105">
        <v>162</v>
      </c>
      <c r="L105">
        <v>476</v>
      </c>
      <c r="M105">
        <v>75</v>
      </c>
      <c r="N105">
        <f t="shared" si="2"/>
        <v>3491</v>
      </c>
      <c r="O105">
        <v>781</v>
      </c>
      <c r="P105">
        <v>32</v>
      </c>
      <c r="Q105">
        <v>926</v>
      </c>
      <c r="R105">
        <v>63</v>
      </c>
      <c r="S105">
        <v>57</v>
      </c>
      <c r="T105">
        <v>0</v>
      </c>
      <c r="U105">
        <v>86</v>
      </c>
      <c r="V105">
        <v>128</v>
      </c>
      <c r="W105">
        <v>120</v>
      </c>
      <c r="X105">
        <v>42</v>
      </c>
      <c r="Y105">
        <v>0.27400000000000002</v>
      </c>
      <c r="Z105">
        <v>0.33600000000000002</v>
      </c>
      <c r="AA105">
        <v>0.42699999999999999</v>
      </c>
    </row>
    <row r="106" spans="1:27" x14ac:dyDescent="0.2">
      <c r="A106" s="52">
        <v>2003</v>
      </c>
      <c r="B106" t="s">
        <v>159</v>
      </c>
      <c r="C106" t="s">
        <v>38</v>
      </c>
      <c r="D106">
        <v>162</v>
      </c>
      <c r="E106">
        <v>5458</v>
      </c>
      <c r="F106" s="1">
        <v>574</v>
      </c>
      <c r="G106">
        <v>1328</v>
      </c>
      <c r="H106">
        <f t="shared" si="3"/>
        <v>919</v>
      </c>
      <c r="I106">
        <v>260</v>
      </c>
      <c r="J106">
        <v>25</v>
      </c>
      <c r="K106">
        <v>124</v>
      </c>
      <c r="L106">
        <v>407</v>
      </c>
      <c r="M106">
        <v>72</v>
      </c>
      <c r="N106">
        <f t="shared" si="2"/>
        <v>3651</v>
      </c>
      <c r="O106">
        <v>544</v>
      </c>
      <c r="P106">
        <v>43</v>
      </c>
      <c r="Q106">
        <v>985</v>
      </c>
      <c r="R106">
        <v>71</v>
      </c>
      <c r="S106">
        <v>28</v>
      </c>
      <c r="T106">
        <v>0</v>
      </c>
      <c r="U106">
        <v>77</v>
      </c>
      <c r="V106">
        <v>121</v>
      </c>
      <c r="W106">
        <v>80</v>
      </c>
      <c r="X106">
        <v>36</v>
      </c>
      <c r="Y106">
        <v>0.24299999999999999</v>
      </c>
      <c r="Z106">
        <v>0.30299999999999999</v>
      </c>
      <c r="AA106">
        <v>0.36799999999999999</v>
      </c>
    </row>
    <row r="107" spans="1:27" x14ac:dyDescent="0.2">
      <c r="A107" s="52">
        <v>2003</v>
      </c>
      <c r="B107" t="s">
        <v>69</v>
      </c>
      <c r="C107" t="s">
        <v>38</v>
      </c>
      <c r="D107">
        <v>162</v>
      </c>
      <c r="E107">
        <v>5548</v>
      </c>
      <c r="F107" s="1">
        <v>714</v>
      </c>
      <c r="G107">
        <v>1423</v>
      </c>
      <c r="H107">
        <f t="shared" si="3"/>
        <v>937</v>
      </c>
      <c r="I107">
        <v>266</v>
      </c>
      <c r="J107">
        <v>24</v>
      </c>
      <c r="K107">
        <v>196</v>
      </c>
      <c r="L107">
        <v>547</v>
      </c>
      <c r="M107">
        <v>71</v>
      </c>
      <c r="N107">
        <f t="shared" si="2"/>
        <v>3507</v>
      </c>
      <c r="O107">
        <v>685</v>
      </c>
      <c r="P107">
        <v>41</v>
      </c>
      <c r="Q107">
        <v>1221</v>
      </c>
      <c r="R107">
        <v>62</v>
      </c>
      <c r="S107">
        <v>40</v>
      </c>
      <c r="T107">
        <v>2</v>
      </c>
      <c r="U107">
        <v>76</v>
      </c>
      <c r="V107">
        <v>158</v>
      </c>
      <c r="W107">
        <v>99</v>
      </c>
      <c r="X107">
        <v>39</v>
      </c>
      <c r="Y107">
        <v>0.25600000000000001</v>
      </c>
      <c r="Z107">
        <v>0.32900000000000001</v>
      </c>
      <c r="AA107">
        <v>0.41899999999999998</v>
      </c>
    </row>
    <row r="108" spans="1:27" x14ac:dyDescent="0.2">
      <c r="A108" s="52">
        <v>2003</v>
      </c>
      <c r="B108" t="s">
        <v>71</v>
      </c>
      <c r="C108" t="s">
        <v>163</v>
      </c>
      <c r="D108">
        <v>162</v>
      </c>
      <c r="E108">
        <v>5655</v>
      </c>
      <c r="F108" s="1">
        <v>801</v>
      </c>
      <c r="G108">
        <v>1567</v>
      </c>
      <c r="H108">
        <f t="shared" si="3"/>
        <v>1049</v>
      </c>
      <c r="I108">
        <v>318</v>
      </c>
      <c r="J108">
        <v>45</v>
      </c>
      <c r="K108">
        <v>155</v>
      </c>
      <c r="L108">
        <v>512</v>
      </c>
      <c r="M108">
        <v>63</v>
      </c>
      <c r="N108">
        <f t="shared" si="2"/>
        <v>3513</v>
      </c>
      <c r="O108">
        <v>755</v>
      </c>
      <c r="P108">
        <v>36</v>
      </c>
      <c r="Q108">
        <v>1027</v>
      </c>
      <c r="R108">
        <v>42</v>
      </c>
      <c r="S108">
        <v>52</v>
      </c>
      <c r="T108">
        <v>0</v>
      </c>
      <c r="U108">
        <v>74</v>
      </c>
      <c r="V108">
        <v>139</v>
      </c>
      <c r="W108">
        <v>94</v>
      </c>
      <c r="X108">
        <v>44</v>
      </c>
      <c r="Y108">
        <v>0.27700000000000002</v>
      </c>
      <c r="Z108">
        <v>0.34100000000000003</v>
      </c>
      <c r="AA108">
        <v>0.43099999999999999</v>
      </c>
    </row>
    <row r="109" spans="1:27" x14ac:dyDescent="0.2">
      <c r="A109" s="52">
        <v>2003</v>
      </c>
      <c r="B109" t="s">
        <v>73</v>
      </c>
      <c r="C109" t="s">
        <v>38</v>
      </c>
      <c r="D109">
        <v>162</v>
      </c>
      <c r="E109">
        <v>5437</v>
      </c>
      <c r="F109" s="1">
        <v>711</v>
      </c>
      <c r="G109">
        <v>1404</v>
      </c>
      <c r="H109">
        <f t="shared" si="3"/>
        <v>941</v>
      </c>
      <c r="I109">
        <v>294</v>
      </c>
      <c r="J109">
        <v>25</v>
      </c>
      <c r="K109">
        <v>144</v>
      </c>
      <c r="L109">
        <v>522</v>
      </c>
      <c r="M109">
        <v>45</v>
      </c>
      <c r="N109">
        <f t="shared" si="2"/>
        <v>3466</v>
      </c>
      <c r="O109">
        <v>682</v>
      </c>
      <c r="P109">
        <v>58</v>
      </c>
      <c r="Q109">
        <v>990</v>
      </c>
      <c r="R109">
        <v>72</v>
      </c>
      <c r="S109">
        <v>40</v>
      </c>
      <c r="T109">
        <v>0</v>
      </c>
      <c r="U109">
        <v>68</v>
      </c>
      <c r="V109">
        <v>143</v>
      </c>
      <c r="W109">
        <v>100</v>
      </c>
      <c r="X109">
        <v>39</v>
      </c>
      <c r="Y109">
        <v>0.25800000000000001</v>
      </c>
      <c r="Z109">
        <v>0.32600000000000001</v>
      </c>
      <c r="AA109">
        <v>0.40100000000000002</v>
      </c>
    </row>
    <row r="110" spans="1:27" x14ac:dyDescent="0.2">
      <c r="A110" s="52">
        <v>2003</v>
      </c>
      <c r="B110" t="s">
        <v>158</v>
      </c>
      <c r="C110" t="s">
        <v>38</v>
      </c>
      <c r="D110">
        <v>161</v>
      </c>
      <c r="E110">
        <v>5341</v>
      </c>
      <c r="F110" s="1">
        <v>642</v>
      </c>
      <c r="G110">
        <v>1317</v>
      </c>
      <c r="H110">
        <f t="shared" si="3"/>
        <v>907</v>
      </c>
      <c r="I110">
        <v>262</v>
      </c>
      <c r="J110">
        <v>24</v>
      </c>
      <c r="K110">
        <v>124</v>
      </c>
      <c r="L110">
        <v>489</v>
      </c>
      <c r="M110">
        <v>54</v>
      </c>
      <c r="N110">
        <f t="shared" si="2"/>
        <v>3481</v>
      </c>
      <c r="O110">
        <v>607</v>
      </c>
      <c r="P110">
        <v>42</v>
      </c>
      <c r="Q110">
        <v>1035</v>
      </c>
      <c r="R110">
        <v>78</v>
      </c>
      <c r="S110">
        <v>45</v>
      </c>
      <c r="T110">
        <v>0</v>
      </c>
      <c r="U110">
        <v>85</v>
      </c>
      <c r="V110">
        <v>136</v>
      </c>
      <c r="W110">
        <v>70</v>
      </c>
      <c r="X110">
        <v>31</v>
      </c>
      <c r="Y110">
        <v>0.247</v>
      </c>
      <c r="Z110">
        <v>0.314</v>
      </c>
      <c r="AA110">
        <v>0.374</v>
      </c>
    </row>
    <row r="111" spans="1:27" x14ac:dyDescent="0.2">
      <c r="A111" s="52">
        <v>2003</v>
      </c>
      <c r="B111" t="s">
        <v>158</v>
      </c>
      <c r="C111" t="s">
        <v>163</v>
      </c>
      <c r="D111">
        <v>163</v>
      </c>
      <c r="E111">
        <v>5605</v>
      </c>
      <c r="F111" s="1">
        <v>877</v>
      </c>
      <c r="G111">
        <v>1518</v>
      </c>
      <c r="H111">
        <f t="shared" si="3"/>
        <v>970</v>
      </c>
      <c r="I111">
        <v>304</v>
      </c>
      <c r="J111">
        <v>14</v>
      </c>
      <c r="K111">
        <v>230</v>
      </c>
      <c r="L111">
        <v>684</v>
      </c>
      <c r="M111">
        <v>81</v>
      </c>
      <c r="N111">
        <f t="shared" si="2"/>
        <v>3322</v>
      </c>
      <c r="O111">
        <v>845</v>
      </c>
      <c r="P111">
        <v>54</v>
      </c>
      <c r="Q111">
        <v>1042</v>
      </c>
      <c r="R111">
        <v>25</v>
      </c>
      <c r="S111">
        <v>35</v>
      </c>
      <c r="T111">
        <v>1</v>
      </c>
      <c r="U111">
        <v>74</v>
      </c>
      <c r="V111">
        <v>154</v>
      </c>
      <c r="W111">
        <v>98</v>
      </c>
      <c r="X111">
        <v>33</v>
      </c>
      <c r="Y111">
        <v>0.27100000000000002</v>
      </c>
      <c r="Z111">
        <v>0.35599999999999998</v>
      </c>
      <c r="AA111">
        <v>0.45300000000000001</v>
      </c>
    </row>
    <row r="112" spans="1:27" x14ac:dyDescent="0.2">
      <c r="A112" s="52">
        <v>2003</v>
      </c>
      <c r="B112" t="s">
        <v>79</v>
      </c>
      <c r="C112" t="s">
        <v>163</v>
      </c>
      <c r="D112">
        <v>162</v>
      </c>
      <c r="E112">
        <v>5497</v>
      </c>
      <c r="F112" s="1">
        <v>768</v>
      </c>
      <c r="G112">
        <v>1398</v>
      </c>
      <c r="H112">
        <f t="shared" si="3"/>
        <v>881</v>
      </c>
      <c r="I112">
        <v>317</v>
      </c>
      <c r="J112">
        <v>24</v>
      </c>
      <c r="K112">
        <v>176</v>
      </c>
      <c r="L112">
        <v>556</v>
      </c>
      <c r="M112">
        <v>59</v>
      </c>
      <c r="N112">
        <f t="shared" si="2"/>
        <v>3484</v>
      </c>
      <c r="O112">
        <v>742</v>
      </c>
      <c r="P112">
        <v>52</v>
      </c>
      <c r="Q112">
        <v>898</v>
      </c>
      <c r="R112">
        <v>22</v>
      </c>
      <c r="S112">
        <v>53</v>
      </c>
      <c r="T112">
        <v>2</v>
      </c>
      <c r="U112">
        <v>66</v>
      </c>
      <c r="V112">
        <v>118</v>
      </c>
      <c r="W112">
        <v>48</v>
      </c>
      <c r="X112">
        <v>14</v>
      </c>
      <c r="Y112">
        <v>0.254</v>
      </c>
      <c r="Z112">
        <v>0.32700000000000001</v>
      </c>
      <c r="AA112">
        <v>0.41699999999999998</v>
      </c>
    </row>
    <row r="113" spans="1:27" x14ac:dyDescent="0.2">
      <c r="A113" s="52">
        <v>2003</v>
      </c>
      <c r="B113" t="s">
        <v>81</v>
      </c>
      <c r="C113" t="s">
        <v>38</v>
      </c>
      <c r="D113">
        <v>162</v>
      </c>
      <c r="E113">
        <v>5543</v>
      </c>
      <c r="F113" s="1">
        <v>791</v>
      </c>
      <c r="G113">
        <v>1448</v>
      </c>
      <c r="H113">
        <f t="shared" si="3"/>
        <v>930</v>
      </c>
      <c r="I113">
        <v>325</v>
      </c>
      <c r="J113">
        <v>27</v>
      </c>
      <c r="K113">
        <v>166</v>
      </c>
      <c r="L113">
        <v>651</v>
      </c>
      <c r="M113">
        <v>55</v>
      </c>
      <c r="N113">
        <f t="shared" si="2"/>
        <v>3389</v>
      </c>
      <c r="O113">
        <v>757</v>
      </c>
      <c r="P113">
        <v>56</v>
      </c>
      <c r="Q113">
        <v>1155</v>
      </c>
      <c r="R113">
        <v>46</v>
      </c>
      <c r="S113">
        <v>38</v>
      </c>
      <c r="T113">
        <v>0</v>
      </c>
      <c r="U113">
        <v>57</v>
      </c>
      <c r="V113">
        <v>120</v>
      </c>
      <c r="W113">
        <v>72</v>
      </c>
      <c r="X113">
        <v>29</v>
      </c>
      <c r="Y113">
        <v>0.26100000000000001</v>
      </c>
      <c r="Z113">
        <v>0.34300000000000003</v>
      </c>
      <c r="AA113">
        <v>0.41899999999999998</v>
      </c>
    </row>
    <row r="114" spans="1:27" x14ac:dyDescent="0.2">
      <c r="A114" s="52">
        <v>2003</v>
      </c>
      <c r="B114" t="s">
        <v>83</v>
      </c>
      <c r="C114" t="s">
        <v>38</v>
      </c>
      <c r="D114">
        <v>162</v>
      </c>
      <c r="E114">
        <v>5581</v>
      </c>
      <c r="F114" s="1">
        <v>753</v>
      </c>
      <c r="G114">
        <v>1492</v>
      </c>
      <c r="H114">
        <f t="shared" si="3"/>
        <v>1009</v>
      </c>
      <c r="I114">
        <v>275</v>
      </c>
      <c r="J114">
        <v>45</v>
      </c>
      <c r="K114">
        <v>163</v>
      </c>
      <c r="L114">
        <v>529</v>
      </c>
      <c r="M114">
        <v>87</v>
      </c>
      <c r="N114">
        <f t="shared" si="2"/>
        <v>3473</v>
      </c>
      <c r="O114">
        <v>711</v>
      </c>
      <c r="P114">
        <v>42</v>
      </c>
      <c r="Q114">
        <v>1049</v>
      </c>
      <c r="R114">
        <v>79</v>
      </c>
      <c r="S114">
        <v>38</v>
      </c>
      <c r="T114">
        <v>1</v>
      </c>
      <c r="U114">
        <v>74</v>
      </c>
      <c r="V114">
        <v>112</v>
      </c>
      <c r="W114">
        <v>86</v>
      </c>
      <c r="X114">
        <v>37</v>
      </c>
      <c r="Y114">
        <v>0.26700000000000002</v>
      </c>
      <c r="Z114">
        <v>0.33800000000000002</v>
      </c>
      <c r="AA114">
        <v>0.42</v>
      </c>
    </row>
    <row r="115" spans="1:27" x14ac:dyDescent="0.2">
      <c r="A115" s="52">
        <v>2003</v>
      </c>
      <c r="B115" t="s">
        <v>161</v>
      </c>
      <c r="C115" t="s">
        <v>38</v>
      </c>
      <c r="D115">
        <v>162</v>
      </c>
      <c r="E115">
        <v>5531</v>
      </c>
      <c r="F115" s="1">
        <v>678</v>
      </c>
      <c r="G115">
        <v>1442</v>
      </c>
      <c r="H115">
        <f t="shared" si="3"/>
        <v>1025</v>
      </c>
      <c r="I115">
        <v>257</v>
      </c>
      <c r="J115">
        <v>32</v>
      </c>
      <c r="K115">
        <v>128</v>
      </c>
      <c r="L115">
        <v>565</v>
      </c>
      <c r="M115">
        <v>57</v>
      </c>
      <c r="N115">
        <f t="shared" si="2"/>
        <v>3467</v>
      </c>
      <c r="O115">
        <v>641</v>
      </c>
      <c r="P115">
        <v>34</v>
      </c>
      <c r="Q115">
        <v>1073</v>
      </c>
      <c r="R115">
        <v>50</v>
      </c>
      <c r="S115">
        <v>42</v>
      </c>
      <c r="T115">
        <v>1</v>
      </c>
      <c r="U115">
        <v>58</v>
      </c>
      <c r="V115">
        <v>142</v>
      </c>
      <c r="W115">
        <v>76</v>
      </c>
      <c r="X115">
        <v>39</v>
      </c>
      <c r="Y115">
        <v>0.26100000000000001</v>
      </c>
      <c r="Z115">
        <v>0.33300000000000002</v>
      </c>
      <c r="AA115">
        <v>0.38800000000000001</v>
      </c>
    </row>
    <row r="116" spans="1:27" x14ac:dyDescent="0.2">
      <c r="A116" s="52">
        <v>2003</v>
      </c>
      <c r="B116" t="s">
        <v>87</v>
      </c>
      <c r="C116" t="s">
        <v>163</v>
      </c>
      <c r="D116">
        <v>162</v>
      </c>
      <c r="E116">
        <v>5561</v>
      </c>
      <c r="F116" s="1">
        <v>795</v>
      </c>
      <c r="G116">
        <v>1509</v>
      </c>
      <c r="H116">
        <f t="shared" si="3"/>
        <v>1047</v>
      </c>
      <c r="I116">
        <v>290</v>
      </c>
      <c r="J116">
        <v>33</v>
      </c>
      <c r="K116">
        <v>139</v>
      </c>
      <c r="L116">
        <v>586</v>
      </c>
      <c r="M116">
        <v>53</v>
      </c>
      <c r="N116">
        <f t="shared" si="2"/>
        <v>3413</v>
      </c>
      <c r="O116">
        <v>759</v>
      </c>
      <c r="P116">
        <v>34</v>
      </c>
      <c r="Q116">
        <v>989</v>
      </c>
      <c r="R116">
        <v>35</v>
      </c>
      <c r="S116">
        <v>46</v>
      </c>
      <c r="T116">
        <v>0</v>
      </c>
      <c r="U116">
        <v>57</v>
      </c>
      <c r="V116">
        <v>130</v>
      </c>
      <c r="W116">
        <v>108</v>
      </c>
      <c r="X116">
        <v>37</v>
      </c>
      <c r="Y116">
        <v>0.27100000000000002</v>
      </c>
      <c r="Z116">
        <v>0.34399999999999997</v>
      </c>
      <c r="AA116">
        <v>0.41</v>
      </c>
    </row>
    <row r="117" spans="1:27" x14ac:dyDescent="0.2">
      <c r="A117" s="52">
        <v>2003</v>
      </c>
      <c r="B117" t="s">
        <v>21</v>
      </c>
      <c r="C117" t="s">
        <v>38</v>
      </c>
      <c r="D117">
        <v>161</v>
      </c>
      <c r="E117">
        <v>5456</v>
      </c>
      <c r="F117" s="1">
        <v>755</v>
      </c>
      <c r="G117">
        <v>1440</v>
      </c>
      <c r="H117">
        <f t="shared" si="3"/>
        <v>950</v>
      </c>
      <c r="I117">
        <v>281</v>
      </c>
      <c r="J117">
        <v>29</v>
      </c>
      <c r="K117">
        <v>180</v>
      </c>
      <c r="L117">
        <v>593</v>
      </c>
      <c r="M117">
        <v>40</v>
      </c>
      <c r="N117">
        <f t="shared" si="2"/>
        <v>3383</v>
      </c>
      <c r="O117">
        <v>713</v>
      </c>
      <c r="P117">
        <v>79</v>
      </c>
      <c r="Q117">
        <v>980</v>
      </c>
      <c r="R117">
        <v>76</v>
      </c>
      <c r="S117">
        <v>39</v>
      </c>
      <c r="T117">
        <v>0</v>
      </c>
      <c r="U117">
        <v>76</v>
      </c>
      <c r="V117">
        <v>130</v>
      </c>
      <c r="W117">
        <v>53</v>
      </c>
      <c r="X117">
        <v>37</v>
      </c>
      <c r="Y117">
        <v>0.26400000000000001</v>
      </c>
      <c r="Z117">
        <v>0.33800000000000002</v>
      </c>
      <c r="AA117">
        <v>0.42499999999999999</v>
      </c>
    </row>
    <row r="118" spans="1:27" x14ac:dyDescent="0.2">
      <c r="A118" s="52">
        <v>2003</v>
      </c>
      <c r="B118" t="s">
        <v>156</v>
      </c>
      <c r="C118" t="s">
        <v>38</v>
      </c>
      <c r="D118">
        <v>162</v>
      </c>
      <c r="E118">
        <v>5672</v>
      </c>
      <c r="F118" s="1">
        <v>876</v>
      </c>
      <c r="G118">
        <v>1580</v>
      </c>
      <c r="H118">
        <f t="shared" si="3"/>
        <v>1010</v>
      </c>
      <c r="I118">
        <v>342</v>
      </c>
      <c r="J118">
        <v>32</v>
      </c>
      <c r="K118">
        <v>196</v>
      </c>
      <c r="L118">
        <v>580</v>
      </c>
      <c r="M118">
        <v>73</v>
      </c>
      <c r="N118">
        <f t="shared" si="2"/>
        <v>3439</v>
      </c>
      <c r="O118">
        <v>827</v>
      </c>
      <c r="P118">
        <v>68</v>
      </c>
      <c r="Q118">
        <v>952</v>
      </c>
      <c r="R118">
        <v>87</v>
      </c>
      <c r="S118">
        <v>54</v>
      </c>
      <c r="T118">
        <v>0</v>
      </c>
      <c r="U118">
        <v>73</v>
      </c>
      <c r="V118">
        <v>136</v>
      </c>
      <c r="W118">
        <v>82</v>
      </c>
      <c r="X118">
        <v>32</v>
      </c>
      <c r="Y118">
        <v>0.27900000000000003</v>
      </c>
      <c r="Z118">
        <v>0.35</v>
      </c>
      <c r="AA118">
        <v>0.45400000000000001</v>
      </c>
    </row>
    <row r="119" spans="1:27" x14ac:dyDescent="0.2">
      <c r="A119" s="52">
        <v>2003</v>
      </c>
      <c r="B119" t="s">
        <v>165</v>
      </c>
      <c r="C119" t="s">
        <v>163</v>
      </c>
      <c r="D119">
        <v>162</v>
      </c>
      <c r="E119">
        <v>5654</v>
      </c>
      <c r="F119" s="1">
        <v>715</v>
      </c>
      <c r="G119">
        <v>1501</v>
      </c>
      <c r="H119">
        <f t="shared" si="3"/>
        <v>1028</v>
      </c>
      <c r="I119">
        <v>298</v>
      </c>
      <c r="J119">
        <v>38</v>
      </c>
      <c r="K119">
        <v>137</v>
      </c>
      <c r="L119">
        <v>420</v>
      </c>
      <c r="M119">
        <v>56</v>
      </c>
      <c r="N119">
        <f t="shared" si="2"/>
        <v>3677</v>
      </c>
      <c r="O119">
        <v>678</v>
      </c>
      <c r="P119">
        <v>46</v>
      </c>
      <c r="Q119">
        <v>1030</v>
      </c>
      <c r="R119">
        <v>32</v>
      </c>
      <c r="S119">
        <v>50</v>
      </c>
      <c r="T119">
        <v>0</v>
      </c>
      <c r="U119">
        <v>72</v>
      </c>
      <c r="V119">
        <v>108</v>
      </c>
      <c r="W119">
        <v>142</v>
      </c>
      <c r="X119">
        <v>42</v>
      </c>
      <c r="Y119">
        <v>0.26500000000000001</v>
      </c>
      <c r="Z119">
        <v>0.32</v>
      </c>
      <c r="AA119">
        <v>0.40400000000000003</v>
      </c>
    </row>
    <row r="120" spans="1:27" x14ac:dyDescent="0.2">
      <c r="A120" s="52">
        <v>2003</v>
      </c>
      <c r="B120" t="s">
        <v>95</v>
      </c>
      <c r="C120" t="s">
        <v>163</v>
      </c>
      <c r="D120">
        <v>162</v>
      </c>
      <c r="E120">
        <v>5664</v>
      </c>
      <c r="F120" s="1">
        <v>826</v>
      </c>
      <c r="G120">
        <v>1506</v>
      </c>
      <c r="H120">
        <f t="shared" si="3"/>
        <v>957</v>
      </c>
      <c r="I120">
        <v>274</v>
      </c>
      <c r="J120">
        <v>36</v>
      </c>
      <c r="K120">
        <v>239</v>
      </c>
      <c r="L120">
        <v>488</v>
      </c>
      <c r="M120">
        <v>75</v>
      </c>
      <c r="N120">
        <f t="shared" si="2"/>
        <v>3595</v>
      </c>
      <c r="O120">
        <v>799</v>
      </c>
      <c r="P120">
        <v>31</v>
      </c>
      <c r="Q120">
        <v>1052</v>
      </c>
      <c r="R120">
        <v>24</v>
      </c>
      <c r="S120">
        <v>42</v>
      </c>
      <c r="T120">
        <v>0</v>
      </c>
      <c r="U120">
        <v>78</v>
      </c>
      <c r="V120">
        <v>115</v>
      </c>
      <c r="W120">
        <v>65</v>
      </c>
      <c r="X120">
        <v>25</v>
      </c>
      <c r="Y120">
        <v>0.26600000000000001</v>
      </c>
      <c r="Z120">
        <v>0.33</v>
      </c>
      <c r="AA120">
        <v>0.45400000000000001</v>
      </c>
    </row>
    <row r="121" spans="1:27" x14ac:dyDescent="0.2">
      <c r="A121" s="52">
        <v>2003</v>
      </c>
      <c r="B121" t="s">
        <v>97</v>
      </c>
      <c r="C121" t="s">
        <v>163</v>
      </c>
      <c r="D121">
        <v>162</v>
      </c>
      <c r="E121">
        <v>5661</v>
      </c>
      <c r="F121" s="1">
        <v>894</v>
      </c>
      <c r="G121">
        <v>1580</v>
      </c>
      <c r="H121">
        <f t="shared" si="3"/>
        <v>1000</v>
      </c>
      <c r="I121">
        <v>357</v>
      </c>
      <c r="J121">
        <v>33</v>
      </c>
      <c r="K121">
        <v>190</v>
      </c>
      <c r="L121">
        <v>546</v>
      </c>
      <c r="M121">
        <v>90</v>
      </c>
      <c r="N121">
        <f t="shared" si="2"/>
        <v>3445</v>
      </c>
      <c r="O121">
        <v>853</v>
      </c>
      <c r="P121">
        <v>40</v>
      </c>
      <c r="Q121">
        <v>1081</v>
      </c>
      <c r="R121">
        <v>11</v>
      </c>
      <c r="S121">
        <v>56</v>
      </c>
      <c r="T121">
        <v>0</v>
      </c>
      <c r="U121">
        <v>65</v>
      </c>
      <c r="V121">
        <v>146</v>
      </c>
      <c r="W121">
        <v>37</v>
      </c>
      <c r="X121">
        <v>25</v>
      </c>
      <c r="Y121">
        <v>0.27900000000000003</v>
      </c>
      <c r="Z121">
        <v>0.34899999999999998</v>
      </c>
      <c r="AA121">
        <v>0.45500000000000002</v>
      </c>
    </row>
    <row r="122" spans="1:27" x14ac:dyDescent="0.2">
      <c r="A122" s="52">
        <v>2004</v>
      </c>
      <c r="B122" t="s">
        <v>37</v>
      </c>
      <c r="C122" t="s">
        <v>163</v>
      </c>
      <c r="D122">
        <v>162</v>
      </c>
      <c r="E122">
        <v>5675</v>
      </c>
      <c r="F122" s="1">
        <v>836</v>
      </c>
      <c r="G122">
        <v>1603</v>
      </c>
      <c r="H122">
        <f t="shared" si="3"/>
        <v>1132</v>
      </c>
      <c r="I122">
        <v>272</v>
      </c>
      <c r="J122">
        <v>37</v>
      </c>
      <c r="K122">
        <v>162</v>
      </c>
      <c r="L122">
        <v>450</v>
      </c>
      <c r="M122">
        <v>73</v>
      </c>
      <c r="N122">
        <f t="shared" si="2"/>
        <v>3549</v>
      </c>
      <c r="O122">
        <v>783</v>
      </c>
      <c r="P122">
        <v>43</v>
      </c>
      <c r="Q122">
        <v>942</v>
      </c>
      <c r="R122">
        <v>56</v>
      </c>
      <c r="S122">
        <v>41</v>
      </c>
      <c r="T122">
        <v>1</v>
      </c>
      <c r="U122">
        <v>81</v>
      </c>
      <c r="V122">
        <v>123</v>
      </c>
      <c r="W122">
        <v>143</v>
      </c>
      <c r="X122">
        <v>46</v>
      </c>
      <c r="Y122">
        <v>0.28199999999999997</v>
      </c>
      <c r="Z122">
        <v>0.34100000000000003</v>
      </c>
      <c r="AA122">
        <v>0.42899999999999999</v>
      </c>
    </row>
    <row r="123" spans="1:27" x14ac:dyDescent="0.2">
      <c r="A123" s="52">
        <v>2004</v>
      </c>
      <c r="B123" t="s">
        <v>40</v>
      </c>
      <c r="C123" t="s">
        <v>38</v>
      </c>
      <c r="D123">
        <v>162</v>
      </c>
      <c r="E123">
        <v>5544</v>
      </c>
      <c r="F123" s="1">
        <v>615</v>
      </c>
      <c r="G123">
        <v>1401</v>
      </c>
      <c r="H123">
        <f t="shared" si="3"/>
        <v>933</v>
      </c>
      <c r="I123">
        <v>295</v>
      </c>
      <c r="J123">
        <v>38</v>
      </c>
      <c r="K123">
        <v>135</v>
      </c>
      <c r="L123">
        <v>441</v>
      </c>
      <c r="M123">
        <v>35</v>
      </c>
      <c r="N123">
        <f t="shared" si="2"/>
        <v>3667</v>
      </c>
      <c r="O123">
        <v>582</v>
      </c>
      <c r="P123">
        <v>38</v>
      </c>
      <c r="Q123">
        <v>1022</v>
      </c>
      <c r="R123">
        <v>56</v>
      </c>
      <c r="S123">
        <v>37</v>
      </c>
      <c r="T123">
        <v>1</v>
      </c>
      <c r="U123">
        <v>43</v>
      </c>
      <c r="V123">
        <v>137</v>
      </c>
      <c r="W123">
        <v>53</v>
      </c>
      <c r="X123">
        <v>32</v>
      </c>
      <c r="Y123">
        <v>0.253</v>
      </c>
      <c r="Z123">
        <v>0.31</v>
      </c>
      <c r="AA123">
        <v>0.39300000000000002</v>
      </c>
    </row>
    <row r="124" spans="1:27" x14ac:dyDescent="0.2">
      <c r="A124" s="52">
        <v>2004</v>
      </c>
      <c r="B124" t="s">
        <v>42</v>
      </c>
      <c r="C124" t="s">
        <v>38</v>
      </c>
      <c r="D124">
        <v>162</v>
      </c>
      <c r="E124">
        <v>5570</v>
      </c>
      <c r="F124" s="1">
        <v>803</v>
      </c>
      <c r="G124">
        <v>1503</v>
      </c>
      <c r="H124">
        <f t="shared" si="3"/>
        <v>984</v>
      </c>
      <c r="I124">
        <v>304</v>
      </c>
      <c r="J124">
        <v>37</v>
      </c>
      <c r="K124">
        <v>178</v>
      </c>
      <c r="L124">
        <v>587</v>
      </c>
      <c r="M124">
        <v>59</v>
      </c>
      <c r="N124">
        <f t="shared" si="2"/>
        <v>3421</v>
      </c>
      <c r="O124">
        <v>767</v>
      </c>
      <c r="P124">
        <v>51</v>
      </c>
      <c r="Q124">
        <v>1158</v>
      </c>
      <c r="R124">
        <v>75</v>
      </c>
      <c r="S124">
        <v>48</v>
      </c>
      <c r="T124">
        <v>0</v>
      </c>
      <c r="U124">
        <v>66</v>
      </c>
      <c r="V124">
        <v>123</v>
      </c>
      <c r="W124">
        <v>86</v>
      </c>
      <c r="X124">
        <v>32</v>
      </c>
      <c r="Y124">
        <v>0.27</v>
      </c>
      <c r="Z124">
        <v>0.34300000000000003</v>
      </c>
      <c r="AA124">
        <v>0.434</v>
      </c>
    </row>
    <row r="125" spans="1:27" x14ac:dyDescent="0.2">
      <c r="A125" s="52">
        <v>2004</v>
      </c>
      <c r="B125" t="s">
        <v>45</v>
      </c>
      <c r="C125" t="s">
        <v>163</v>
      </c>
      <c r="D125">
        <v>162</v>
      </c>
      <c r="E125">
        <v>5736</v>
      </c>
      <c r="F125" s="1">
        <v>842</v>
      </c>
      <c r="G125">
        <v>1614</v>
      </c>
      <c r="H125">
        <f t="shared" si="3"/>
        <v>1108</v>
      </c>
      <c r="I125">
        <v>319</v>
      </c>
      <c r="J125">
        <v>18</v>
      </c>
      <c r="K125">
        <v>169</v>
      </c>
      <c r="L125">
        <v>528</v>
      </c>
      <c r="M125">
        <v>57</v>
      </c>
      <c r="N125">
        <f t="shared" si="2"/>
        <v>3537</v>
      </c>
      <c r="O125">
        <v>803</v>
      </c>
      <c r="P125">
        <v>34</v>
      </c>
      <c r="Q125">
        <v>949</v>
      </c>
      <c r="R125">
        <v>46</v>
      </c>
      <c r="S125">
        <v>62</v>
      </c>
      <c r="T125">
        <v>2</v>
      </c>
      <c r="U125">
        <v>88</v>
      </c>
      <c r="V125">
        <v>126</v>
      </c>
      <c r="W125">
        <v>101</v>
      </c>
      <c r="X125">
        <v>41</v>
      </c>
      <c r="Y125">
        <v>0.28100000000000003</v>
      </c>
      <c r="Z125">
        <v>0.34499999999999997</v>
      </c>
      <c r="AA125">
        <v>0.432</v>
      </c>
    </row>
    <row r="126" spans="1:27" x14ac:dyDescent="0.2">
      <c r="A126" s="52">
        <v>2004</v>
      </c>
      <c r="B126" t="s">
        <v>47</v>
      </c>
      <c r="C126" t="s">
        <v>163</v>
      </c>
      <c r="D126">
        <v>162</v>
      </c>
      <c r="E126">
        <v>5720</v>
      </c>
      <c r="F126" s="1">
        <v>949</v>
      </c>
      <c r="G126">
        <v>1613</v>
      </c>
      <c r="H126">
        <f t="shared" si="3"/>
        <v>993</v>
      </c>
      <c r="I126">
        <v>373</v>
      </c>
      <c r="J126">
        <v>25</v>
      </c>
      <c r="K126">
        <v>222</v>
      </c>
      <c r="L126">
        <v>659</v>
      </c>
      <c r="M126">
        <v>69</v>
      </c>
      <c r="N126">
        <f t="shared" si="2"/>
        <v>3379</v>
      </c>
      <c r="O126">
        <v>912</v>
      </c>
      <c r="P126">
        <v>39</v>
      </c>
      <c r="Q126">
        <v>1189</v>
      </c>
      <c r="R126">
        <v>12</v>
      </c>
      <c r="S126">
        <v>55</v>
      </c>
      <c r="T126">
        <v>0</v>
      </c>
      <c r="U126">
        <v>68</v>
      </c>
      <c r="V126">
        <v>123</v>
      </c>
      <c r="W126">
        <v>68</v>
      </c>
      <c r="X126">
        <v>30</v>
      </c>
      <c r="Y126">
        <v>0.28199999999999997</v>
      </c>
      <c r="Z126">
        <v>0.36</v>
      </c>
      <c r="AA126">
        <v>0.47199999999999998</v>
      </c>
    </row>
    <row r="127" spans="1:27" x14ac:dyDescent="0.2">
      <c r="A127" s="52">
        <v>2004</v>
      </c>
      <c r="B127" t="s">
        <v>157</v>
      </c>
      <c r="C127" t="s">
        <v>38</v>
      </c>
      <c r="D127">
        <v>162</v>
      </c>
      <c r="E127">
        <v>5628</v>
      </c>
      <c r="F127" s="1">
        <v>789</v>
      </c>
      <c r="G127">
        <v>1508</v>
      </c>
      <c r="H127">
        <f t="shared" si="3"/>
        <v>936</v>
      </c>
      <c r="I127">
        <v>308</v>
      </c>
      <c r="J127">
        <v>29</v>
      </c>
      <c r="K127">
        <v>235</v>
      </c>
      <c r="L127">
        <v>489</v>
      </c>
      <c r="M127">
        <v>38</v>
      </c>
      <c r="N127">
        <f t="shared" si="2"/>
        <v>3593</v>
      </c>
      <c r="O127">
        <v>755</v>
      </c>
      <c r="P127">
        <v>46</v>
      </c>
      <c r="Q127">
        <v>1080</v>
      </c>
      <c r="R127">
        <v>78</v>
      </c>
      <c r="S127">
        <v>48</v>
      </c>
      <c r="T127">
        <v>0</v>
      </c>
      <c r="U127">
        <v>81</v>
      </c>
      <c r="V127">
        <v>120</v>
      </c>
      <c r="W127">
        <v>66</v>
      </c>
      <c r="X127">
        <v>28</v>
      </c>
      <c r="Y127">
        <v>0.26800000000000002</v>
      </c>
      <c r="Z127">
        <v>0.32800000000000001</v>
      </c>
      <c r="AA127">
        <v>0.45800000000000002</v>
      </c>
    </row>
    <row r="128" spans="1:27" x14ac:dyDescent="0.2">
      <c r="A128" s="52">
        <v>2004</v>
      </c>
      <c r="B128" t="s">
        <v>157</v>
      </c>
      <c r="C128" t="s">
        <v>163</v>
      </c>
      <c r="D128">
        <v>162</v>
      </c>
      <c r="E128">
        <v>5534</v>
      </c>
      <c r="F128" s="1">
        <v>865</v>
      </c>
      <c r="G128">
        <v>1481</v>
      </c>
      <c r="H128">
        <f t="shared" si="3"/>
        <v>936</v>
      </c>
      <c r="I128">
        <v>284</v>
      </c>
      <c r="J128">
        <v>19</v>
      </c>
      <c r="K128">
        <v>242</v>
      </c>
      <c r="L128">
        <v>499</v>
      </c>
      <c r="M128">
        <v>63</v>
      </c>
      <c r="N128">
        <f t="shared" si="2"/>
        <v>3491</v>
      </c>
      <c r="O128">
        <v>823</v>
      </c>
      <c r="P128">
        <v>25</v>
      </c>
      <c r="Q128">
        <v>1030</v>
      </c>
      <c r="R128">
        <v>58</v>
      </c>
      <c r="S128">
        <v>42</v>
      </c>
      <c r="T128">
        <v>1</v>
      </c>
      <c r="U128">
        <v>81</v>
      </c>
      <c r="V128">
        <v>119</v>
      </c>
      <c r="W128">
        <v>78</v>
      </c>
      <c r="X128">
        <v>51</v>
      </c>
      <c r="Y128">
        <v>0.26800000000000002</v>
      </c>
      <c r="Z128">
        <v>0.33300000000000002</v>
      </c>
      <c r="AA128">
        <v>0.45700000000000002</v>
      </c>
    </row>
    <row r="129" spans="1:27" x14ac:dyDescent="0.2">
      <c r="A129" s="52">
        <v>2004</v>
      </c>
      <c r="B129" t="s">
        <v>53</v>
      </c>
      <c r="C129" t="s">
        <v>38</v>
      </c>
      <c r="D129">
        <v>162</v>
      </c>
      <c r="E129">
        <v>5518</v>
      </c>
      <c r="F129" s="1">
        <v>750</v>
      </c>
      <c r="G129">
        <v>1380</v>
      </c>
      <c r="H129">
        <f t="shared" si="3"/>
        <v>871</v>
      </c>
      <c r="I129">
        <v>287</v>
      </c>
      <c r="J129">
        <v>28</v>
      </c>
      <c r="K129">
        <v>194</v>
      </c>
      <c r="L129">
        <v>599</v>
      </c>
      <c r="M129">
        <v>81</v>
      </c>
      <c r="N129">
        <f t="shared" si="2"/>
        <v>3458</v>
      </c>
      <c r="O129">
        <v>713</v>
      </c>
      <c r="P129">
        <v>38</v>
      </c>
      <c r="Q129">
        <v>1335</v>
      </c>
      <c r="R129">
        <v>55</v>
      </c>
      <c r="S129">
        <v>25</v>
      </c>
      <c r="T129">
        <v>0</v>
      </c>
      <c r="U129">
        <v>60</v>
      </c>
      <c r="V129">
        <v>125</v>
      </c>
      <c r="W129">
        <v>77</v>
      </c>
      <c r="X129">
        <v>25</v>
      </c>
      <c r="Y129">
        <v>0.25</v>
      </c>
      <c r="Z129">
        <v>0.33100000000000002</v>
      </c>
      <c r="AA129">
        <v>0.41799999999999998</v>
      </c>
    </row>
    <row r="130" spans="1:27" x14ac:dyDescent="0.2">
      <c r="A130" s="52">
        <v>2004</v>
      </c>
      <c r="B130" t="s">
        <v>55</v>
      </c>
      <c r="C130" t="s">
        <v>163</v>
      </c>
      <c r="D130">
        <v>162</v>
      </c>
      <c r="E130">
        <v>5676</v>
      </c>
      <c r="F130" s="1">
        <v>858</v>
      </c>
      <c r="G130">
        <v>1565</v>
      </c>
      <c r="H130">
        <f t="shared" si="3"/>
        <v>1007</v>
      </c>
      <c r="I130">
        <v>345</v>
      </c>
      <c r="J130">
        <v>29</v>
      </c>
      <c r="K130">
        <v>184</v>
      </c>
      <c r="L130">
        <v>606</v>
      </c>
      <c r="M130">
        <v>78</v>
      </c>
      <c r="N130">
        <f t="shared" ref="N130:N193" si="4">E130-(G130+L130+M130)</f>
        <v>3427</v>
      </c>
      <c r="O130">
        <v>820</v>
      </c>
      <c r="P130">
        <v>41</v>
      </c>
      <c r="Q130">
        <v>1009</v>
      </c>
      <c r="R130">
        <v>47</v>
      </c>
      <c r="S130">
        <v>42</v>
      </c>
      <c r="T130">
        <v>3</v>
      </c>
      <c r="U130">
        <v>72</v>
      </c>
      <c r="V130">
        <v>143</v>
      </c>
      <c r="W130">
        <v>94</v>
      </c>
      <c r="X130">
        <v>55</v>
      </c>
      <c r="Y130">
        <v>0.27600000000000002</v>
      </c>
      <c r="Z130">
        <v>0.35099999999999998</v>
      </c>
      <c r="AA130">
        <v>0.44400000000000001</v>
      </c>
    </row>
    <row r="131" spans="1:27" x14ac:dyDescent="0.2">
      <c r="A131" s="52">
        <v>2004</v>
      </c>
      <c r="B131" t="s">
        <v>57</v>
      </c>
      <c r="C131" t="s">
        <v>38</v>
      </c>
      <c r="D131">
        <v>162</v>
      </c>
      <c r="E131">
        <v>5577</v>
      </c>
      <c r="F131" s="1">
        <v>833</v>
      </c>
      <c r="G131">
        <v>1531</v>
      </c>
      <c r="H131">
        <f t="shared" ref="H131:H194" si="5">G131-(I131+J131+K131)</f>
        <v>964</v>
      </c>
      <c r="I131">
        <v>331</v>
      </c>
      <c r="J131">
        <v>34</v>
      </c>
      <c r="K131">
        <v>202</v>
      </c>
      <c r="L131">
        <v>568</v>
      </c>
      <c r="M131">
        <v>54</v>
      </c>
      <c r="N131">
        <f t="shared" si="4"/>
        <v>3424</v>
      </c>
      <c r="O131">
        <v>795</v>
      </c>
      <c r="P131">
        <v>51</v>
      </c>
      <c r="Q131">
        <v>1181</v>
      </c>
      <c r="R131">
        <v>97</v>
      </c>
      <c r="S131">
        <v>37</v>
      </c>
      <c r="T131">
        <v>0</v>
      </c>
      <c r="U131">
        <v>66</v>
      </c>
      <c r="V131">
        <v>132</v>
      </c>
      <c r="W131">
        <v>44</v>
      </c>
      <c r="X131">
        <v>33</v>
      </c>
      <c r="Y131">
        <v>0.27500000000000002</v>
      </c>
      <c r="Z131">
        <v>0.34499999999999997</v>
      </c>
      <c r="AA131">
        <v>0.45500000000000002</v>
      </c>
    </row>
    <row r="132" spans="1:27" x14ac:dyDescent="0.2">
      <c r="A132" s="52">
        <v>2004</v>
      </c>
      <c r="B132" t="s">
        <v>59</v>
      </c>
      <c r="C132" t="s">
        <v>163</v>
      </c>
      <c r="D132">
        <v>162</v>
      </c>
      <c r="E132">
        <v>5623</v>
      </c>
      <c r="F132" s="1">
        <v>827</v>
      </c>
      <c r="G132">
        <v>1531</v>
      </c>
      <c r="H132">
        <f t="shared" si="5"/>
        <v>992</v>
      </c>
      <c r="I132">
        <v>284</v>
      </c>
      <c r="J132">
        <v>54</v>
      </c>
      <c r="K132">
        <v>201</v>
      </c>
      <c r="L132">
        <v>518</v>
      </c>
      <c r="M132">
        <v>50</v>
      </c>
      <c r="N132">
        <f t="shared" si="4"/>
        <v>3524</v>
      </c>
      <c r="O132">
        <v>800</v>
      </c>
      <c r="P132">
        <v>32</v>
      </c>
      <c r="Q132">
        <v>1144</v>
      </c>
      <c r="R132">
        <v>50</v>
      </c>
      <c r="S132">
        <v>43</v>
      </c>
      <c r="T132">
        <v>1</v>
      </c>
      <c r="U132">
        <v>58</v>
      </c>
      <c r="V132">
        <v>110</v>
      </c>
      <c r="W132">
        <v>86</v>
      </c>
      <c r="X132">
        <v>50</v>
      </c>
      <c r="Y132">
        <v>0.27200000000000002</v>
      </c>
      <c r="Z132">
        <v>0.33700000000000002</v>
      </c>
      <c r="AA132">
        <v>0.44900000000000001</v>
      </c>
    </row>
    <row r="133" spans="1:27" x14ac:dyDescent="0.2">
      <c r="A133" s="52">
        <v>2004</v>
      </c>
      <c r="B133" t="s">
        <v>160</v>
      </c>
      <c r="C133" t="s">
        <v>38</v>
      </c>
      <c r="D133">
        <v>162</v>
      </c>
      <c r="E133">
        <v>5486</v>
      </c>
      <c r="F133" s="1">
        <v>718</v>
      </c>
      <c r="G133">
        <v>1447</v>
      </c>
      <c r="H133">
        <f t="shared" si="5"/>
        <v>992</v>
      </c>
      <c r="I133">
        <v>275</v>
      </c>
      <c r="J133">
        <v>32</v>
      </c>
      <c r="K133">
        <v>148</v>
      </c>
      <c r="L133">
        <v>499</v>
      </c>
      <c r="M133">
        <v>58</v>
      </c>
      <c r="N133">
        <f t="shared" si="4"/>
        <v>3482</v>
      </c>
      <c r="O133">
        <v>677</v>
      </c>
      <c r="P133">
        <v>37</v>
      </c>
      <c r="Q133">
        <v>968</v>
      </c>
      <c r="R133">
        <v>77</v>
      </c>
      <c r="S133">
        <v>40</v>
      </c>
      <c r="T133">
        <v>0</v>
      </c>
      <c r="U133">
        <v>76</v>
      </c>
      <c r="V133">
        <v>142</v>
      </c>
      <c r="W133">
        <v>96</v>
      </c>
      <c r="X133">
        <v>43</v>
      </c>
      <c r="Y133">
        <v>0.26400000000000001</v>
      </c>
      <c r="Z133">
        <v>0.32900000000000001</v>
      </c>
      <c r="AA133">
        <v>0.40600000000000003</v>
      </c>
    </row>
    <row r="134" spans="1:27" x14ac:dyDescent="0.2">
      <c r="A134" s="52">
        <v>2004</v>
      </c>
      <c r="B134" t="s">
        <v>63</v>
      </c>
      <c r="C134" t="s">
        <v>38</v>
      </c>
      <c r="D134">
        <v>162</v>
      </c>
      <c r="E134">
        <v>5468</v>
      </c>
      <c r="F134" s="1">
        <v>803</v>
      </c>
      <c r="G134">
        <v>1458</v>
      </c>
      <c r="H134">
        <f t="shared" si="5"/>
        <v>941</v>
      </c>
      <c r="I134">
        <v>294</v>
      </c>
      <c r="J134">
        <v>36</v>
      </c>
      <c r="K134">
        <v>187</v>
      </c>
      <c r="L134">
        <v>590</v>
      </c>
      <c r="M134">
        <v>61</v>
      </c>
      <c r="N134">
        <f t="shared" si="4"/>
        <v>3359</v>
      </c>
      <c r="O134">
        <v>756</v>
      </c>
      <c r="P134">
        <v>54</v>
      </c>
      <c r="Q134">
        <v>999</v>
      </c>
      <c r="R134">
        <v>98</v>
      </c>
      <c r="S134">
        <v>52</v>
      </c>
      <c r="T134">
        <v>0</v>
      </c>
      <c r="U134">
        <v>76</v>
      </c>
      <c r="V134">
        <v>128</v>
      </c>
      <c r="W134">
        <v>89</v>
      </c>
      <c r="X134">
        <v>30</v>
      </c>
      <c r="Y134">
        <v>0.26700000000000002</v>
      </c>
      <c r="Z134">
        <v>0.34200000000000003</v>
      </c>
      <c r="AA134">
        <v>0.436</v>
      </c>
    </row>
    <row r="135" spans="1:27" x14ac:dyDescent="0.2">
      <c r="A135" s="52">
        <v>2004</v>
      </c>
      <c r="B135" t="s">
        <v>164</v>
      </c>
      <c r="C135" t="s">
        <v>163</v>
      </c>
      <c r="D135">
        <v>162</v>
      </c>
      <c r="E135">
        <v>5538</v>
      </c>
      <c r="F135" s="1">
        <v>720</v>
      </c>
      <c r="G135">
        <v>1432</v>
      </c>
      <c r="H135">
        <f t="shared" si="5"/>
        <v>992</v>
      </c>
      <c r="I135">
        <v>261</v>
      </c>
      <c r="J135">
        <v>29</v>
      </c>
      <c r="K135">
        <v>150</v>
      </c>
      <c r="L135">
        <v>461</v>
      </c>
      <c r="M135">
        <v>76</v>
      </c>
      <c r="N135">
        <f t="shared" si="4"/>
        <v>3569</v>
      </c>
      <c r="O135">
        <v>675</v>
      </c>
      <c r="P135">
        <v>28</v>
      </c>
      <c r="Q135">
        <v>1057</v>
      </c>
      <c r="R135">
        <v>40</v>
      </c>
      <c r="S135">
        <v>38</v>
      </c>
      <c r="T135">
        <v>0</v>
      </c>
      <c r="U135">
        <v>76</v>
      </c>
      <c r="V135">
        <v>130</v>
      </c>
      <c r="W135">
        <v>67</v>
      </c>
      <c r="X135">
        <v>48</v>
      </c>
      <c r="Y135">
        <v>0.25900000000000001</v>
      </c>
      <c r="Z135">
        <v>0.32200000000000001</v>
      </c>
      <c r="AA135">
        <v>0.39700000000000002</v>
      </c>
    </row>
    <row r="136" spans="1:27" x14ac:dyDescent="0.2">
      <c r="A136" s="52">
        <v>2004</v>
      </c>
      <c r="B136" t="s">
        <v>159</v>
      </c>
      <c r="C136" t="s">
        <v>38</v>
      </c>
      <c r="D136">
        <v>162</v>
      </c>
      <c r="E136">
        <v>5542</v>
      </c>
      <c r="F136" s="1">
        <v>761</v>
      </c>
      <c r="G136">
        <v>1450</v>
      </c>
      <c r="H136">
        <f t="shared" si="5"/>
        <v>991</v>
      </c>
      <c r="I136">
        <v>226</v>
      </c>
      <c r="J136">
        <v>30</v>
      </c>
      <c r="K136">
        <v>203</v>
      </c>
      <c r="L136">
        <v>536</v>
      </c>
      <c r="M136">
        <v>62</v>
      </c>
      <c r="N136">
        <f t="shared" si="4"/>
        <v>3494</v>
      </c>
      <c r="O136">
        <v>731</v>
      </c>
      <c r="P136">
        <v>45</v>
      </c>
      <c r="Q136">
        <v>1092</v>
      </c>
      <c r="R136">
        <v>69</v>
      </c>
      <c r="S136">
        <v>35</v>
      </c>
      <c r="T136">
        <v>0</v>
      </c>
      <c r="U136">
        <v>76</v>
      </c>
      <c r="V136">
        <v>121</v>
      </c>
      <c r="W136">
        <v>102</v>
      </c>
      <c r="X136">
        <v>41</v>
      </c>
      <c r="Y136">
        <v>0.26200000000000001</v>
      </c>
      <c r="Z136">
        <v>0.33200000000000002</v>
      </c>
      <c r="AA136">
        <v>0.42299999999999999</v>
      </c>
    </row>
    <row r="137" spans="1:27" x14ac:dyDescent="0.2">
      <c r="A137" s="52">
        <v>2004</v>
      </c>
      <c r="B137" t="s">
        <v>69</v>
      </c>
      <c r="C137" t="s">
        <v>38</v>
      </c>
      <c r="D137">
        <v>161</v>
      </c>
      <c r="E137">
        <v>5483</v>
      </c>
      <c r="F137" s="1">
        <v>634</v>
      </c>
      <c r="G137">
        <v>1358</v>
      </c>
      <c r="H137">
        <f t="shared" si="5"/>
        <v>896</v>
      </c>
      <c r="I137">
        <v>295</v>
      </c>
      <c r="J137">
        <v>32</v>
      </c>
      <c r="K137">
        <v>135</v>
      </c>
      <c r="L137">
        <v>540</v>
      </c>
      <c r="M137">
        <v>68</v>
      </c>
      <c r="N137">
        <f t="shared" si="4"/>
        <v>3517</v>
      </c>
      <c r="O137">
        <v>601</v>
      </c>
      <c r="P137">
        <v>49</v>
      </c>
      <c r="Q137">
        <v>1312</v>
      </c>
      <c r="R137">
        <v>56</v>
      </c>
      <c r="S137">
        <v>40</v>
      </c>
      <c r="T137">
        <v>8</v>
      </c>
      <c r="U137">
        <v>83</v>
      </c>
      <c r="V137">
        <v>120</v>
      </c>
      <c r="W137">
        <v>138</v>
      </c>
      <c r="X137">
        <v>40</v>
      </c>
      <c r="Y137">
        <v>0.248</v>
      </c>
      <c r="Z137">
        <v>0.32100000000000001</v>
      </c>
      <c r="AA137">
        <v>0.38700000000000001</v>
      </c>
    </row>
    <row r="138" spans="1:27" x14ac:dyDescent="0.2">
      <c r="A138" s="52">
        <v>2004</v>
      </c>
      <c r="B138" t="s">
        <v>71</v>
      </c>
      <c r="C138" t="s">
        <v>163</v>
      </c>
      <c r="D138">
        <v>162</v>
      </c>
      <c r="E138">
        <v>5623</v>
      </c>
      <c r="F138" s="1">
        <v>780</v>
      </c>
      <c r="G138">
        <v>1494</v>
      </c>
      <c r="H138">
        <f t="shared" si="5"/>
        <v>969</v>
      </c>
      <c r="I138">
        <v>310</v>
      </c>
      <c r="J138">
        <v>24</v>
      </c>
      <c r="K138">
        <v>191</v>
      </c>
      <c r="L138">
        <v>513</v>
      </c>
      <c r="M138">
        <v>64</v>
      </c>
      <c r="N138">
        <f t="shared" si="4"/>
        <v>3552</v>
      </c>
      <c r="O138">
        <v>735</v>
      </c>
      <c r="P138">
        <v>42</v>
      </c>
      <c r="Q138">
        <v>982</v>
      </c>
      <c r="R138">
        <v>46</v>
      </c>
      <c r="S138">
        <v>40</v>
      </c>
      <c r="T138">
        <v>0</v>
      </c>
      <c r="U138">
        <v>53</v>
      </c>
      <c r="V138">
        <v>130</v>
      </c>
      <c r="W138">
        <v>116</v>
      </c>
      <c r="X138">
        <v>46</v>
      </c>
      <c r="Y138">
        <v>0.26600000000000001</v>
      </c>
      <c r="Z138">
        <v>0.33200000000000002</v>
      </c>
      <c r="AA138">
        <v>0.43099999999999999</v>
      </c>
    </row>
    <row r="139" spans="1:27" x14ac:dyDescent="0.2">
      <c r="A139" s="52">
        <v>2004</v>
      </c>
      <c r="B139" t="s">
        <v>73</v>
      </c>
      <c r="C139" t="s">
        <v>38</v>
      </c>
      <c r="D139">
        <v>162</v>
      </c>
      <c r="E139">
        <v>5474</v>
      </c>
      <c r="F139" s="1">
        <v>635</v>
      </c>
      <c r="G139">
        <v>1361</v>
      </c>
      <c r="H139">
        <f t="shared" si="5"/>
        <v>907</v>
      </c>
      <c r="I139">
        <v>276</v>
      </c>
      <c r="J139">
        <v>27</v>
      </c>
      <c r="K139">
        <v>151</v>
      </c>
      <c r="L139">
        <v>496</v>
      </c>
      <c r="M139">
        <v>35</v>
      </c>
      <c r="N139">
        <f t="shared" si="4"/>
        <v>3582</v>
      </c>
      <c r="O139">
        <v>605</v>
      </c>
      <c r="P139">
        <v>51</v>
      </c>
      <c r="Q139">
        <v>925</v>
      </c>
      <c r="R139">
        <v>100</v>
      </c>
      <c r="S139">
        <v>33</v>
      </c>
      <c r="T139">
        <v>0</v>
      </c>
      <c r="U139">
        <v>65</v>
      </c>
      <c r="V139">
        <v>115</v>
      </c>
      <c r="W139">
        <v>109</v>
      </c>
      <c r="X139">
        <v>38</v>
      </c>
      <c r="Y139">
        <v>0.249</v>
      </c>
      <c r="Z139">
        <v>0.313</v>
      </c>
      <c r="AA139">
        <v>0.39200000000000002</v>
      </c>
    </row>
    <row r="140" spans="1:27" x14ac:dyDescent="0.2">
      <c r="A140" s="52">
        <v>2004</v>
      </c>
      <c r="B140" t="s">
        <v>158</v>
      </c>
      <c r="C140" t="s">
        <v>38</v>
      </c>
      <c r="D140">
        <v>162</v>
      </c>
      <c r="E140">
        <v>5532</v>
      </c>
      <c r="F140" s="1">
        <v>684</v>
      </c>
      <c r="G140">
        <v>1376</v>
      </c>
      <c r="H140">
        <f t="shared" si="5"/>
        <v>882</v>
      </c>
      <c r="I140">
        <v>289</v>
      </c>
      <c r="J140">
        <v>20</v>
      </c>
      <c r="K140">
        <v>185</v>
      </c>
      <c r="L140">
        <v>512</v>
      </c>
      <c r="M140">
        <v>61</v>
      </c>
      <c r="N140">
        <f t="shared" si="4"/>
        <v>3583</v>
      </c>
      <c r="O140">
        <v>658</v>
      </c>
      <c r="P140">
        <v>54</v>
      </c>
      <c r="Q140">
        <v>1159</v>
      </c>
      <c r="R140">
        <v>69</v>
      </c>
      <c r="S140">
        <v>34</v>
      </c>
      <c r="T140">
        <v>1</v>
      </c>
      <c r="U140">
        <v>64</v>
      </c>
      <c r="V140">
        <v>129</v>
      </c>
      <c r="W140">
        <v>107</v>
      </c>
      <c r="X140">
        <v>23</v>
      </c>
      <c r="Y140">
        <v>0.249</v>
      </c>
      <c r="Z140">
        <v>0.317</v>
      </c>
      <c r="AA140">
        <v>0.40899999999999997</v>
      </c>
    </row>
    <row r="141" spans="1:27" x14ac:dyDescent="0.2">
      <c r="A141" s="52">
        <v>2004</v>
      </c>
      <c r="B141" t="s">
        <v>158</v>
      </c>
      <c r="C141" t="s">
        <v>163</v>
      </c>
      <c r="D141">
        <v>162</v>
      </c>
      <c r="E141">
        <v>5527</v>
      </c>
      <c r="F141" s="1">
        <v>897</v>
      </c>
      <c r="G141">
        <v>1483</v>
      </c>
      <c r="H141">
        <f t="shared" si="5"/>
        <v>940</v>
      </c>
      <c r="I141">
        <v>281</v>
      </c>
      <c r="J141">
        <v>20</v>
      </c>
      <c r="K141">
        <v>242</v>
      </c>
      <c r="L141">
        <v>670</v>
      </c>
      <c r="M141">
        <v>80</v>
      </c>
      <c r="N141">
        <f t="shared" si="4"/>
        <v>3294</v>
      </c>
      <c r="O141">
        <v>863</v>
      </c>
      <c r="P141">
        <v>40</v>
      </c>
      <c r="Q141">
        <v>982</v>
      </c>
      <c r="R141">
        <v>37</v>
      </c>
      <c r="S141">
        <v>50</v>
      </c>
      <c r="T141">
        <v>0</v>
      </c>
      <c r="U141">
        <v>86</v>
      </c>
      <c r="V141">
        <v>157</v>
      </c>
      <c r="W141">
        <v>84</v>
      </c>
      <c r="X141">
        <v>33</v>
      </c>
      <c r="Y141">
        <v>0.26800000000000002</v>
      </c>
      <c r="Z141">
        <v>0.35299999999999998</v>
      </c>
      <c r="AA141">
        <v>0.45800000000000002</v>
      </c>
    </row>
    <row r="142" spans="1:27" x14ac:dyDescent="0.2">
      <c r="A142" s="52">
        <v>2004</v>
      </c>
      <c r="B142" t="s">
        <v>79</v>
      </c>
      <c r="C142" t="s">
        <v>163</v>
      </c>
      <c r="D142">
        <v>162</v>
      </c>
      <c r="E142">
        <v>5728</v>
      </c>
      <c r="F142" s="1">
        <v>793</v>
      </c>
      <c r="G142">
        <v>1545</v>
      </c>
      <c r="H142">
        <f t="shared" si="5"/>
        <v>1005</v>
      </c>
      <c r="I142">
        <v>336</v>
      </c>
      <c r="J142">
        <v>15</v>
      </c>
      <c r="K142">
        <v>189</v>
      </c>
      <c r="L142">
        <v>608</v>
      </c>
      <c r="M142">
        <v>55</v>
      </c>
      <c r="N142">
        <f t="shared" si="4"/>
        <v>3520</v>
      </c>
      <c r="O142">
        <v>752</v>
      </c>
      <c r="P142">
        <v>40</v>
      </c>
      <c r="Q142">
        <v>1061</v>
      </c>
      <c r="R142">
        <v>25</v>
      </c>
      <c r="S142">
        <v>43</v>
      </c>
      <c r="T142">
        <v>0</v>
      </c>
      <c r="U142">
        <v>67</v>
      </c>
      <c r="V142">
        <v>142</v>
      </c>
      <c r="W142">
        <v>47</v>
      </c>
      <c r="X142">
        <v>22</v>
      </c>
      <c r="Y142">
        <v>0.27</v>
      </c>
      <c r="Z142">
        <v>0.34300000000000003</v>
      </c>
      <c r="AA142">
        <v>0.433</v>
      </c>
    </row>
    <row r="143" spans="1:27" x14ac:dyDescent="0.2">
      <c r="A143" s="52">
        <v>2004</v>
      </c>
      <c r="B143" t="s">
        <v>81</v>
      </c>
      <c r="C143" t="s">
        <v>38</v>
      </c>
      <c r="D143">
        <v>162</v>
      </c>
      <c r="E143">
        <v>5643</v>
      </c>
      <c r="F143" s="1">
        <v>840</v>
      </c>
      <c r="G143">
        <v>1505</v>
      </c>
      <c r="H143">
        <f t="shared" si="5"/>
        <v>964</v>
      </c>
      <c r="I143">
        <v>303</v>
      </c>
      <c r="J143">
        <v>23</v>
      </c>
      <c r="K143">
        <v>215</v>
      </c>
      <c r="L143">
        <v>645</v>
      </c>
      <c r="M143">
        <v>58</v>
      </c>
      <c r="N143">
        <f t="shared" si="4"/>
        <v>3435</v>
      </c>
      <c r="O143">
        <v>802</v>
      </c>
      <c r="P143">
        <v>60</v>
      </c>
      <c r="Q143">
        <v>1133</v>
      </c>
      <c r="R143">
        <v>64</v>
      </c>
      <c r="S143">
        <v>46</v>
      </c>
      <c r="T143">
        <v>0</v>
      </c>
      <c r="U143">
        <v>68</v>
      </c>
      <c r="V143">
        <v>123</v>
      </c>
      <c r="W143">
        <v>100</v>
      </c>
      <c r="X143">
        <v>27</v>
      </c>
      <c r="Y143">
        <v>0.26700000000000002</v>
      </c>
      <c r="Z143">
        <v>0.34499999999999997</v>
      </c>
      <c r="AA143">
        <v>0.443</v>
      </c>
    </row>
    <row r="144" spans="1:27" x14ac:dyDescent="0.2">
      <c r="A144" s="52">
        <v>2004</v>
      </c>
      <c r="B144" t="s">
        <v>83</v>
      </c>
      <c r="C144" t="s">
        <v>38</v>
      </c>
      <c r="D144">
        <v>161</v>
      </c>
      <c r="E144">
        <v>5483</v>
      </c>
      <c r="F144" s="1">
        <v>680</v>
      </c>
      <c r="G144">
        <v>1428</v>
      </c>
      <c r="H144">
        <f t="shared" si="5"/>
        <v>980</v>
      </c>
      <c r="I144">
        <v>267</v>
      </c>
      <c r="J144">
        <v>39</v>
      </c>
      <c r="K144">
        <v>142</v>
      </c>
      <c r="L144">
        <v>415</v>
      </c>
      <c r="M144">
        <v>95</v>
      </c>
      <c r="N144">
        <f t="shared" si="4"/>
        <v>3545</v>
      </c>
      <c r="O144">
        <v>648</v>
      </c>
      <c r="P144">
        <v>33</v>
      </c>
      <c r="Q144">
        <v>1066</v>
      </c>
      <c r="R144">
        <v>79</v>
      </c>
      <c r="S144">
        <v>42</v>
      </c>
      <c r="T144">
        <v>1</v>
      </c>
      <c r="U144">
        <v>67</v>
      </c>
      <c r="V144">
        <v>117</v>
      </c>
      <c r="W144">
        <v>63</v>
      </c>
      <c r="X144">
        <v>40</v>
      </c>
      <c r="Y144">
        <v>0.26</v>
      </c>
      <c r="Z144">
        <v>0.32100000000000001</v>
      </c>
      <c r="AA144">
        <v>0.40100000000000002</v>
      </c>
    </row>
    <row r="145" spans="1:27" x14ac:dyDescent="0.2">
      <c r="A145" s="52">
        <v>2004</v>
      </c>
      <c r="B145" t="s">
        <v>161</v>
      </c>
      <c r="C145" t="s">
        <v>38</v>
      </c>
      <c r="D145">
        <v>162</v>
      </c>
      <c r="E145">
        <v>5573</v>
      </c>
      <c r="F145" s="1">
        <v>768</v>
      </c>
      <c r="G145">
        <v>1521</v>
      </c>
      <c r="H145">
        <f t="shared" si="5"/>
        <v>1046</v>
      </c>
      <c r="I145">
        <v>304</v>
      </c>
      <c r="J145">
        <v>32</v>
      </c>
      <c r="K145">
        <v>139</v>
      </c>
      <c r="L145">
        <v>566</v>
      </c>
      <c r="M145">
        <v>56</v>
      </c>
      <c r="N145">
        <f t="shared" si="4"/>
        <v>3430</v>
      </c>
      <c r="O145">
        <v>722</v>
      </c>
      <c r="P145">
        <v>45</v>
      </c>
      <c r="Q145">
        <v>910</v>
      </c>
      <c r="R145">
        <v>52</v>
      </c>
      <c r="S145">
        <v>66</v>
      </c>
      <c r="T145">
        <v>0</v>
      </c>
      <c r="U145">
        <v>70</v>
      </c>
      <c r="V145">
        <v>128</v>
      </c>
      <c r="W145">
        <v>52</v>
      </c>
      <c r="X145">
        <v>25</v>
      </c>
      <c r="Y145">
        <v>0.27300000000000002</v>
      </c>
      <c r="Z145">
        <v>0.34200000000000003</v>
      </c>
      <c r="AA145">
        <v>0.41399999999999998</v>
      </c>
    </row>
    <row r="146" spans="1:27" x14ac:dyDescent="0.2">
      <c r="A146" s="52">
        <v>2004</v>
      </c>
      <c r="B146" t="s">
        <v>87</v>
      </c>
      <c r="C146" t="s">
        <v>163</v>
      </c>
      <c r="D146">
        <v>162</v>
      </c>
      <c r="E146">
        <v>5722</v>
      </c>
      <c r="F146" s="1">
        <v>698</v>
      </c>
      <c r="G146">
        <v>1544</v>
      </c>
      <c r="H146">
        <f t="shared" si="5"/>
        <v>1112</v>
      </c>
      <c r="I146">
        <v>276</v>
      </c>
      <c r="J146">
        <v>20</v>
      </c>
      <c r="K146">
        <v>136</v>
      </c>
      <c r="L146">
        <v>492</v>
      </c>
      <c r="M146">
        <v>54</v>
      </c>
      <c r="N146">
        <f t="shared" si="4"/>
        <v>3632</v>
      </c>
      <c r="O146">
        <v>658</v>
      </c>
      <c r="P146">
        <v>49</v>
      </c>
      <c r="Q146">
        <v>1058</v>
      </c>
      <c r="R146">
        <v>46</v>
      </c>
      <c r="S146">
        <v>48</v>
      </c>
      <c r="T146">
        <v>0</v>
      </c>
      <c r="U146">
        <v>71</v>
      </c>
      <c r="V146">
        <v>131</v>
      </c>
      <c r="W146">
        <v>110</v>
      </c>
      <c r="X146">
        <v>42</v>
      </c>
      <c r="Y146">
        <v>0.27</v>
      </c>
      <c r="Z146">
        <v>0.33100000000000002</v>
      </c>
      <c r="AA146">
        <v>0.39600000000000002</v>
      </c>
    </row>
    <row r="147" spans="1:27" x14ac:dyDescent="0.2">
      <c r="A147" s="52">
        <v>2004</v>
      </c>
      <c r="B147" t="s">
        <v>21</v>
      </c>
      <c r="C147" t="s">
        <v>38</v>
      </c>
      <c r="D147">
        <v>162</v>
      </c>
      <c r="E147">
        <v>5546</v>
      </c>
      <c r="F147" s="1">
        <v>850</v>
      </c>
      <c r="G147">
        <v>1500</v>
      </c>
      <c r="H147">
        <f t="shared" si="5"/>
        <v>970</v>
      </c>
      <c r="I147">
        <v>314</v>
      </c>
      <c r="J147">
        <v>33</v>
      </c>
      <c r="K147">
        <v>183</v>
      </c>
      <c r="L147">
        <v>705</v>
      </c>
      <c r="M147">
        <v>72</v>
      </c>
      <c r="N147">
        <f t="shared" si="4"/>
        <v>3269</v>
      </c>
      <c r="O147">
        <v>805</v>
      </c>
      <c r="P147">
        <v>153</v>
      </c>
      <c r="Q147">
        <v>874</v>
      </c>
      <c r="R147">
        <v>92</v>
      </c>
      <c r="S147">
        <v>51</v>
      </c>
      <c r="T147">
        <v>0</v>
      </c>
      <c r="U147">
        <v>74</v>
      </c>
      <c r="V147">
        <v>142</v>
      </c>
      <c r="W147">
        <v>43</v>
      </c>
      <c r="X147">
        <v>23</v>
      </c>
      <c r="Y147">
        <v>0.27</v>
      </c>
      <c r="Z147">
        <v>0.35699999999999998</v>
      </c>
      <c r="AA147">
        <v>0.438</v>
      </c>
    </row>
    <row r="148" spans="1:27" x14ac:dyDescent="0.2">
      <c r="A148" s="52">
        <v>2004</v>
      </c>
      <c r="B148" t="s">
        <v>156</v>
      </c>
      <c r="C148" t="s">
        <v>38</v>
      </c>
      <c r="D148">
        <v>162</v>
      </c>
      <c r="E148">
        <v>5555</v>
      </c>
      <c r="F148" s="1">
        <v>855</v>
      </c>
      <c r="G148">
        <v>1544</v>
      </c>
      <c r="H148">
        <f t="shared" si="5"/>
        <v>987</v>
      </c>
      <c r="I148">
        <v>319</v>
      </c>
      <c r="J148">
        <v>24</v>
      </c>
      <c r="K148">
        <v>214</v>
      </c>
      <c r="L148">
        <v>548</v>
      </c>
      <c r="M148">
        <v>51</v>
      </c>
      <c r="N148">
        <f t="shared" si="4"/>
        <v>3412</v>
      </c>
      <c r="O148">
        <v>817</v>
      </c>
      <c r="P148">
        <v>64</v>
      </c>
      <c r="Q148">
        <v>1085</v>
      </c>
      <c r="R148">
        <v>73</v>
      </c>
      <c r="S148">
        <v>70</v>
      </c>
      <c r="T148">
        <v>0</v>
      </c>
      <c r="U148">
        <v>81</v>
      </c>
      <c r="V148">
        <v>121</v>
      </c>
      <c r="W148">
        <v>111</v>
      </c>
      <c r="X148">
        <v>47</v>
      </c>
      <c r="Y148">
        <v>0.27800000000000002</v>
      </c>
      <c r="Z148">
        <v>0.34399999999999997</v>
      </c>
      <c r="AA148">
        <v>0.46</v>
      </c>
    </row>
    <row r="149" spans="1:27" x14ac:dyDescent="0.2">
      <c r="A149" s="52">
        <v>2004</v>
      </c>
      <c r="B149" t="s">
        <v>165</v>
      </c>
      <c r="C149" t="s">
        <v>163</v>
      </c>
      <c r="D149">
        <v>161</v>
      </c>
      <c r="E149">
        <v>5483</v>
      </c>
      <c r="F149" s="1">
        <v>714</v>
      </c>
      <c r="G149">
        <v>1416</v>
      </c>
      <c r="H149">
        <f t="shared" si="5"/>
        <v>947</v>
      </c>
      <c r="I149">
        <v>278</v>
      </c>
      <c r="J149">
        <v>46</v>
      </c>
      <c r="K149">
        <v>145</v>
      </c>
      <c r="L149">
        <v>469</v>
      </c>
      <c r="M149">
        <v>55</v>
      </c>
      <c r="N149">
        <f t="shared" si="4"/>
        <v>3543</v>
      </c>
      <c r="O149">
        <v>685</v>
      </c>
      <c r="P149">
        <v>33</v>
      </c>
      <c r="Q149">
        <v>944</v>
      </c>
      <c r="R149">
        <v>35</v>
      </c>
      <c r="S149">
        <v>56</v>
      </c>
      <c r="T149">
        <v>0</v>
      </c>
      <c r="U149">
        <v>62</v>
      </c>
      <c r="V149">
        <v>97</v>
      </c>
      <c r="W149">
        <v>132</v>
      </c>
      <c r="X149">
        <v>42</v>
      </c>
      <c r="Y149">
        <v>0.25800000000000001</v>
      </c>
      <c r="Z149">
        <v>0.32</v>
      </c>
      <c r="AA149">
        <v>0.40500000000000003</v>
      </c>
    </row>
    <row r="150" spans="1:27" x14ac:dyDescent="0.2">
      <c r="A150" s="52">
        <v>2004</v>
      </c>
      <c r="B150" t="s">
        <v>95</v>
      </c>
      <c r="C150" t="s">
        <v>163</v>
      </c>
      <c r="D150">
        <v>162</v>
      </c>
      <c r="E150">
        <v>5615</v>
      </c>
      <c r="F150" s="1">
        <v>860</v>
      </c>
      <c r="G150">
        <v>1492</v>
      </c>
      <c r="H150">
        <f t="shared" si="5"/>
        <v>908</v>
      </c>
      <c r="I150">
        <v>323</v>
      </c>
      <c r="J150">
        <v>34</v>
      </c>
      <c r="K150">
        <v>227</v>
      </c>
      <c r="L150">
        <v>500</v>
      </c>
      <c r="M150">
        <v>61</v>
      </c>
      <c r="N150">
        <f t="shared" si="4"/>
        <v>3562</v>
      </c>
      <c r="O150">
        <v>825</v>
      </c>
      <c r="P150">
        <v>41</v>
      </c>
      <c r="Q150">
        <v>1099</v>
      </c>
      <c r="R150">
        <v>23</v>
      </c>
      <c r="S150">
        <v>57</v>
      </c>
      <c r="T150">
        <v>0</v>
      </c>
      <c r="U150">
        <v>71</v>
      </c>
      <c r="V150">
        <v>91</v>
      </c>
      <c r="W150">
        <v>69</v>
      </c>
      <c r="X150">
        <v>36</v>
      </c>
      <c r="Y150">
        <v>0.26600000000000001</v>
      </c>
      <c r="Z150">
        <v>0.32900000000000001</v>
      </c>
      <c r="AA150">
        <v>0.45700000000000002</v>
      </c>
    </row>
    <row r="151" spans="1:27" x14ac:dyDescent="0.2">
      <c r="A151" s="52">
        <v>2004</v>
      </c>
      <c r="B151" t="s">
        <v>97</v>
      </c>
      <c r="C151" t="s">
        <v>163</v>
      </c>
      <c r="D151">
        <v>161</v>
      </c>
      <c r="E151">
        <v>5531</v>
      </c>
      <c r="F151" s="1">
        <v>719</v>
      </c>
      <c r="G151">
        <v>1438</v>
      </c>
      <c r="H151">
        <f t="shared" si="5"/>
        <v>969</v>
      </c>
      <c r="I151">
        <v>290</v>
      </c>
      <c r="J151">
        <v>34</v>
      </c>
      <c r="K151">
        <v>145</v>
      </c>
      <c r="L151">
        <v>513</v>
      </c>
      <c r="M151">
        <v>71</v>
      </c>
      <c r="N151">
        <f t="shared" si="4"/>
        <v>3509</v>
      </c>
      <c r="O151">
        <v>680</v>
      </c>
      <c r="P151">
        <v>25</v>
      </c>
      <c r="Q151">
        <v>1083</v>
      </c>
      <c r="R151">
        <v>20</v>
      </c>
      <c r="S151">
        <v>42</v>
      </c>
      <c r="T151">
        <v>1</v>
      </c>
      <c r="U151">
        <v>77</v>
      </c>
      <c r="V151">
        <v>139</v>
      </c>
      <c r="W151">
        <v>58</v>
      </c>
      <c r="X151">
        <v>31</v>
      </c>
      <c r="Y151">
        <v>0.26</v>
      </c>
      <c r="Z151">
        <v>0.32800000000000001</v>
      </c>
      <c r="AA151">
        <v>0.40300000000000002</v>
      </c>
    </row>
    <row r="152" spans="1:27" x14ac:dyDescent="0.2">
      <c r="A152" s="52">
        <v>2005</v>
      </c>
      <c r="B152" t="s">
        <v>37</v>
      </c>
      <c r="C152" t="s">
        <v>163</v>
      </c>
      <c r="D152">
        <v>162</v>
      </c>
      <c r="E152">
        <v>5624</v>
      </c>
      <c r="F152" s="1">
        <v>761</v>
      </c>
      <c r="G152">
        <v>1520</v>
      </c>
      <c r="H152">
        <f t="shared" si="5"/>
        <v>1065</v>
      </c>
      <c r="I152">
        <v>278</v>
      </c>
      <c r="J152">
        <v>30</v>
      </c>
      <c r="K152">
        <v>147</v>
      </c>
      <c r="L152">
        <v>447</v>
      </c>
      <c r="M152">
        <v>29</v>
      </c>
      <c r="N152">
        <f t="shared" si="4"/>
        <v>3628</v>
      </c>
      <c r="O152">
        <v>726</v>
      </c>
      <c r="P152">
        <v>51</v>
      </c>
      <c r="Q152">
        <v>848</v>
      </c>
      <c r="R152">
        <v>43</v>
      </c>
      <c r="S152">
        <v>39</v>
      </c>
      <c r="T152">
        <v>4</v>
      </c>
      <c r="U152">
        <v>76</v>
      </c>
      <c r="V152">
        <v>125</v>
      </c>
      <c r="W152">
        <v>161</v>
      </c>
      <c r="X152">
        <v>57</v>
      </c>
      <c r="Y152">
        <v>0.27</v>
      </c>
      <c r="Z152">
        <v>0.32500000000000001</v>
      </c>
      <c r="AA152">
        <v>0.40899999999999997</v>
      </c>
    </row>
    <row r="153" spans="1:27" x14ac:dyDescent="0.2">
      <c r="A153" s="52">
        <v>2005</v>
      </c>
      <c r="B153" t="s">
        <v>40</v>
      </c>
      <c r="C153" t="s">
        <v>38</v>
      </c>
      <c r="D153">
        <v>162</v>
      </c>
      <c r="E153">
        <v>5550</v>
      </c>
      <c r="F153" s="1">
        <v>696</v>
      </c>
      <c r="G153">
        <v>1419</v>
      </c>
      <c r="H153">
        <f t="shared" si="5"/>
        <v>910</v>
      </c>
      <c r="I153">
        <v>291</v>
      </c>
      <c r="J153">
        <v>27</v>
      </c>
      <c r="K153">
        <v>191</v>
      </c>
      <c r="L153">
        <v>606</v>
      </c>
      <c r="M153">
        <v>55</v>
      </c>
      <c r="N153">
        <f t="shared" si="4"/>
        <v>3470</v>
      </c>
      <c r="O153">
        <v>670</v>
      </c>
      <c r="P153">
        <v>51</v>
      </c>
      <c r="Q153">
        <v>1094</v>
      </c>
      <c r="R153">
        <v>71</v>
      </c>
      <c r="S153">
        <v>45</v>
      </c>
      <c r="T153">
        <v>0</v>
      </c>
      <c r="U153">
        <v>58</v>
      </c>
      <c r="V153">
        <v>132</v>
      </c>
      <c r="W153">
        <v>67</v>
      </c>
      <c r="X153">
        <v>26</v>
      </c>
      <c r="Y153">
        <v>0.25600000000000001</v>
      </c>
      <c r="Z153">
        <v>0.33200000000000002</v>
      </c>
      <c r="AA153">
        <v>0.42099999999999999</v>
      </c>
    </row>
    <row r="154" spans="1:27" x14ac:dyDescent="0.2">
      <c r="A154" s="52">
        <v>2005</v>
      </c>
      <c r="B154" t="s">
        <v>42</v>
      </c>
      <c r="C154" t="s">
        <v>38</v>
      </c>
      <c r="D154">
        <v>162</v>
      </c>
      <c r="E154">
        <v>5486</v>
      </c>
      <c r="F154" s="1">
        <v>769</v>
      </c>
      <c r="G154">
        <v>1453</v>
      </c>
      <c r="H154">
        <f t="shared" si="5"/>
        <v>924</v>
      </c>
      <c r="I154">
        <v>308</v>
      </c>
      <c r="J154">
        <v>37</v>
      </c>
      <c r="K154">
        <v>184</v>
      </c>
      <c r="L154">
        <v>534</v>
      </c>
      <c r="M154">
        <v>45</v>
      </c>
      <c r="N154">
        <f t="shared" si="4"/>
        <v>3454</v>
      </c>
      <c r="O154">
        <v>733</v>
      </c>
      <c r="P154">
        <v>56</v>
      </c>
      <c r="Q154">
        <v>1084</v>
      </c>
      <c r="R154">
        <v>75</v>
      </c>
      <c r="S154">
        <v>46</v>
      </c>
      <c r="T154">
        <v>0</v>
      </c>
      <c r="U154">
        <v>71</v>
      </c>
      <c r="V154">
        <v>146</v>
      </c>
      <c r="W154">
        <v>92</v>
      </c>
      <c r="X154">
        <v>32</v>
      </c>
      <c r="Y154">
        <v>0.26500000000000001</v>
      </c>
      <c r="Z154">
        <v>0.33300000000000002</v>
      </c>
      <c r="AA154">
        <v>0.435</v>
      </c>
    </row>
    <row r="155" spans="1:27" x14ac:dyDescent="0.2">
      <c r="A155" s="52">
        <v>2005</v>
      </c>
      <c r="B155" t="s">
        <v>45</v>
      </c>
      <c r="C155" t="s">
        <v>163</v>
      </c>
      <c r="D155">
        <v>162</v>
      </c>
      <c r="E155">
        <v>5551</v>
      </c>
      <c r="F155" s="1">
        <v>729</v>
      </c>
      <c r="G155">
        <v>1492</v>
      </c>
      <c r="H155">
        <f t="shared" si="5"/>
        <v>980</v>
      </c>
      <c r="I155">
        <v>296</v>
      </c>
      <c r="J155">
        <v>27</v>
      </c>
      <c r="K155">
        <v>189</v>
      </c>
      <c r="L155">
        <v>447</v>
      </c>
      <c r="M155">
        <v>54</v>
      </c>
      <c r="N155">
        <f t="shared" si="4"/>
        <v>3558</v>
      </c>
      <c r="O155">
        <v>700</v>
      </c>
      <c r="P155">
        <v>31</v>
      </c>
      <c r="Q155">
        <v>902</v>
      </c>
      <c r="R155">
        <v>40</v>
      </c>
      <c r="S155">
        <v>42</v>
      </c>
      <c r="T155">
        <v>0</v>
      </c>
      <c r="U155">
        <v>68</v>
      </c>
      <c r="V155">
        <v>145</v>
      </c>
      <c r="W155">
        <v>83</v>
      </c>
      <c r="X155">
        <v>37</v>
      </c>
      <c r="Y155">
        <v>0.26900000000000002</v>
      </c>
      <c r="Z155">
        <v>0.32700000000000001</v>
      </c>
      <c r="AA155">
        <v>0.434</v>
      </c>
    </row>
    <row r="156" spans="1:27" x14ac:dyDescent="0.2">
      <c r="A156" s="52">
        <v>2005</v>
      </c>
      <c r="B156" t="s">
        <v>47</v>
      </c>
      <c r="C156" t="s">
        <v>163</v>
      </c>
      <c r="D156">
        <v>162</v>
      </c>
      <c r="E156">
        <v>5626</v>
      </c>
      <c r="F156" s="1">
        <v>910</v>
      </c>
      <c r="G156">
        <v>1579</v>
      </c>
      <c r="H156">
        <f t="shared" si="5"/>
        <v>1020</v>
      </c>
      <c r="I156">
        <v>339</v>
      </c>
      <c r="J156">
        <v>21</v>
      </c>
      <c r="K156">
        <v>199</v>
      </c>
      <c r="L156">
        <v>653</v>
      </c>
      <c r="M156">
        <v>47</v>
      </c>
      <c r="N156">
        <f t="shared" si="4"/>
        <v>3347</v>
      </c>
      <c r="O156">
        <v>863</v>
      </c>
      <c r="P156">
        <v>34</v>
      </c>
      <c r="Q156">
        <v>1044</v>
      </c>
      <c r="R156">
        <v>14</v>
      </c>
      <c r="S156">
        <v>63</v>
      </c>
      <c r="T156">
        <v>0</v>
      </c>
      <c r="U156">
        <v>73</v>
      </c>
      <c r="V156">
        <v>135</v>
      </c>
      <c r="W156">
        <v>45</v>
      </c>
      <c r="X156">
        <v>12</v>
      </c>
      <c r="Y156">
        <v>0.28100000000000003</v>
      </c>
      <c r="Z156">
        <v>0.35699999999999998</v>
      </c>
      <c r="AA156">
        <v>0.45400000000000001</v>
      </c>
    </row>
    <row r="157" spans="1:27" x14ac:dyDescent="0.2">
      <c r="A157" s="52">
        <v>2005</v>
      </c>
      <c r="B157" t="s">
        <v>157</v>
      </c>
      <c r="C157" t="s">
        <v>38</v>
      </c>
      <c r="D157">
        <v>162</v>
      </c>
      <c r="E157">
        <v>5584</v>
      </c>
      <c r="F157" s="1">
        <v>703</v>
      </c>
      <c r="G157">
        <v>1506</v>
      </c>
      <c r="H157">
        <f t="shared" si="5"/>
        <v>966</v>
      </c>
      <c r="I157">
        <v>323</v>
      </c>
      <c r="J157">
        <v>23</v>
      </c>
      <c r="K157">
        <v>194</v>
      </c>
      <c r="L157">
        <v>419</v>
      </c>
      <c r="M157">
        <v>50</v>
      </c>
      <c r="N157">
        <f t="shared" si="4"/>
        <v>3609</v>
      </c>
      <c r="O157">
        <v>674</v>
      </c>
      <c r="P157">
        <v>49</v>
      </c>
      <c r="Q157">
        <v>920</v>
      </c>
      <c r="R157">
        <v>69</v>
      </c>
      <c r="S157">
        <v>37</v>
      </c>
      <c r="T157">
        <v>2</v>
      </c>
      <c r="U157">
        <v>72</v>
      </c>
      <c r="V157">
        <v>131</v>
      </c>
      <c r="W157">
        <v>65</v>
      </c>
      <c r="X157">
        <v>39</v>
      </c>
      <c r="Y157">
        <v>0.27</v>
      </c>
      <c r="Z157">
        <v>0.32400000000000001</v>
      </c>
      <c r="AA157">
        <v>0.44</v>
      </c>
    </row>
    <row r="158" spans="1:27" x14ac:dyDescent="0.2">
      <c r="A158" s="52">
        <v>2005</v>
      </c>
      <c r="B158" t="s">
        <v>157</v>
      </c>
      <c r="C158" t="s">
        <v>163</v>
      </c>
      <c r="D158">
        <v>162</v>
      </c>
      <c r="E158">
        <v>5529</v>
      </c>
      <c r="F158" s="1">
        <v>741</v>
      </c>
      <c r="G158">
        <v>1450</v>
      </c>
      <c r="H158">
        <f t="shared" si="5"/>
        <v>974</v>
      </c>
      <c r="I158">
        <v>253</v>
      </c>
      <c r="J158">
        <v>23</v>
      </c>
      <c r="K158">
        <v>200</v>
      </c>
      <c r="L158">
        <v>435</v>
      </c>
      <c r="M158">
        <v>79</v>
      </c>
      <c r="N158">
        <f t="shared" si="4"/>
        <v>3565</v>
      </c>
      <c r="O158">
        <v>713</v>
      </c>
      <c r="P158">
        <v>27</v>
      </c>
      <c r="Q158">
        <v>1002</v>
      </c>
      <c r="R158">
        <v>53</v>
      </c>
      <c r="S158">
        <v>49</v>
      </c>
      <c r="T158">
        <v>1</v>
      </c>
      <c r="U158">
        <v>58</v>
      </c>
      <c r="V158">
        <v>122</v>
      </c>
      <c r="W158">
        <v>137</v>
      </c>
      <c r="X158">
        <v>67</v>
      </c>
      <c r="Y158">
        <v>0.26200000000000001</v>
      </c>
      <c r="Z158">
        <v>0.32200000000000001</v>
      </c>
      <c r="AA158">
        <v>0.42499999999999999</v>
      </c>
    </row>
    <row r="159" spans="1:27" x14ac:dyDescent="0.2">
      <c r="A159" s="52">
        <v>2005</v>
      </c>
      <c r="B159" t="s">
        <v>53</v>
      </c>
      <c r="C159" t="s">
        <v>38</v>
      </c>
      <c r="D159">
        <v>163</v>
      </c>
      <c r="E159">
        <v>5565</v>
      </c>
      <c r="F159" s="1">
        <v>820</v>
      </c>
      <c r="G159">
        <v>1453</v>
      </c>
      <c r="H159">
        <f t="shared" si="5"/>
        <v>881</v>
      </c>
      <c r="I159">
        <v>335</v>
      </c>
      <c r="J159">
        <v>15</v>
      </c>
      <c r="K159">
        <v>222</v>
      </c>
      <c r="L159">
        <v>611</v>
      </c>
      <c r="M159">
        <v>62</v>
      </c>
      <c r="N159">
        <f t="shared" si="4"/>
        <v>3439</v>
      </c>
      <c r="O159">
        <v>784</v>
      </c>
      <c r="P159">
        <v>42</v>
      </c>
      <c r="Q159">
        <v>1303</v>
      </c>
      <c r="R159">
        <v>43</v>
      </c>
      <c r="S159">
        <v>39</v>
      </c>
      <c r="T159">
        <v>1</v>
      </c>
      <c r="U159">
        <v>59</v>
      </c>
      <c r="V159">
        <v>116</v>
      </c>
      <c r="W159">
        <v>72</v>
      </c>
      <c r="X159">
        <v>23</v>
      </c>
      <c r="Y159">
        <v>0.26100000000000001</v>
      </c>
      <c r="Z159">
        <v>0.33900000000000002</v>
      </c>
      <c r="AA159">
        <v>0.44600000000000001</v>
      </c>
    </row>
    <row r="160" spans="1:27" x14ac:dyDescent="0.2">
      <c r="A160" s="52">
        <v>2005</v>
      </c>
      <c r="B160" t="s">
        <v>55</v>
      </c>
      <c r="C160" t="s">
        <v>163</v>
      </c>
      <c r="D160">
        <v>162</v>
      </c>
      <c r="E160">
        <v>5609</v>
      </c>
      <c r="F160" s="1">
        <v>790</v>
      </c>
      <c r="G160">
        <v>1522</v>
      </c>
      <c r="H160">
        <f t="shared" si="5"/>
        <v>948</v>
      </c>
      <c r="I160">
        <v>337</v>
      </c>
      <c r="J160">
        <v>30</v>
      </c>
      <c r="K160">
        <v>207</v>
      </c>
      <c r="L160">
        <v>503</v>
      </c>
      <c r="M160">
        <v>54</v>
      </c>
      <c r="N160">
        <f t="shared" si="4"/>
        <v>3530</v>
      </c>
      <c r="O160">
        <v>760</v>
      </c>
      <c r="P160">
        <v>33</v>
      </c>
      <c r="Q160">
        <v>1093</v>
      </c>
      <c r="R160">
        <v>39</v>
      </c>
      <c r="S160">
        <v>50</v>
      </c>
      <c r="T160">
        <v>0</v>
      </c>
      <c r="U160">
        <v>71</v>
      </c>
      <c r="V160">
        <v>128</v>
      </c>
      <c r="W160">
        <v>62</v>
      </c>
      <c r="X160">
        <v>36</v>
      </c>
      <c r="Y160">
        <v>0.27100000000000002</v>
      </c>
      <c r="Z160">
        <v>0.33400000000000002</v>
      </c>
      <c r="AA160">
        <v>0.45300000000000001</v>
      </c>
    </row>
    <row r="161" spans="1:27" x14ac:dyDescent="0.2">
      <c r="A161" s="52">
        <v>2005</v>
      </c>
      <c r="B161" t="s">
        <v>57</v>
      </c>
      <c r="C161" t="s">
        <v>38</v>
      </c>
      <c r="D161">
        <v>162</v>
      </c>
      <c r="E161">
        <v>5542</v>
      </c>
      <c r="F161" s="1">
        <v>740</v>
      </c>
      <c r="G161">
        <v>1477</v>
      </c>
      <c r="H161">
        <f t="shared" si="5"/>
        <v>1013</v>
      </c>
      <c r="I161">
        <v>280</v>
      </c>
      <c r="J161">
        <v>34</v>
      </c>
      <c r="K161">
        <v>150</v>
      </c>
      <c r="L161">
        <v>509</v>
      </c>
      <c r="M161">
        <v>64</v>
      </c>
      <c r="N161">
        <f t="shared" si="4"/>
        <v>3492</v>
      </c>
      <c r="O161">
        <v>704</v>
      </c>
      <c r="P161">
        <v>36</v>
      </c>
      <c r="Q161">
        <v>1103</v>
      </c>
      <c r="R161">
        <v>88</v>
      </c>
      <c r="S161">
        <v>34</v>
      </c>
      <c r="T161">
        <v>1</v>
      </c>
      <c r="U161">
        <v>88</v>
      </c>
      <c r="V161">
        <v>125</v>
      </c>
      <c r="W161">
        <v>65</v>
      </c>
      <c r="X161">
        <v>32</v>
      </c>
      <c r="Y161">
        <v>0.26700000000000002</v>
      </c>
      <c r="Z161">
        <v>0.33300000000000002</v>
      </c>
      <c r="AA161">
        <v>0.41099999999999998</v>
      </c>
    </row>
    <row r="162" spans="1:27" x14ac:dyDescent="0.2">
      <c r="A162" s="52">
        <v>2005</v>
      </c>
      <c r="B162" t="s">
        <v>59</v>
      </c>
      <c r="C162" t="s">
        <v>163</v>
      </c>
      <c r="D162">
        <v>162</v>
      </c>
      <c r="E162">
        <v>5602</v>
      </c>
      <c r="F162" s="1">
        <v>723</v>
      </c>
      <c r="G162">
        <v>1521</v>
      </c>
      <c r="H162">
        <f t="shared" si="5"/>
        <v>1025</v>
      </c>
      <c r="I162">
        <v>283</v>
      </c>
      <c r="J162">
        <v>45</v>
      </c>
      <c r="K162">
        <v>168</v>
      </c>
      <c r="L162">
        <v>384</v>
      </c>
      <c r="M162">
        <v>53</v>
      </c>
      <c r="N162">
        <f t="shared" si="4"/>
        <v>3644</v>
      </c>
      <c r="O162">
        <v>678</v>
      </c>
      <c r="P162">
        <v>24</v>
      </c>
      <c r="Q162">
        <v>1038</v>
      </c>
      <c r="R162">
        <v>44</v>
      </c>
      <c r="S162">
        <v>52</v>
      </c>
      <c r="T162">
        <v>1</v>
      </c>
      <c r="U162">
        <v>60</v>
      </c>
      <c r="V162">
        <v>137</v>
      </c>
      <c r="W162">
        <v>66</v>
      </c>
      <c r="X162">
        <v>28</v>
      </c>
      <c r="Y162">
        <v>0.27200000000000002</v>
      </c>
      <c r="Z162">
        <v>0.32100000000000001</v>
      </c>
      <c r="AA162">
        <v>0.42799999999999999</v>
      </c>
    </row>
    <row r="163" spans="1:27" x14ac:dyDescent="0.2">
      <c r="A163" s="52">
        <v>2005</v>
      </c>
      <c r="B163" t="s">
        <v>160</v>
      </c>
      <c r="C163" t="s">
        <v>38</v>
      </c>
      <c r="D163">
        <v>162</v>
      </c>
      <c r="E163">
        <v>5502</v>
      </c>
      <c r="F163" s="1">
        <v>717</v>
      </c>
      <c r="G163">
        <v>1499</v>
      </c>
      <c r="H163">
        <f t="shared" si="5"/>
        <v>1033</v>
      </c>
      <c r="I163">
        <v>306</v>
      </c>
      <c r="J163">
        <v>32</v>
      </c>
      <c r="K163">
        <v>128</v>
      </c>
      <c r="L163">
        <v>512</v>
      </c>
      <c r="M163">
        <v>67</v>
      </c>
      <c r="N163">
        <f t="shared" si="4"/>
        <v>3424</v>
      </c>
      <c r="O163">
        <v>678</v>
      </c>
      <c r="P163">
        <v>61</v>
      </c>
      <c r="Q163">
        <v>918</v>
      </c>
      <c r="R163">
        <v>82</v>
      </c>
      <c r="S163">
        <v>50</v>
      </c>
      <c r="T163">
        <v>1</v>
      </c>
      <c r="U163">
        <v>61</v>
      </c>
      <c r="V163">
        <v>144</v>
      </c>
      <c r="W163">
        <v>96</v>
      </c>
      <c r="X163">
        <v>38</v>
      </c>
      <c r="Y163">
        <v>0.27200000000000002</v>
      </c>
      <c r="Z163">
        <v>0.33900000000000002</v>
      </c>
      <c r="AA163">
        <v>0.40899999999999997</v>
      </c>
    </row>
    <row r="164" spans="1:27" x14ac:dyDescent="0.2">
      <c r="A164" s="52">
        <v>2005</v>
      </c>
      <c r="B164" t="s">
        <v>63</v>
      </c>
      <c r="C164" t="s">
        <v>38</v>
      </c>
      <c r="D164">
        <v>163</v>
      </c>
      <c r="E164">
        <v>5462</v>
      </c>
      <c r="F164" s="1">
        <v>693</v>
      </c>
      <c r="G164">
        <v>1400</v>
      </c>
      <c r="H164">
        <f t="shared" si="5"/>
        <v>926</v>
      </c>
      <c r="I164">
        <v>281</v>
      </c>
      <c r="J164">
        <v>32</v>
      </c>
      <c r="K164">
        <v>161</v>
      </c>
      <c r="L164">
        <v>481</v>
      </c>
      <c r="M164">
        <v>72</v>
      </c>
      <c r="N164">
        <f t="shared" si="4"/>
        <v>3509</v>
      </c>
      <c r="O164">
        <v>654</v>
      </c>
      <c r="P164">
        <v>43</v>
      </c>
      <c r="Q164">
        <v>1037</v>
      </c>
      <c r="R164">
        <v>82</v>
      </c>
      <c r="S164">
        <v>42</v>
      </c>
      <c r="T164">
        <v>0</v>
      </c>
      <c r="U164">
        <v>84</v>
      </c>
      <c r="V164">
        <v>116</v>
      </c>
      <c r="W164">
        <v>115</v>
      </c>
      <c r="X164">
        <v>44</v>
      </c>
      <c r="Y164">
        <v>0.25600000000000001</v>
      </c>
      <c r="Z164">
        <v>0.32200000000000001</v>
      </c>
      <c r="AA164">
        <v>0.40799999999999997</v>
      </c>
    </row>
    <row r="165" spans="1:27" x14ac:dyDescent="0.2">
      <c r="A165" s="52">
        <v>2005</v>
      </c>
      <c r="B165" t="s">
        <v>164</v>
      </c>
      <c r="C165" t="s">
        <v>163</v>
      </c>
      <c r="D165">
        <v>162</v>
      </c>
      <c r="E165">
        <v>5503</v>
      </c>
      <c r="F165" s="1">
        <v>701</v>
      </c>
      <c r="G165">
        <v>1445</v>
      </c>
      <c r="H165">
        <f t="shared" si="5"/>
        <v>996</v>
      </c>
      <c r="I165">
        <v>289</v>
      </c>
      <c r="J165">
        <v>34</v>
      </c>
      <c r="K165">
        <v>126</v>
      </c>
      <c r="L165">
        <v>424</v>
      </c>
      <c r="M165">
        <v>63</v>
      </c>
      <c r="N165">
        <f t="shared" si="4"/>
        <v>3571</v>
      </c>
      <c r="O165">
        <v>653</v>
      </c>
      <c r="P165">
        <v>23</v>
      </c>
      <c r="Q165">
        <v>1008</v>
      </c>
      <c r="R165">
        <v>46</v>
      </c>
      <c r="S165">
        <v>50</v>
      </c>
      <c r="T165">
        <v>0</v>
      </c>
      <c r="U165">
        <v>61</v>
      </c>
      <c r="V165">
        <v>139</v>
      </c>
      <c r="W165">
        <v>53</v>
      </c>
      <c r="X165">
        <v>33</v>
      </c>
      <c r="Y165">
        <v>0.26300000000000001</v>
      </c>
      <c r="Z165">
        <v>0.32</v>
      </c>
      <c r="AA165">
        <v>0.39600000000000002</v>
      </c>
    </row>
    <row r="166" spans="1:27" x14ac:dyDescent="0.2">
      <c r="A166" s="52">
        <v>2005</v>
      </c>
      <c r="B166" t="s">
        <v>159</v>
      </c>
      <c r="C166" t="s">
        <v>38</v>
      </c>
      <c r="D166">
        <v>162</v>
      </c>
      <c r="E166">
        <v>5433</v>
      </c>
      <c r="F166" s="1">
        <v>685</v>
      </c>
      <c r="G166">
        <v>1374</v>
      </c>
      <c r="H166">
        <f t="shared" si="5"/>
        <v>920</v>
      </c>
      <c r="I166">
        <v>284</v>
      </c>
      <c r="J166">
        <v>21</v>
      </c>
      <c r="K166">
        <v>149</v>
      </c>
      <c r="L166">
        <v>541</v>
      </c>
      <c r="M166">
        <v>67</v>
      </c>
      <c r="N166">
        <f t="shared" si="4"/>
        <v>3451</v>
      </c>
      <c r="O166">
        <v>653</v>
      </c>
      <c r="P166">
        <v>30</v>
      </c>
      <c r="Q166">
        <v>1094</v>
      </c>
      <c r="R166">
        <v>57</v>
      </c>
      <c r="S166">
        <v>33</v>
      </c>
      <c r="T166">
        <v>3</v>
      </c>
      <c r="U166">
        <v>62</v>
      </c>
      <c r="V166">
        <v>139</v>
      </c>
      <c r="W166">
        <v>58</v>
      </c>
      <c r="X166">
        <v>35</v>
      </c>
      <c r="Y166">
        <v>0.253</v>
      </c>
      <c r="Z166">
        <v>0.32600000000000001</v>
      </c>
      <c r="AA166">
        <v>0.39500000000000002</v>
      </c>
    </row>
    <row r="167" spans="1:27" x14ac:dyDescent="0.2">
      <c r="A167" s="52">
        <v>2005</v>
      </c>
      <c r="B167" t="s">
        <v>69</v>
      </c>
      <c r="C167" t="s">
        <v>38</v>
      </c>
      <c r="D167">
        <v>162</v>
      </c>
      <c r="E167">
        <v>5448</v>
      </c>
      <c r="F167" s="1">
        <v>726</v>
      </c>
      <c r="G167">
        <v>1413</v>
      </c>
      <c r="H167">
        <f t="shared" si="5"/>
        <v>892</v>
      </c>
      <c r="I167">
        <v>327</v>
      </c>
      <c r="J167">
        <v>19</v>
      </c>
      <c r="K167">
        <v>175</v>
      </c>
      <c r="L167">
        <v>531</v>
      </c>
      <c r="M167">
        <v>73</v>
      </c>
      <c r="N167">
        <f t="shared" si="4"/>
        <v>3431</v>
      </c>
      <c r="O167">
        <v>689</v>
      </c>
      <c r="P167">
        <v>55</v>
      </c>
      <c r="Q167">
        <v>1162</v>
      </c>
      <c r="R167">
        <v>66</v>
      </c>
      <c r="S167">
        <v>38</v>
      </c>
      <c r="T167">
        <v>0</v>
      </c>
      <c r="U167">
        <v>64</v>
      </c>
      <c r="V167">
        <v>137</v>
      </c>
      <c r="W167">
        <v>79</v>
      </c>
      <c r="X167">
        <v>34</v>
      </c>
      <c r="Y167">
        <v>0.25900000000000001</v>
      </c>
      <c r="Z167">
        <v>0.33100000000000002</v>
      </c>
      <c r="AA167">
        <v>0.42299999999999999</v>
      </c>
    </row>
    <row r="168" spans="1:27" x14ac:dyDescent="0.2">
      <c r="A168" s="52">
        <v>2005</v>
      </c>
      <c r="B168" t="s">
        <v>71</v>
      </c>
      <c r="C168" t="s">
        <v>163</v>
      </c>
      <c r="D168">
        <v>162</v>
      </c>
      <c r="E168">
        <v>5564</v>
      </c>
      <c r="F168" s="1">
        <v>688</v>
      </c>
      <c r="G168">
        <v>1441</v>
      </c>
      <c r="H168">
        <f t="shared" si="5"/>
        <v>1006</v>
      </c>
      <c r="I168">
        <v>269</v>
      </c>
      <c r="J168">
        <v>32</v>
      </c>
      <c r="K168">
        <v>134</v>
      </c>
      <c r="L168">
        <v>485</v>
      </c>
      <c r="M168">
        <v>59</v>
      </c>
      <c r="N168">
        <f t="shared" si="4"/>
        <v>3579</v>
      </c>
      <c r="O168">
        <v>644</v>
      </c>
      <c r="P168">
        <v>49</v>
      </c>
      <c r="Q168">
        <v>978</v>
      </c>
      <c r="R168">
        <v>42</v>
      </c>
      <c r="S168">
        <v>42</v>
      </c>
      <c r="T168">
        <v>0</v>
      </c>
      <c r="U168">
        <v>68</v>
      </c>
      <c r="V168">
        <v>155</v>
      </c>
      <c r="W168">
        <v>102</v>
      </c>
      <c r="X168">
        <v>44</v>
      </c>
      <c r="Y168">
        <v>0.25900000000000001</v>
      </c>
      <c r="Z168">
        <v>0.32300000000000001</v>
      </c>
      <c r="AA168">
        <v>0.39100000000000001</v>
      </c>
    </row>
    <row r="169" spans="1:27" x14ac:dyDescent="0.2">
      <c r="A169" s="52">
        <v>2005</v>
      </c>
      <c r="B169" t="s">
        <v>158</v>
      </c>
      <c r="C169" t="s">
        <v>38</v>
      </c>
      <c r="D169">
        <v>162</v>
      </c>
      <c r="E169">
        <v>5505</v>
      </c>
      <c r="F169" s="1">
        <v>722</v>
      </c>
      <c r="G169">
        <v>1421</v>
      </c>
      <c r="H169">
        <f t="shared" si="5"/>
        <v>935</v>
      </c>
      <c r="I169">
        <v>279</v>
      </c>
      <c r="J169">
        <v>32</v>
      </c>
      <c r="K169">
        <v>175</v>
      </c>
      <c r="L169">
        <v>486</v>
      </c>
      <c r="M169">
        <v>48</v>
      </c>
      <c r="N169">
        <f t="shared" si="4"/>
        <v>3550</v>
      </c>
      <c r="O169">
        <v>683</v>
      </c>
      <c r="P169">
        <v>49</v>
      </c>
      <c r="Q169">
        <v>1075</v>
      </c>
      <c r="R169">
        <v>69</v>
      </c>
      <c r="S169">
        <v>38</v>
      </c>
      <c r="T169">
        <v>0</v>
      </c>
      <c r="U169">
        <v>77</v>
      </c>
      <c r="V169">
        <v>103</v>
      </c>
      <c r="W169">
        <v>153</v>
      </c>
      <c r="X169">
        <v>40</v>
      </c>
      <c r="Y169">
        <v>0.25800000000000001</v>
      </c>
      <c r="Z169">
        <v>0.32200000000000001</v>
      </c>
      <c r="AA169">
        <v>0.41599999999999998</v>
      </c>
    </row>
    <row r="170" spans="1:27" x14ac:dyDescent="0.2">
      <c r="A170" s="52">
        <v>2005</v>
      </c>
      <c r="B170" t="s">
        <v>158</v>
      </c>
      <c r="C170" t="s">
        <v>163</v>
      </c>
      <c r="D170">
        <v>162</v>
      </c>
      <c r="E170">
        <v>5624</v>
      </c>
      <c r="F170" s="1">
        <v>886</v>
      </c>
      <c r="G170">
        <v>1552</v>
      </c>
      <c r="H170">
        <f t="shared" si="5"/>
        <v>1048</v>
      </c>
      <c r="I170">
        <v>259</v>
      </c>
      <c r="J170">
        <v>16</v>
      </c>
      <c r="K170">
        <v>229</v>
      </c>
      <c r="L170">
        <v>637</v>
      </c>
      <c r="M170">
        <v>73</v>
      </c>
      <c r="N170">
        <f t="shared" si="4"/>
        <v>3362</v>
      </c>
      <c r="O170">
        <v>847</v>
      </c>
      <c r="P170">
        <v>41</v>
      </c>
      <c r="Q170">
        <v>989</v>
      </c>
      <c r="R170">
        <v>28</v>
      </c>
      <c r="S170">
        <v>43</v>
      </c>
      <c r="T170">
        <v>1</v>
      </c>
      <c r="U170">
        <v>89</v>
      </c>
      <c r="V170">
        <v>125</v>
      </c>
      <c r="W170">
        <v>84</v>
      </c>
      <c r="X170">
        <v>27</v>
      </c>
      <c r="Y170">
        <v>0.27600000000000002</v>
      </c>
      <c r="Z170">
        <v>0.35499999999999998</v>
      </c>
      <c r="AA170">
        <v>0.45</v>
      </c>
    </row>
    <row r="171" spans="1:27" x14ac:dyDescent="0.2">
      <c r="A171" s="52">
        <v>2005</v>
      </c>
      <c r="B171" t="s">
        <v>79</v>
      </c>
      <c r="C171" t="s">
        <v>163</v>
      </c>
      <c r="D171">
        <v>162</v>
      </c>
      <c r="E171">
        <v>5627</v>
      </c>
      <c r="F171" s="1">
        <v>772</v>
      </c>
      <c r="G171">
        <v>1476</v>
      </c>
      <c r="H171">
        <f t="shared" si="5"/>
        <v>991</v>
      </c>
      <c r="I171">
        <v>310</v>
      </c>
      <c r="J171">
        <v>20</v>
      </c>
      <c r="K171">
        <v>155</v>
      </c>
      <c r="L171">
        <v>537</v>
      </c>
      <c r="M171">
        <v>52</v>
      </c>
      <c r="N171">
        <f t="shared" si="4"/>
        <v>3562</v>
      </c>
      <c r="O171">
        <v>739</v>
      </c>
      <c r="P171">
        <v>22</v>
      </c>
      <c r="Q171">
        <v>819</v>
      </c>
      <c r="R171">
        <v>19</v>
      </c>
      <c r="S171">
        <v>40</v>
      </c>
      <c r="T171">
        <v>0</v>
      </c>
      <c r="U171">
        <v>75</v>
      </c>
      <c r="V171">
        <v>148</v>
      </c>
      <c r="W171">
        <v>31</v>
      </c>
      <c r="X171">
        <v>22</v>
      </c>
      <c r="Y171">
        <v>0.26200000000000001</v>
      </c>
      <c r="Z171">
        <v>0.33</v>
      </c>
      <c r="AA171">
        <v>0.40699999999999997</v>
      </c>
    </row>
    <row r="172" spans="1:27" x14ac:dyDescent="0.2">
      <c r="A172" s="52">
        <v>2005</v>
      </c>
      <c r="B172" t="s">
        <v>81</v>
      </c>
      <c r="C172" t="s">
        <v>38</v>
      </c>
      <c r="D172">
        <v>162</v>
      </c>
      <c r="E172">
        <v>5542</v>
      </c>
      <c r="F172" s="1">
        <v>807</v>
      </c>
      <c r="G172">
        <v>1494</v>
      </c>
      <c r="H172">
        <f t="shared" si="5"/>
        <v>1010</v>
      </c>
      <c r="I172">
        <v>282</v>
      </c>
      <c r="J172">
        <v>35</v>
      </c>
      <c r="K172">
        <v>167</v>
      </c>
      <c r="L172">
        <v>639</v>
      </c>
      <c r="M172">
        <v>56</v>
      </c>
      <c r="N172">
        <f t="shared" si="4"/>
        <v>3353</v>
      </c>
      <c r="O172">
        <v>760</v>
      </c>
      <c r="P172">
        <v>76</v>
      </c>
      <c r="Q172">
        <v>1083</v>
      </c>
      <c r="R172">
        <v>62</v>
      </c>
      <c r="S172">
        <v>46</v>
      </c>
      <c r="T172">
        <v>0</v>
      </c>
      <c r="U172">
        <v>61</v>
      </c>
      <c r="V172">
        <v>107</v>
      </c>
      <c r="W172">
        <v>116</v>
      </c>
      <c r="X172">
        <v>27</v>
      </c>
      <c r="Y172">
        <v>0.27</v>
      </c>
      <c r="Z172">
        <v>0.34799999999999998</v>
      </c>
      <c r="AA172">
        <v>0.42299999999999999</v>
      </c>
    </row>
    <row r="173" spans="1:27" x14ac:dyDescent="0.2">
      <c r="A173" s="52">
        <v>2005</v>
      </c>
      <c r="B173" t="s">
        <v>83</v>
      </c>
      <c r="C173" t="s">
        <v>38</v>
      </c>
      <c r="D173">
        <v>162</v>
      </c>
      <c r="E173">
        <v>5573</v>
      </c>
      <c r="F173" s="1">
        <v>680</v>
      </c>
      <c r="G173">
        <v>1445</v>
      </c>
      <c r="H173">
        <f t="shared" si="5"/>
        <v>976</v>
      </c>
      <c r="I173">
        <v>292</v>
      </c>
      <c r="J173">
        <v>38</v>
      </c>
      <c r="K173">
        <v>139</v>
      </c>
      <c r="L173">
        <v>471</v>
      </c>
      <c r="M173">
        <v>72</v>
      </c>
      <c r="N173">
        <f t="shared" si="4"/>
        <v>3585</v>
      </c>
      <c r="O173">
        <v>656</v>
      </c>
      <c r="P173">
        <v>38</v>
      </c>
      <c r="Q173">
        <v>1092</v>
      </c>
      <c r="R173">
        <v>56</v>
      </c>
      <c r="S173">
        <v>49</v>
      </c>
      <c r="T173">
        <v>0</v>
      </c>
      <c r="U173">
        <v>90</v>
      </c>
      <c r="V173">
        <v>130</v>
      </c>
      <c r="W173">
        <v>73</v>
      </c>
      <c r="X173">
        <v>30</v>
      </c>
      <c r="Y173">
        <v>0.25900000000000001</v>
      </c>
      <c r="Z173">
        <v>0.32200000000000001</v>
      </c>
      <c r="AA173">
        <v>0.4</v>
      </c>
    </row>
    <row r="174" spans="1:27" x14ac:dyDescent="0.2">
      <c r="A174" s="52">
        <v>2005</v>
      </c>
      <c r="B174" t="s">
        <v>161</v>
      </c>
      <c r="C174" t="s">
        <v>38</v>
      </c>
      <c r="D174">
        <v>162</v>
      </c>
      <c r="E174">
        <v>5502</v>
      </c>
      <c r="F174" s="1">
        <v>684</v>
      </c>
      <c r="G174">
        <v>1416</v>
      </c>
      <c r="H174">
        <f t="shared" si="5"/>
        <v>978</v>
      </c>
      <c r="I174">
        <v>269</v>
      </c>
      <c r="J174">
        <v>39</v>
      </c>
      <c r="K174">
        <v>130</v>
      </c>
      <c r="L174">
        <v>600</v>
      </c>
      <c r="M174">
        <v>49</v>
      </c>
      <c r="N174">
        <f t="shared" si="4"/>
        <v>3437</v>
      </c>
      <c r="O174">
        <v>655</v>
      </c>
      <c r="P174">
        <v>41</v>
      </c>
      <c r="Q174">
        <v>977</v>
      </c>
      <c r="R174">
        <v>72</v>
      </c>
      <c r="S174">
        <v>48</v>
      </c>
      <c r="T174">
        <v>0</v>
      </c>
      <c r="U174">
        <v>62</v>
      </c>
      <c r="V174">
        <v>122</v>
      </c>
      <c r="W174">
        <v>99</v>
      </c>
      <c r="X174">
        <v>44</v>
      </c>
      <c r="Y174">
        <v>0.25700000000000001</v>
      </c>
      <c r="Z174">
        <v>0.33300000000000002</v>
      </c>
      <c r="AA174">
        <v>0.39100000000000001</v>
      </c>
    </row>
    <row r="175" spans="1:27" x14ac:dyDescent="0.2">
      <c r="A175" s="52">
        <v>2005</v>
      </c>
      <c r="B175" t="s">
        <v>87</v>
      </c>
      <c r="C175" t="s">
        <v>163</v>
      </c>
      <c r="D175">
        <v>162</v>
      </c>
      <c r="E175">
        <v>5507</v>
      </c>
      <c r="F175" s="1">
        <v>699</v>
      </c>
      <c r="G175">
        <v>1408</v>
      </c>
      <c r="H175">
        <f t="shared" si="5"/>
        <v>955</v>
      </c>
      <c r="I175">
        <v>289</v>
      </c>
      <c r="J175">
        <v>34</v>
      </c>
      <c r="K175">
        <v>130</v>
      </c>
      <c r="L175">
        <v>466</v>
      </c>
      <c r="M175">
        <v>48</v>
      </c>
      <c r="N175">
        <f t="shared" si="4"/>
        <v>3585</v>
      </c>
      <c r="O175">
        <v>657</v>
      </c>
      <c r="P175">
        <v>50</v>
      </c>
      <c r="Q175">
        <v>986</v>
      </c>
      <c r="R175">
        <v>37</v>
      </c>
      <c r="S175">
        <v>37</v>
      </c>
      <c r="T175">
        <v>0</v>
      </c>
      <c r="U175">
        <v>68</v>
      </c>
      <c r="V175">
        <v>115</v>
      </c>
      <c r="W175">
        <v>102</v>
      </c>
      <c r="X175">
        <v>47</v>
      </c>
      <c r="Y175">
        <v>0.25600000000000001</v>
      </c>
      <c r="Z175">
        <v>0.317</v>
      </c>
      <c r="AA175">
        <v>0.39100000000000001</v>
      </c>
    </row>
    <row r="176" spans="1:27" x14ac:dyDescent="0.2">
      <c r="A176" s="52">
        <v>2005</v>
      </c>
      <c r="B176" t="s">
        <v>21</v>
      </c>
      <c r="C176" t="s">
        <v>38</v>
      </c>
      <c r="D176">
        <v>162</v>
      </c>
      <c r="E176">
        <v>5462</v>
      </c>
      <c r="F176" s="1">
        <v>649</v>
      </c>
      <c r="G176">
        <v>1427</v>
      </c>
      <c r="H176">
        <f t="shared" si="5"/>
        <v>974</v>
      </c>
      <c r="I176">
        <v>299</v>
      </c>
      <c r="J176">
        <v>26</v>
      </c>
      <c r="K176">
        <v>128</v>
      </c>
      <c r="L176">
        <v>431</v>
      </c>
      <c r="M176">
        <v>49</v>
      </c>
      <c r="N176">
        <f t="shared" si="4"/>
        <v>3555</v>
      </c>
      <c r="O176">
        <v>617</v>
      </c>
      <c r="P176">
        <v>26</v>
      </c>
      <c r="Q176">
        <v>901</v>
      </c>
      <c r="R176">
        <v>91</v>
      </c>
      <c r="S176">
        <v>44</v>
      </c>
      <c r="T176">
        <v>0</v>
      </c>
      <c r="U176">
        <v>62</v>
      </c>
      <c r="V176">
        <v>147</v>
      </c>
      <c r="W176">
        <v>71</v>
      </c>
      <c r="X176">
        <v>35</v>
      </c>
      <c r="Y176">
        <v>0.26100000000000001</v>
      </c>
      <c r="Z176">
        <v>0.31900000000000001</v>
      </c>
      <c r="AA176">
        <v>0.39600000000000002</v>
      </c>
    </row>
    <row r="177" spans="1:27" x14ac:dyDescent="0.2">
      <c r="A177" s="52">
        <v>2005</v>
      </c>
      <c r="B177" t="s">
        <v>156</v>
      </c>
      <c r="C177" t="s">
        <v>38</v>
      </c>
      <c r="D177">
        <v>162</v>
      </c>
      <c r="E177">
        <v>5538</v>
      </c>
      <c r="F177" s="1">
        <v>805</v>
      </c>
      <c r="G177">
        <v>1494</v>
      </c>
      <c r="H177">
        <f t="shared" si="5"/>
        <v>1011</v>
      </c>
      <c r="I177">
        <v>287</v>
      </c>
      <c r="J177">
        <v>26</v>
      </c>
      <c r="K177">
        <v>170</v>
      </c>
      <c r="L177">
        <v>534</v>
      </c>
      <c r="M177">
        <v>62</v>
      </c>
      <c r="N177">
        <f t="shared" si="4"/>
        <v>3448</v>
      </c>
      <c r="O177">
        <v>757</v>
      </c>
      <c r="P177">
        <v>60</v>
      </c>
      <c r="Q177">
        <v>947</v>
      </c>
      <c r="R177">
        <v>77</v>
      </c>
      <c r="S177">
        <v>35</v>
      </c>
      <c r="T177">
        <v>0</v>
      </c>
      <c r="U177">
        <v>82</v>
      </c>
      <c r="V177">
        <v>127</v>
      </c>
      <c r="W177">
        <v>83</v>
      </c>
      <c r="X177">
        <v>36</v>
      </c>
      <c r="Y177">
        <v>0.27</v>
      </c>
      <c r="Z177">
        <v>0.33900000000000002</v>
      </c>
      <c r="AA177">
        <v>0.42299999999999999</v>
      </c>
    </row>
    <row r="178" spans="1:27" x14ac:dyDescent="0.2">
      <c r="A178" s="52">
        <v>2005</v>
      </c>
      <c r="B178" t="s">
        <v>165</v>
      </c>
      <c r="C178" t="s">
        <v>163</v>
      </c>
      <c r="D178">
        <v>162</v>
      </c>
      <c r="E178">
        <v>5552</v>
      </c>
      <c r="F178" s="1">
        <v>750</v>
      </c>
      <c r="G178">
        <v>1519</v>
      </c>
      <c r="H178">
        <f t="shared" si="5"/>
        <v>1033</v>
      </c>
      <c r="I178">
        <v>289</v>
      </c>
      <c r="J178">
        <v>40</v>
      </c>
      <c r="K178">
        <v>157</v>
      </c>
      <c r="L178">
        <v>412</v>
      </c>
      <c r="M178">
        <v>69</v>
      </c>
      <c r="N178">
        <f t="shared" si="4"/>
        <v>3552</v>
      </c>
      <c r="O178">
        <v>717</v>
      </c>
      <c r="P178">
        <v>25</v>
      </c>
      <c r="Q178">
        <v>990</v>
      </c>
      <c r="R178">
        <v>34</v>
      </c>
      <c r="S178">
        <v>51</v>
      </c>
      <c r="T178">
        <v>2</v>
      </c>
      <c r="U178">
        <v>54</v>
      </c>
      <c r="V178">
        <v>133</v>
      </c>
      <c r="W178">
        <v>151</v>
      </c>
      <c r="X178">
        <v>49</v>
      </c>
      <c r="Y178">
        <v>0.27400000000000002</v>
      </c>
      <c r="Z178">
        <v>0.32900000000000001</v>
      </c>
      <c r="AA178">
        <v>0.42499999999999999</v>
      </c>
    </row>
    <row r="179" spans="1:27" x14ac:dyDescent="0.2">
      <c r="A179" s="52">
        <v>2005</v>
      </c>
      <c r="B179" t="s">
        <v>95</v>
      </c>
      <c r="C179" t="s">
        <v>163</v>
      </c>
      <c r="D179">
        <v>162</v>
      </c>
      <c r="E179">
        <v>5716</v>
      </c>
      <c r="F179" s="1">
        <v>865</v>
      </c>
      <c r="G179">
        <v>1528</v>
      </c>
      <c r="H179">
        <f t="shared" si="5"/>
        <v>928</v>
      </c>
      <c r="I179">
        <v>311</v>
      </c>
      <c r="J179">
        <v>29</v>
      </c>
      <c r="K179">
        <v>260</v>
      </c>
      <c r="L179">
        <v>495</v>
      </c>
      <c r="M179">
        <v>48</v>
      </c>
      <c r="N179">
        <f t="shared" si="4"/>
        <v>3645</v>
      </c>
      <c r="O179">
        <v>834</v>
      </c>
      <c r="P179">
        <v>20</v>
      </c>
      <c r="Q179">
        <v>1112</v>
      </c>
      <c r="R179">
        <v>9</v>
      </c>
      <c r="S179">
        <v>32</v>
      </c>
      <c r="T179">
        <v>1</v>
      </c>
      <c r="U179">
        <v>75</v>
      </c>
      <c r="V179">
        <v>123</v>
      </c>
      <c r="W179">
        <v>67</v>
      </c>
      <c r="X179">
        <v>15</v>
      </c>
      <c r="Y179">
        <v>0.26700000000000002</v>
      </c>
      <c r="Z179">
        <v>0.32900000000000001</v>
      </c>
      <c r="AA179">
        <v>0.46800000000000003</v>
      </c>
    </row>
    <row r="180" spans="1:27" x14ac:dyDescent="0.2">
      <c r="A180" s="52">
        <v>2005</v>
      </c>
      <c r="B180" t="s">
        <v>97</v>
      </c>
      <c r="C180" t="s">
        <v>163</v>
      </c>
      <c r="D180">
        <v>162</v>
      </c>
      <c r="E180">
        <v>5581</v>
      </c>
      <c r="F180" s="1">
        <v>775</v>
      </c>
      <c r="G180">
        <v>1480</v>
      </c>
      <c r="H180">
        <f t="shared" si="5"/>
        <v>998</v>
      </c>
      <c r="I180">
        <v>307</v>
      </c>
      <c r="J180">
        <v>39</v>
      </c>
      <c r="K180">
        <v>136</v>
      </c>
      <c r="L180">
        <v>486</v>
      </c>
      <c r="M180">
        <v>89</v>
      </c>
      <c r="N180">
        <f t="shared" si="4"/>
        <v>3526</v>
      </c>
      <c r="O180">
        <v>735</v>
      </c>
      <c r="P180">
        <v>18</v>
      </c>
      <c r="Q180">
        <v>955</v>
      </c>
      <c r="R180">
        <v>21</v>
      </c>
      <c r="S180">
        <v>56</v>
      </c>
      <c r="T180">
        <v>0</v>
      </c>
      <c r="U180">
        <v>59</v>
      </c>
      <c r="V180">
        <v>126</v>
      </c>
      <c r="W180">
        <v>72</v>
      </c>
      <c r="X180">
        <v>35</v>
      </c>
      <c r="Y180">
        <v>0.26500000000000001</v>
      </c>
      <c r="Z180">
        <v>0.33100000000000002</v>
      </c>
      <c r="AA180">
        <v>0.40699999999999997</v>
      </c>
    </row>
    <row r="181" spans="1:27" x14ac:dyDescent="0.2">
      <c r="A181" s="52">
        <v>2005</v>
      </c>
      <c r="B181" t="s">
        <v>101</v>
      </c>
      <c r="C181" t="s">
        <v>38</v>
      </c>
      <c r="D181">
        <v>162</v>
      </c>
      <c r="E181">
        <v>5426</v>
      </c>
      <c r="F181" s="1">
        <v>639</v>
      </c>
      <c r="G181">
        <v>1367</v>
      </c>
      <c r="H181">
        <f t="shared" si="5"/>
        <v>907</v>
      </c>
      <c r="I181">
        <v>311</v>
      </c>
      <c r="J181">
        <v>32</v>
      </c>
      <c r="K181">
        <v>117</v>
      </c>
      <c r="L181">
        <v>491</v>
      </c>
      <c r="M181">
        <v>89</v>
      </c>
      <c r="N181">
        <f t="shared" si="4"/>
        <v>3479</v>
      </c>
      <c r="O181">
        <v>615</v>
      </c>
      <c r="P181">
        <v>55</v>
      </c>
      <c r="Q181">
        <v>1090</v>
      </c>
      <c r="R181">
        <v>91</v>
      </c>
      <c r="S181">
        <v>45</v>
      </c>
      <c r="T181">
        <v>0</v>
      </c>
      <c r="U181">
        <v>54</v>
      </c>
      <c r="V181">
        <v>130</v>
      </c>
      <c r="W181">
        <v>45</v>
      </c>
      <c r="X181">
        <v>45</v>
      </c>
      <c r="Y181">
        <v>0.252</v>
      </c>
      <c r="Z181">
        <v>0.32200000000000001</v>
      </c>
      <c r="AA181">
        <v>0.38600000000000001</v>
      </c>
    </row>
    <row r="182" spans="1:27" x14ac:dyDescent="0.2">
      <c r="A182" s="52">
        <v>2006</v>
      </c>
      <c r="B182" t="s">
        <v>37</v>
      </c>
      <c r="C182" t="s">
        <v>163</v>
      </c>
      <c r="D182">
        <v>162</v>
      </c>
      <c r="E182">
        <v>5609</v>
      </c>
      <c r="F182" s="1">
        <v>766</v>
      </c>
      <c r="G182">
        <v>1539</v>
      </c>
      <c r="H182">
        <f t="shared" si="5"/>
        <v>1042</v>
      </c>
      <c r="I182">
        <v>309</v>
      </c>
      <c r="J182">
        <v>29</v>
      </c>
      <c r="K182">
        <v>159</v>
      </c>
      <c r="L182">
        <v>486</v>
      </c>
      <c r="M182">
        <v>42</v>
      </c>
      <c r="N182">
        <f t="shared" si="4"/>
        <v>3542</v>
      </c>
      <c r="O182">
        <v>737</v>
      </c>
      <c r="P182">
        <v>49</v>
      </c>
      <c r="Q182">
        <v>914</v>
      </c>
      <c r="R182">
        <v>31</v>
      </c>
      <c r="S182">
        <v>53</v>
      </c>
      <c r="T182">
        <v>0</v>
      </c>
      <c r="U182">
        <v>60</v>
      </c>
      <c r="V182">
        <v>126</v>
      </c>
      <c r="W182">
        <v>148</v>
      </c>
      <c r="X182">
        <v>57</v>
      </c>
      <c r="Y182">
        <v>0.27400000000000002</v>
      </c>
      <c r="Z182">
        <v>0.33400000000000002</v>
      </c>
      <c r="AA182">
        <v>0.42499999999999999</v>
      </c>
    </row>
    <row r="183" spans="1:27" x14ac:dyDescent="0.2">
      <c r="A183" s="52">
        <v>2006</v>
      </c>
      <c r="B183" t="s">
        <v>40</v>
      </c>
      <c r="C183" t="s">
        <v>38</v>
      </c>
      <c r="D183">
        <v>162</v>
      </c>
      <c r="E183">
        <v>5645</v>
      </c>
      <c r="F183" s="1">
        <v>773</v>
      </c>
      <c r="G183">
        <v>1506</v>
      </c>
      <c r="H183">
        <f t="shared" si="5"/>
        <v>977</v>
      </c>
      <c r="I183">
        <v>331</v>
      </c>
      <c r="J183">
        <v>38</v>
      </c>
      <c r="K183">
        <v>160</v>
      </c>
      <c r="L183">
        <v>504</v>
      </c>
      <c r="M183">
        <v>67</v>
      </c>
      <c r="N183">
        <f t="shared" si="4"/>
        <v>3568</v>
      </c>
      <c r="O183">
        <v>743</v>
      </c>
      <c r="P183">
        <v>47</v>
      </c>
      <c r="Q183">
        <v>965</v>
      </c>
      <c r="R183">
        <v>61</v>
      </c>
      <c r="S183">
        <v>53</v>
      </c>
      <c r="T183">
        <v>0</v>
      </c>
      <c r="U183">
        <v>79</v>
      </c>
      <c r="V183">
        <v>136</v>
      </c>
      <c r="W183">
        <v>76</v>
      </c>
      <c r="X183">
        <v>30</v>
      </c>
      <c r="Y183">
        <v>0.26700000000000002</v>
      </c>
      <c r="Z183">
        <v>0.33100000000000002</v>
      </c>
      <c r="AA183">
        <v>0.42399999999999999</v>
      </c>
    </row>
    <row r="184" spans="1:27" x14ac:dyDescent="0.2">
      <c r="A184" s="52">
        <v>2006</v>
      </c>
      <c r="B184" t="s">
        <v>42</v>
      </c>
      <c r="C184" t="s">
        <v>38</v>
      </c>
      <c r="D184">
        <v>162</v>
      </c>
      <c r="E184">
        <v>5583</v>
      </c>
      <c r="F184" s="1">
        <v>849</v>
      </c>
      <c r="G184">
        <v>1510</v>
      </c>
      <c r="H184">
        <f t="shared" si="5"/>
        <v>950</v>
      </c>
      <c r="I184">
        <v>312</v>
      </c>
      <c r="J184">
        <v>26</v>
      </c>
      <c r="K184">
        <v>222</v>
      </c>
      <c r="L184">
        <v>526</v>
      </c>
      <c r="M184">
        <v>52</v>
      </c>
      <c r="N184">
        <f t="shared" si="4"/>
        <v>3495</v>
      </c>
      <c r="O184">
        <v>818</v>
      </c>
      <c r="P184">
        <v>48</v>
      </c>
      <c r="Q184">
        <v>1169</v>
      </c>
      <c r="R184">
        <v>78</v>
      </c>
      <c r="S184">
        <v>44</v>
      </c>
      <c r="T184">
        <v>1</v>
      </c>
      <c r="U184">
        <v>81</v>
      </c>
      <c r="V184">
        <v>131</v>
      </c>
      <c r="W184">
        <v>52</v>
      </c>
      <c r="X184">
        <v>35</v>
      </c>
      <c r="Y184">
        <v>0.27</v>
      </c>
      <c r="Z184">
        <v>0.33700000000000002</v>
      </c>
      <c r="AA184">
        <v>0.45500000000000002</v>
      </c>
    </row>
    <row r="185" spans="1:27" x14ac:dyDescent="0.2">
      <c r="A185" s="52">
        <v>2006</v>
      </c>
      <c r="B185" t="s">
        <v>45</v>
      </c>
      <c r="C185" t="s">
        <v>163</v>
      </c>
      <c r="D185">
        <v>162</v>
      </c>
      <c r="E185">
        <v>5610</v>
      </c>
      <c r="F185" s="1">
        <v>768</v>
      </c>
      <c r="G185">
        <v>1556</v>
      </c>
      <c r="H185">
        <f t="shared" si="5"/>
        <v>1084</v>
      </c>
      <c r="I185">
        <v>288</v>
      </c>
      <c r="J185">
        <v>20</v>
      </c>
      <c r="K185">
        <v>164</v>
      </c>
      <c r="L185">
        <v>474</v>
      </c>
      <c r="M185">
        <v>73</v>
      </c>
      <c r="N185">
        <f t="shared" si="4"/>
        <v>3507</v>
      </c>
      <c r="O185">
        <v>727</v>
      </c>
      <c r="P185">
        <v>35</v>
      </c>
      <c r="Q185">
        <v>878</v>
      </c>
      <c r="R185">
        <v>40</v>
      </c>
      <c r="S185">
        <v>41</v>
      </c>
      <c r="T185">
        <v>2</v>
      </c>
      <c r="U185">
        <v>67</v>
      </c>
      <c r="V185">
        <v>145</v>
      </c>
      <c r="W185">
        <v>121</v>
      </c>
      <c r="X185">
        <v>32</v>
      </c>
      <c r="Y185">
        <v>0.27700000000000002</v>
      </c>
      <c r="Z185">
        <v>0.33900000000000002</v>
      </c>
      <c r="AA185">
        <v>0.42399999999999999</v>
      </c>
    </row>
    <row r="186" spans="1:27" x14ac:dyDescent="0.2">
      <c r="A186" s="52">
        <v>2006</v>
      </c>
      <c r="B186" t="s">
        <v>47</v>
      </c>
      <c r="C186" t="s">
        <v>163</v>
      </c>
      <c r="D186">
        <v>162</v>
      </c>
      <c r="E186">
        <v>5619</v>
      </c>
      <c r="F186" s="1">
        <v>820</v>
      </c>
      <c r="G186">
        <v>1510</v>
      </c>
      <c r="H186">
        <f t="shared" si="5"/>
        <v>975</v>
      </c>
      <c r="I186">
        <v>327</v>
      </c>
      <c r="J186">
        <v>16</v>
      </c>
      <c r="K186">
        <v>192</v>
      </c>
      <c r="L186">
        <v>672</v>
      </c>
      <c r="M186">
        <v>66</v>
      </c>
      <c r="N186">
        <f t="shared" si="4"/>
        <v>3371</v>
      </c>
      <c r="O186">
        <v>777</v>
      </c>
      <c r="P186">
        <v>56</v>
      </c>
      <c r="Q186">
        <v>1056</v>
      </c>
      <c r="R186">
        <v>22</v>
      </c>
      <c r="S186">
        <v>56</v>
      </c>
      <c r="T186">
        <v>0</v>
      </c>
      <c r="U186">
        <v>71</v>
      </c>
      <c r="V186">
        <v>136</v>
      </c>
      <c r="W186">
        <v>51</v>
      </c>
      <c r="X186">
        <v>23</v>
      </c>
      <c r="Y186">
        <v>0.26900000000000002</v>
      </c>
      <c r="Z186">
        <v>0.35099999999999998</v>
      </c>
      <c r="AA186">
        <v>0.435</v>
      </c>
    </row>
    <row r="187" spans="1:27" x14ac:dyDescent="0.2">
      <c r="A187" s="52">
        <v>2006</v>
      </c>
      <c r="B187" t="s">
        <v>157</v>
      </c>
      <c r="C187" t="s">
        <v>38</v>
      </c>
      <c r="D187">
        <v>162</v>
      </c>
      <c r="E187">
        <v>5587</v>
      </c>
      <c r="F187" s="1">
        <v>716</v>
      </c>
      <c r="G187">
        <v>1496</v>
      </c>
      <c r="H187">
        <f t="shared" si="5"/>
        <v>1013</v>
      </c>
      <c r="I187">
        <v>271</v>
      </c>
      <c r="J187">
        <v>46</v>
      </c>
      <c r="K187">
        <v>166</v>
      </c>
      <c r="L187">
        <v>395</v>
      </c>
      <c r="M187">
        <v>43</v>
      </c>
      <c r="N187">
        <f t="shared" si="4"/>
        <v>3653</v>
      </c>
      <c r="O187">
        <v>677</v>
      </c>
      <c r="P187">
        <v>24</v>
      </c>
      <c r="Q187">
        <v>928</v>
      </c>
      <c r="R187">
        <v>84</v>
      </c>
      <c r="S187">
        <v>37</v>
      </c>
      <c r="T187">
        <v>1</v>
      </c>
      <c r="U187">
        <v>89</v>
      </c>
      <c r="V187">
        <v>135</v>
      </c>
      <c r="W187">
        <v>121</v>
      </c>
      <c r="X187">
        <v>49</v>
      </c>
      <c r="Y187">
        <v>0.26800000000000002</v>
      </c>
      <c r="Z187">
        <v>0.31900000000000001</v>
      </c>
      <c r="AA187">
        <v>0.42199999999999999</v>
      </c>
    </row>
    <row r="188" spans="1:27" x14ac:dyDescent="0.2">
      <c r="A188" s="52">
        <v>2006</v>
      </c>
      <c r="B188" t="s">
        <v>157</v>
      </c>
      <c r="C188" t="s">
        <v>163</v>
      </c>
      <c r="D188">
        <v>162</v>
      </c>
      <c r="E188">
        <v>5657</v>
      </c>
      <c r="F188" s="1">
        <v>868</v>
      </c>
      <c r="G188">
        <v>1586</v>
      </c>
      <c r="H188">
        <f t="shared" si="5"/>
        <v>1039</v>
      </c>
      <c r="I188">
        <v>291</v>
      </c>
      <c r="J188">
        <v>20</v>
      </c>
      <c r="K188">
        <v>236</v>
      </c>
      <c r="L188">
        <v>502</v>
      </c>
      <c r="M188">
        <v>58</v>
      </c>
      <c r="N188">
        <f t="shared" si="4"/>
        <v>3511</v>
      </c>
      <c r="O188">
        <v>839</v>
      </c>
      <c r="P188">
        <v>33</v>
      </c>
      <c r="Q188">
        <v>1056</v>
      </c>
      <c r="R188">
        <v>44</v>
      </c>
      <c r="S188">
        <v>57</v>
      </c>
      <c r="T188">
        <v>0</v>
      </c>
      <c r="U188">
        <v>69</v>
      </c>
      <c r="V188">
        <v>118</v>
      </c>
      <c r="W188">
        <v>93</v>
      </c>
      <c r="X188">
        <v>48</v>
      </c>
      <c r="Y188">
        <v>0.28000000000000003</v>
      </c>
      <c r="Z188">
        <v>0.34200000000000003</v>
      </c>
      <c r="AA188">
        <v>0.46400000000000002</v>
      </c>
    </row>
    <row r="189" spans="1:27" x14ac:dyDescent="0.2">
      <c r="A189" s="52">
        <v>2006</v>
      </c>
      <c r="B189" t="s">
        <v>53</v>
      </c>
      <c r="C189" t="s">
        <v>38</v>
      </c>
      <c r="D189">
        <v>162</v>
      </c>
      <c r="E189">
        <v>5515</v>
      </c>
      <c r="F189" s="1">
        <v>749</v>
      </c>
      <c r="G189">
        <v>1419</v>
      </c>
      <c r="H189">
        <f t="shared" si="5"/>
        <v>899</v>
      </c>
      <c r="I189">
        <v>291</v>
      </c>
      <c r="J189">
        <v>12</v>
      </c>
      <c r="K189">
        <v>217</v>
      </c>
      <c r="L189">
        <v>614</v>
      </c>
      <c r="M189">
        <v>59</v>
      </c>
      <c r="N189">
        <f t="shared" si="4"/>
        <v>3423</v>
      </c>
      <c r="O189">
        <v>718</v>
      </c>
      <c r="P189">
        <v>52</v>
      </c>
      <c r="Q189">
        <v>1192</v>
      </c>
      <c r="R189">
        <v>66</v>
      </c>
      <c r="S189">
        <v>38</v>
      </c>
      <c r="T189">
        <v>4</v>
      </c>
      <c r="U189">
        <v>52</v>
      </c>
      <c r="V189">
        <v>122</v>
      </c>
      <c r="W189">
        <v>124</v>
      </c>
      <c r="X189">
        <v>33</v>
      </c>
      <c r="Y189">
        <v>0.25700000000000001</v>
      </c>
      <c r="Z189">
        <v>0.33600000000000002</v>
      </c>
      <c r="AA189">
        <v>0.432</v>
      </c>
    </row>
    <row r="190" spans="1:27" x14ac:dyDescent="0.2">
      <c r="A190" s="52">
        <v>2006</v>
      </c>
      <c r="B190" t="s">
        <v>55</v>
      </c>
      <c r="C190" t="s">
        <v>163</v>
      </c>
      <c r="D190">
        <v>162</v>
      </c>
      <c r="E190">
        <v>5619</v>
      </c>
      <c r="F190" s="1">
        <v>870</v>
      </c>
      <c r="G190">
        <v>1576</v>
      </c>
      <c r="H190">
        <f t="shared" si="5"/>
        <v>1002</v>
      </c>
      <c r="I190">
        <v>351</v>
      </c>
      <c r="J190">
        <v>27</v>
      </c>
      <c r="K190">
        <v>196</v>
      </c>
      <c r="L190">
        <v>556</v>
      </c>
      <c r="M190">
        <v>54</v>
      </c>
      <c r="N190">
        <f t="shared" si="4"/>
        <v>3433</v>
      </c>
      <c r="O190">
        <v>839</v>
      </c>
      <c r="P190">
        <v>42</v>
      </c>
      <c r="Q190">
        <v>1204</v>
      </c>
      <c r="R190">
        <v>30</v>
      </c>
      <c r="S190">
        <v>43</v>
      </c>
      <c r="T190">
        <v>1</v>
      </c>
      <c r="U190">
        <v>56</v>
      </c>
      <c r="V190">
        <v>127</v>
      </c>
      <c r="W190">
        <v>55</v>
      </c>
      <c r="X190">
        <v>23</v>
      </c>
      <c r="Y190">
        <v>0.28000000000000003</v>
      </c>
      <c r="Z190">
        <v>0.34899999999999998</v>
      </c>
      <c r="AA190">
        <v>0.45700000000000002</v>
      </c>
    </row>
    <row r="191" spans="1:27" x14ac:dyDescent="0.2">
      <c r="A191" s="52">
        <v>2006</v>
      </c>
      <c r="B191" t="s">
        <v>57</v>
      </c>
      <c r="C191" t="s">
        <v>38</v>
      </c>
      <c r="D191">
        <v>162</v>
      </c>
      <c r="E191">
        <v>5562</v>
      </c>
      <c r="F191" s="1">
        <v>813</v>
      </c>
      <c r="G191">
        <v>1504</v>
      </c>
      <c r="H191">
        <f t="shared" si="5"/>
        <v>968</v>
      </c>
      <c r="I191">
        <v>325</v>
      </c>
      <c r="J191">
        <v>54</v>
      </c>
      <c r="K191">
        <v>157</v>
      </c>
      <c r="L191">
        <v>561</v>
      </c>
      <c r="M191">
        <v>60</v>
      </c>
      <c r="N191">
        <f t="shared" si="4"/>
        <v>3437</v>
      </c>
      <c r="O191">
        <v>761</v>
      </c>
      <c r="P191">
        <v>64</v>
      </c>
      <c r="Q191">
        <v>1108</v>
      </c>
      <c r="R191">
        <v>119</v>
      </c>
      <c r="S191">
        <v>45</v>
      </c>
      <c r="T191">
        <v>1</v>
      </c>
      <c r="U191">
        <v>87</v>
      </c>
      <c r="V191">
        <v>119</v>
      </c>
      <c r="W191">
        <v>85</v>
      </c>
      <c r="X191">
        <v>50</v>
      </c>
      <c r="Y191">
        <v>0.27</v>
      </c>
      <c r="Z191">
        <v>0.34100000000000003</v>
      </c>
      <c r="AA191">
        <v>0.433</v>
      </c>
    </row>
    <row r="192" spans="1:27" x14ac:dyDescent="0.2">
      <c r="A192" s="52">
        <v>2006</v>
      </c>
      <c r="B192" t="s">
        <v>59</v>
      </c>
      <c r="C192" t="s">
        <v>163</v>
      </c>
      <c r="D192">
        <v>162</v>
      </c>
      <c r="E192">
        <v>5642</v>
      </c>
      <c r="F192" s="1">
        <v>822</v>
      </c>
      <c r="G192">
        <v>1548</v>
      </c>
      <c r="H192">
        <f t="shared" si="5"/>
        <v>1011</v>
      </c>
      <c r="I192">
        <v>294</v>
      </c>
      <c r="J192">
        <v>40</v>
      </c>
      <c r="K192">
        <v>203</v>
      </c>
      <c r="L192">
        <v>430</v>
      </c>
      <c r="M192">
        <v>45</v>
      </c>
      <c r="N192">
        <f t="shared" si="4"/>
        <v>3619</v>
      </c>
      <c r="O192">
        <v>785</v>
      </c>
      <c r="P192">
        <v>27</v>
      </c>
      <c r="Q192">
        <v>1133</v>
      </c>
      <c r="R192">
        <v>45</v>
      </c>
      <c r="S192">
        <v>36</v>
      </c>
      <c r="T192">
        <v>0</v>
      </c>
      <c r="U192">
        <v>81</v>
      </c>
      <c r="V192">
        <v>120</v>
      </c>
      <c r="W192">
        <v>60</v>
      </c>
      <c r="X192">
        <v>40</v>
      </c>
      <c r="Y192">
        <v>0.27400000000000002</v>
      </c>
      <c r="Z192">
        <v>0.32900000000000001</v>
      </c>
      <c r="AA192">
        <v>0.44900000000000001</v>
      </c>
    </row>
    <row r="193" spans="1:27" x14ac:dyDescent="0.2">
      <c r="A193" s="52">
        <v>2006</v>
      </c>
      <c r="B193" t="s">
        <v>160</v>
      </c>
      <c r="C193" t="s">
        <v>38</v>
      </c>
      <c r="D193">
        <v>162</v>
      </c>
      <c r="E193">
        <v>5502</v>
      </c>
      <c r="F193" s="1">
        <v>758</v>
      </c>
      <c r="G193">
        <v>1454</v>
      </c>
      <c r="H193">
        <f t="shared" si="5"/>
        <v>921</v>
      </c>
      <c r="I193">
        <v>309</v>
      </c>
      <c r="J193">
        <v>42</v>
      </c>
      <c r="K193">
        <v>182</v>
      </c>
      <c r="L193">
        <v>497</v>
      </c>
      <c r="M193">
        <v>74</v>
      </c>
      <c r="N193">
        <f t="shared" si="4"/>
        <v>3477</v>
      </c>
      <c r="O193">
        <v>713</v>
      </c>
      <c r="P193">
        <v>55</v>
      </c>
      <c r="Q193">
        <v>1249</v>
      </c>
      <c r="R193">
        <v>76</v>
      </c>
      <c r="S193">
        <v>42</v>
      </c>
      <c r="T193">
        <v>0</v>
      </c>
      <c r="U193">
        <v>74</v>
      </c>
      <c r="V193">
        <v>109</v>
      </c>
      <c r="W193">
        <v>110</v>
      </c>
      <c r="X193">
        <v>58</v>
      </c>
      <c r="Y193">
        <v>0.26400000000000001</v>
      </c>
      <c r="Z193">
        <v>0.33100000000000002</v>
      </c>
      <c r="AA193">
        <v>0.435</v>
      </c>
    </row>
    <row r="194" spans="1:27" x14ac:dyDescent="0.2">
      <c r="A194" s="52">
        <v>2006</v>
      </c>
      <c r="B194" t="s">
        <v>63</v>
      </c>
      <c r="C194" t="s">
        <v>38</v>
      </c>
      <c r="D194">
        <v>162</v>
      </c>
      <c r="E194">
        <v>5521</v>
      </c>
      <c r="F194" s="1">
        <v>735</v>
      </c>
      <c r="G194">
        <v>1407</v>
      </c>
      <c r="H194">
        <f t="shared" si="5"/>
        <v>931</v>
      </c>
      <c r="I194">
        <v>275</v>
      </c>
      <c r="J194">
        <v>27</v>
      </c>
      <c r="K194">
        <v>174</v>
      </c>
      <c r="L194">
        <v>585</v>
      </c>
      <c r="M194">
        <v>73</v>
      </c>
      <c r="N194">
        <f t="shared" ref="N194:N257" si="6">E194-(G194+L194+M194)</f>
        <v>3456</v>
      </c>
      <c r="O194">
        <v>708</v>
      </c>
      <c r="P194">
        <v>54</v>
      </c>
      <c r="Q194">
        <v>1076</v>
      </c>
      <c r="R194">
        <v>100</v>
      </c>
      <c r="S194">
        <v>46</v>
      </c>
      <c r="T194">
        <v>1</v>
      </c>
      <c r="U194">
        <v>58</v>
      </c>
      <c r="V194">
        <v>122</v>
      </c>
      <c r="W194">
        <v>79</v>
      </c>
      <c r="X194">
        <v>36</v>
      </c>
      <c r="Y194">
        <v>0.255</v>
      </c>
      <c r="Z194">
        <v>0.33200000000000002</v>
      </c>
      <c r="AA194">
        <v>0.40899999999999997</v>
      </c>
    </row>
    <row r="195" spans="1:27" x14ac:dyDescent="0.2">
      <c r="A195" s="52">
        <v>2006</v>
      </c>
      <c r="B195" t="s">
        <v>164</v>
      </c>
      <c r="C195" t="s">
        <v>163</v>
      </c>
      <c r="D195">
        <v>162</v>
      </c>
      <c r="E195">
        <v>5589</v>
      </c>
      <c r="F195" s="1">
        <v>757</v>
      </c>
      <c r="G195">
        <v>1515</v>
      </c>
      <c r="H195">
        <f t="shared" ref="H195:H258" si="7">G195-(I195+J195+K195)</f>
        <v>1019</v>
      </c>
      <c r="I195">
        <v>335</v>
      </c>
      <c r="J195">
        <v>37</v>
      </c>
      <c r="K195">
        <v>124</v>
      </c>
      <c r="L195">
        <v>474</v>
      </c>
      <c r="M195">
        <v>64</v>
      </c>
      <c r="N195">
        <f t="shared" si="6"/>
        <v>3536</v>
      </c>
      <c r="O195">
        <v>718</v>
      </c>
      <c r="P195">
        <v>32</v>
      </c>
      <c r="Q195">
        <v>1040</v>
      </c>
      <c r="R195">
        <v>52</v>
      </c>
      <c r="S195">
        <v>48</v>
      </c>
      <c r="T195">
        <v>2</v>
      </c>
      <c r="U195">
        <v>67</v>
      </c>
      <c r="V195">
        <v>130</v>
      </c>
      <c r="W195">
        <v>65</v>
      </c>
      <c r="X195">
        <v>34</v>
      </c>
      <c r="Y195">
        <v>0.27100000000000002</v>
      </c>
      <c r="Z195">
        <v>0.33200000000000002</v>
      </c>
      <c r="AA195">
        <v>0.41099999999999998</v>
      </c>
    </row>
    <row r="196" spans="1:27" x14ac:dyDescent="0.2">
      <c r="A196" s="52">
        <v>2006</v>
      </c>
      <c r="B196" t="s">
        <v>159</v>
      </c>
      <c r="C196" t="s">
        <v>38</v>
      </c>
      <c r="D196">
        <v>162</v>
      </c>
      <c r="E196">
        <v>5628</v>
      </c>
      <c r="F196" s="1">
        <v>820</v>
      </c>
      <c r="G196">
        <v>1552</v>
      </c>
      <c r="H196">
        <f t="shared" si="7"/>
        <v>1034</v>
      </c>
      <c r="I196">
        <v>307</v>
      </c>
      <c r="J196">
        <v>58</v>
      </c>
      <c r="K196">
        <v>153</v>
      </c>
      <c r="L196">
        <v>601</v>
      </c>
      <c r="M196">
        <v>51</v>
      </c>
      <c r="N196">
        <f t="shared" si="6"/>
        <v>3424</v>
      </c>
      <c r="O196">
        <v>787</v>
      </c>
      <c r="P196">
        <v>61</v>
      </c>
      <c r="Q196">
        <v>959</v>
      </c>
      <c r="R196">
        <v>66</v>
      </c>
      <c r="S196">
        <v>48</v>
      </c>
      <c r="T196">
        <v>0</v>
      </c>
      <c r="U196">
        <v>77</v>
      </c>
      <c r="V196">
        <v>140</v>
      </c>
      <c r="W196">
        <v>128</v>
      </c>
      <c r="X196">
        <v>49</v>
      </c>
      <c r="Y196">
        <v>0.27600000000000002</v>
      </c>
      <c r="Z196">
        <v>0.34799999999999998</v>
      </c>
      <c r="AA196">
        <v>0.432</v>
      </c>
    </row>
    <row r="197" spans="1:27" x14ac:dyDescent="0.2">
      <c r="A197" s="52">
        <v>2006</v>
      </c>
      <c r="B197" t="s">
        <v>69</v>
      </c>
      <c r="C197" t="s">
        <v>38</v>
      </c>
      <c r="D197">
        <v>162</v>
      </c>
      <c r="E197">
        <v>5433</v>
      </c>
      <c r="F197" s="1">
        <v>730</v>
      </c>
      <c r="G197">
        <v>1400</v>
      </c>
      <c r="H197">
        <f t="shared" si="7"/>
        <v>899</v>
      </c>
      <c r="I197">
        <v>301</v>
      </c>
      <c r="J197">
        <v>20</v>
      </c>
      <c r="K197">
        <v>180</v>
      </c>
      <c r="L197">
        <v>502</v>
      </c>
      <c r="M197">
        <v>82</v>
      </c>
      <c r="N197">
        <f t="shared" si="6"/>
        <v>3449</v>
      </c>
      <c r="O197">
        <v>695</v>
      </c>
      <c r="P197">
        <v>48</v>
      </c>
      <c r="Q197">
        <v>1233</v>
      </c>
      <c r="R197">
        <v>58</v>
      </c>
      <c r="S197">
        <v>53</v>
      </c>
      <c r="T197">
        <v>2</v>
      </c>
      <c r="U197">
        <v>78</v>
      </c>
      <c r="V197">
        <v>133</v>
      </c>
      <c r="W197">
        <v>71</v>
      </c>
      <c r="X197">
        <v>37</v>
      </c>
      <c r="Y197">
        <v>0.25800000000000001</v>
      </c>
      <c r="Z197">
        <v>0.32700000000000001</v>
      </c>
      <c r="AA197">
        <v>0.42</v>
      </c>
    </row>
    <row r="198" spans="1:27" x14ac:dyDescent="0.2">
      <c r="A198" s="52">
        <v>2006</v>
      </c>
      <c r="B198" t="s">
        <v>71</v>
      </c>
      <c r="C198" t="s">
        <v>163</v>
      </c>
      <c r="D198">
        <v>162</v>
      </c>
      <c r="E198">
        <v>5602</v>
      </c>
      <c r="F198" s="1">
        <v>801</v>
      </c>
      <c r="G198">
        <v>1608</v>
      </c>
      <c r="H198">
        <f t="shared" si="7"/>
        <v>1156</v>
      </c>
      <c r="I198">
        <v>275</v>
      </c>
      <c r="J198">
        <v>34</v>
      </c>
      <c r="K198">
        <v>143</v>
      </c>
      <c r="L198">
        <v>490</v>
      </c>
      <c r="M198">
        <v>50</v>
      </c>
      <c r="N198">
        <f t="shared" si="6"/>
        <v>3454</v>
      </c>
      <c r="O198">
        <v>754</v>
      </c>
      <c r="P198">
        <v>46</v>
      </c>
      <c r="Q198">
        <v>872</v>
      </c>
      <c r="R198">
        <v>31</v>
      </c>
      <c r="S198">
        <v>55</v>
      </c>
      <c r="T198">
        <v>0</v>
      </c>
      <c r="U198">
        <v>63</v>
      </c>
      <c r="V198">
        <v>163</v>
      </c>
      <c r="W198">
        <v>101</v>
      </c>
      <c r="X198">
        <v>42</v>
      </c>
      <c r="Y198">
        <v>0.28699999999999998</v>
      </c>
      <c r="Z198">
        <v>0.34699999999999998</v>
      </c>
      <c r="AA198">
        <v>0.42499999999999999</v>
      </c>
    </row>
    <row r="199" spans="1:27" x14ac:dyDescent="0.2">
      <c r="A199" s="52">
        <v>2006</v>
      </c>
      <c r="B199" t="s">
        <v>158</v>
      </c>
      <c r="C199" t="s">
        <v>38</v>
      </c>
      <c r="D199">
        <v>162</v>
      </c>
      <c r="E199">
        <v>5558</v>
      </c>
      <c r="F199" s="1">
        <v>834</v>
      </c>
      <c r="G199">
        <v>1469</v>
      </c>
      <c r="H199">
        <f t="shared" si="7"/>
        <v>905</v>
      </c>
      <c r="I199">
        <v>323</v>
      </c>
      <c r="J199">
        <v>41</v>
      </c>
      <c r="K199">
        <v>200</v>
      </c>
      <c r="L199">
        <v>547</v>
      </c>
      <c r="M199">
        <v>62</v>
      </c>
      <c r="N199">
        <f t="shared" si="6"/>
        <v>3480</v>
      </c>
      <c r="O199">
        <v>800</v>
      </c>
      <c r="P199">
        <v>63</v>
      </c>
      <c r="Q199">
        <v>1071</v>
      </c>
      <c r="R199">
        <v>77</v>
      </c>
      <c r="S199">
        <v>47</v>
      </c>
      <c r="T199">
        <v>0</v>
      </c>
      <c r="U199">
        <v>66</v>
      </c>
      <c r="V199">
        <v>114</v>
      </c>
      <c r="W199">
        <v>146</v>
      </c>
      <c r="X199">
        <v>35</v>
      </c>
      <c r="Y199">
        <v>0.26400000000000001</v>
      </c>
      <c r="Z199">
        <v>0.33400000000000002</v>
      </c>
      <c r="AA199">
        <v>0.44500000000000001</v>
      </c>
    </row>
    <row r="200" spans="1:27" x14ac:dyDescent="0.2">
      <c r="A200" s="52">
        <v>2006</v>
      </c>
      <c r="B200" t="s">
        <v>158</v>
      </c>
      <c r="C200" t="s">
        <v>163</v>
      </c>
      <c r="D200">
        <v>162</v>
      </c>
      <c r="E200">
        <v>5651</v>
      </c>
      <c r="F200" s="1">
        <v>930</v>
      </c>
      <c r="G200">
        <v>1608</v>
      </c>
      <c r="H200">
        <f t="shared" si="7"/>
        <v>1050</v>
      </c>
      <c r="I200">
        <v>327</v>
      </c>
      <c r="J200">
        <v>21</v>
      </c>
      <c r="K200">
        <v>210</v>
      </c>
      <c r="L200">
        <v>649</v>
      </c>
      <c r="M200">
        <v>72</v>
      </c>
      <c r="N200">
        <f t="shared" si="6"/>
        <v>3322</v>
      </c>
      <c r="O200">
        <v>902</v>
      </c>
      <c r="P200">
        <v>43</v>
      </c>
      <c r="Q200">
        <v>1053</v>
      </c>
      <c r="R200">
        <v>34</v>
      </c>
      <c r="S200">
        <v>49</v>
      </c>
      <c r="T200">
        <v>0</v>
      </c>
      <c r="U200">
        <v>70</v>
      </c>
      <c r="V200">
        <v>139</v>
      </c>
      <c r="W200">
        <v>139</v>
      </c>
      <c r="X200">
        <v>35</v>
      </c>
      <c r="Y200">
        <v>0.28499999999999998</v>
      </c>
      <c r="Z200">
        <v>0.36299999999999999</v>
      </c>
      <c r="AA200">
        <v>0.46100000000000002</v>
      </c>
    </row>
    <row r="201" spans="1:27" x14ac:dyDescent="0.2">
      <c r="A201" s="52">
        <v>2006</v>
      </c>
      <c r="B201" t="s">
        <v>79</v>
      </c>
      <c r="C201" t="s">
        <v>163</v>
      </c>
      <c r="D201">
        <v>162</v>
      </c>
      <c r="E201">
        <v>5500</v>
      </c>
      <c r="F201" s="1">
        <v>771</v>
      </c>
      <c r="G201">
        <v>1429</v>
      </c>
      <c r="H201">
        <f t="shared" si="7"/>
        <v>966</v>
      </c>
      <c r="I201">
        <v>266</v>
      </c>
      <c r="J201">
        <v>22</v>
      </c>
      <c r="K201">
        <v>175</v>
      </c>
      <c r="L201">
        <v>650</v>
      </c>
      <c r="M201">
        <v>50</v>
      </c>
      <c r="N201">
        <f t="shared" si="6"/>
        <v>3371</v>
      </c>
      <c r="O201">
        <v>735</v>
      </c>
      <c r="P201">
        <v>28</v>
      </c>
      <c r="Q201">
        <v>976</v>
      </c>
      <c r="R201">
        <v>25</v>
      </c>
      <c r="S201">
        <v>56</v>
      </c>
      <c r="T201">
        <v>0</v>
      </c>
      <c r="U201">
        <v>62</v>
      </c>
      <c r="V201">
        <v>170</v>
      </c>
      <c r="W201">
        <v>61</v>
      </c>
      <c r="X201">
        <v>20</v>
      </c>
      <c r="Y201">
        <v>0.26</v>
      </c>
      <c r="Z201">
        <v>0.34</v>
      </c>
      <c r="AA201">
        <v>0.41199999999999998</v>
      </c>
    </row>
    <row r="202" spans="1:27" x14ac:dyDescent="0.2">
      <c r="A202" s="52">
        <v>2006</v>
      </c>
      <c r="B202" t="s">
        <v>81</v>
      </c>
      <c r="C202" t="s">
        <v>38</v>
      </c>
      <c r="D202">
        <v>162</v>
      </c>
      <c r="E202">
        <v>5687</v>
      </c>
      <c r="F202" s="1">
        <v>865</v>
      </c>
      <c r="G202">
        <v>1518</v>
      </c>
      <c r="H202">
        <f t="shared" si="7"/>
        <v>967</v>
      </c>
      <c r="I202">
        <v>294</v>
      </c>
      <c r="J202">
        <v>41</v>
      </c>
      <c r="K202">
        <v>216</v>
      </c>
      <c r="L202">
        <v>626</v>
      </c>
      <c r="M202">
        <v>95</v>
      </c>
      <c r="N202">
        <f t="shared" si="6"/>
        <v>3448</v>
      </c>
      <c r="O202">
        <v>823</v>
      </c>
      <c r="P202">
        <v>67</v>
      </c>
      <c r="Q202">
        <v>1203</v>
      </c>
      <c r="R202">
        <v>57</v>
      </c>
      <c r="S202">
        <v>44</v>
      </c>
      <c r="T202">
        <v>0</v>
      </c>
      <c r="U202">
        <v>80</v>
      </c>
      <c r="V202">
        <v>115</v>
      </c>
      <c r="W202">
        <v>92</v>
      </c>
      <c r="X202">
        <v>25</v>
      </c>
      <c r="Y202">
        <v>0.26700000000000002</v>
      </c>
      <c r="Z202">
        <v>0.34699999999999998</v>
      </c>
      <c r="AA202">
        <v>0.44700000000000001</v>
      </c>
    </row>
    <row r="203" spans="1:27" x14ac:dyDescent="0.2">
      <c r="A203" s="52">
        <v>2006</v>
      </c>
      <c r="B203" t="s">
        <v>83</v>
      </c>
      <c r="C203" t="s">
        <v>38</v>
      </c>
      <c r="D203">
        <v>162</v>
      </c>
      <c r="E203">
        <v>5558</v>
      </c>
      <c r="F203" s="1">
        <v>691</v>
      </c>
      <c r="G203">
        <v>1462</v>
      </c>
      <c r="H203">
        <f t="shared" si="7"/>
        <v>1018</v>
      </c>
      <c r="I203">
        <v>286</v>
      </c>
      <c r="J203">
        <v>17</v>
      </c>
      <c r="K203">
        <v>141</v>
      </c>
      <c r="L203">
        <v>459</v>
      </c>
      <c r="M203">
        <v>89</v>
      </c>
      <c r="N203">
        <f t="shared" si="6"/>
        <v>3548</v>
      </c>
      <c r="O203">
        <v>656</v>
      </c>
      <c r="P203">
        <v>49</v>
      </c>
      <c r="Q203">
        <v>1200</v>
      </c>
      <c r="R203">
        <v>62</v>
      </c>
      <c r="S203">
        <v>49</v>
      </c>
      <c r="T203">
        <v>1</v>
      </c>
      <c r="U203">
        <v>71</v>
      </c>
      <c r="V203">
        <v>153</v>
      </c>
      <c r="W203">
        <v>68</v>
      </c>
      <c r="X203">
        <v>23</v>
      </c>
      <c r="Y203">
        <v>0.26300000000000001</v>
      </c>
      <c r="Z203">
        <v>0.32700000000000001</v>
      </c>
      <c r="AA203">
        <v>0.39700000000000002</v>
      </c>
    </row>
    <row r="204" spans="1:27" x14ac:dyDescent="0.2">
      <c r="A204" s="52">
        <v>2006</v>
      </c>
      <c r="B204" t="s">
        <v>161</v>
      </c>
      <c r="C204" t="s">
        <v>38</v>
      </c>
      <c r="D204">
        <v>162</v>
      </c>
      <c r="E204">
        <v>5576</v>
      </c>
      <c r="F204" s="1">
        <v>731</v>
      </c>
      <c r="G204">
        <v>1465</v>
      </c>
      <c r="H204">
        <f t="shared" si="7"/>
        <v>968</v>
      </c>
      <c r="I204">
        <v>298</v>
      </c>
      <c r="J204">
        <v>38</v>
      </c>
      <c r="K204">
        <v>161</v>
      </c>
      <c r="L204">
        <v>564</v>
      </c>
      <c r="M204">
        <v>40</v>
      </c>
      <c r="N204">
        <f t="shared" si="6"/>
        <v>3507</v>
      </c>
      <c r="O204">
        <v>698</v>
      </c>
      <c r="P204">
        <v>37</v>
      </c>
      <c r="Q204">
        <v>1104</v>
      </c>
      <c r="R204">
        <v>59</v>
      </c>
      <c r="S204">
        <v>47</v>
      </c>
      <c r="T204">
        <v>1</v>
      </c>
      <c r="U204">
        <v>61</v>
      </c>
      <c r="V204">
        <v>127</v>
      </c>
      <c r="W204">
        <v>123</v>
      </c>
      <c r="X204">
        <v>31</v>
      </c>
      <c r="Y204">
        <v>0.26300000000000001</v>
      </c>
      <c r="Z204">
        <v>0.33200000000000002</v>
      </c>
      <c r="AA204">
        <v>0.41599999999999998</v>
      </c>
    </row>
    <row r="205" spans="1:27" x14ac:dyDescent="0.2">
      <c r="A205" s="52">
        <v>2006</v>
      </c>
      <c r="B205" t="s">
        <v>87</v>
      </c>
      <c r="C205" t="s">
        <v>163</v>
      </c>
      <c r="D205">
        <v>162</v>
      </c>
      <c r="E205">
        <v>5670</v>
      </c>
      <c r="F205" s="1">
        <v>756</v>
      </c>
      <c r="G205">
        <v>1540</v>
      </c>
      <c r="H205">
        <f t="shared" si="7"/>
        <v>1060</v>
      </c>
      <c r="I205">
        <v>266</v>
      </c>
      <c r="J205">
        <v>42</v>
      </c>
      <c r="K205">
        <v>172</v>
      </c>
      <c r="L205">
        <v>404</v>
      </c>
      <c r="M205">
        <v>63</v>
      </c>
      <c r="N205">
        <f t="shared" si="6"/>
        <v>3663</v>
      </c>
      <c r="O205">
        <v>703</v>
      </c>
      <c r="P205">
        <v>49</v>
      </c>
      <c r="Q205">
        <v>974</v>
      </c>
      <c r="R205">
        <v>38</v>
      </c>
      <c r="S205">
        <v>38</v>
      </c>
      <c r="T205">
        <v>0</v>
      </c>
      <c r="U205">
        <v>85</v>
      </c>
      <c r="V205">
        <v>117</v>
      </c>
      <c r="W205">
        <v>106</v>
      </c>
      <c r="X205">
        <v>37</v>
      </c>
      <c r="Y205">
        <v>0.27200000000000002</v>
      </c>
      <c r="Z205">
        <v>0.32500000000000001</v>
      </c>
      <c r="AA205">
        <v>0.42399999999999999</v>
      </c>
    </row>
    <row r="206" spans="1:27" x14ac:dyDescent="0.2">
      <c r="A206" s="52">
        <v>2006</v>
      </c>
      <c r="B206" t="s">
        <v>21</v>
      </c>
      <c r="C206" t="s">
        <v>38</v>
      </c>
      <c r="D206">
        <v>161</v>
      </c>
      <c r="E206">
        <v>5472</v>
      </c>
      <c r="F206" s="1">
        <v>746</v>
      </c>
      <c r="G206">
        <v>1418</v>
      </c>
      <c r="H206">
        <f t="shared" si="7"/>
        <v>906</v>
      </c>
      <c r="I206">
        <v>297</v>
      </c>
      <c r="J206">
        <v>52</v>
      </c>
      <c r="K206">
        <v>163</v>
      </c>
      <c r="L206">
        <v>494</v>
      </c>
      <c r="M206">
        <v>53</v>
      </c>
      <c r="N206">
        <f t="shared" si="6"/>
        <v>3507</v>
      </c>
      <c r="O206">
        <v>711</v>
      </c>
      <c r="P206">
        <v>76</v>
      </c>
      <c r="Q206">
        <v>891</v>
      </c>
      <c r="R206">
        <v>80</v>
      </c>
      <c r="S206">
        <v>37</v>
      </c>
      <c r="T206">
        <v>0</v>
      </c>
      <c r="U206">
        <v>74</v>
      </c>
      <c r="V206">
        <v>136</v>
      </c>
      <c r="W206">
        <v>58</v>
      </c>
      <c r="X206">
        <v>25</v>
      </c>
      <c r="Y206">
        <v>0.25900000000000001</v>
      </c>
      <c r="Z206">
        <v>0.32400000000000001</v>
      </c>
      <c r="AA206">
        <v>0.42199999999999999</v>
      </c>
    </row>
    <row r="207" spans="1:27" x14ac:dyDescent="0.2">
      <c r="A207" s="52">
        <v>2006</v>
      </c>
      <c r="B207" t="s">
        <v>156</v>
      </c>
      <c r="C207" t="s">
        <v>38</v>
      </c>
      <c r="D207">
        <v>161</v>
      </c>
      <c r="E207">
        <v>5522</v>
      </c>
      <c r="F207" s="1">
        <v>781</v>
      </c>
      <c r="G207">
        <v>1484</v>
      </c>
      <c r="H207">
        <f t="shared" si="7"/>
        <v>981</v>
      </c>
      <c r="I207">
        <v>292</v>
      </c>
      <c r="J207">
        <v>27</v>
      </c>
      <c r="K207">
        <v>184</v>
      </c>
      <c r="L207">
        <v>531</v>
      </c>
      <c r="M207">
        <v>61</v>
      </c>
      <c r="N207">
        <f t="shared" si="6"/>
        <v>3446</v>
      </c>
      <c r="O207">
        <v>745</v>
      </c>
      <c r="P207">
        <v>70</v>
      </c>
      <c r="Q207">
        <v>922</v>
      </c>
      <c r="R207">
        <v>71</v>
      </c>
      <c r="S207">
        <v>40</v>
      </c>
      <c r="T207">
        <v>0</v>
      </c>
      <c r="U207">
        <v>66</v>
      </c>
      <c r="V207">
        <v>129</v>
      </c>
      <c r="W207">
        <v>59</v>
      </c>
      <c r="X207">
        <v>32</v>
      </c>
      <c r="Y207">
        <v>0.26900000000000002</v>
      </c>
      <c r="Z207">
        <v>0.33700000000000002</v>
      </c>
      <c r="AA207">
        <v>0.43099999999999999</v>
      </c>
    </row>
    <row r="208" spans="1:27" x14ac:dyDescent="0.2">
      <c r="A208" s="52">
        <v>2006</v>
      </c>
      <c r="B208" t="s">
        <v>165</v>
      </c>
      <c r="C208" t="s">
        <v>163</v>
      </c>
      <c r="D208">
        <v>162</v>
      </c>
      <c r="E208">
        <v>5474</v>
      </c>
      <c r="F208" s="1">
        <v>689</v>
      </c>
      <c r="G208">
        <v>1395</v>
      </c>
      <c r="H208">
        <f t="shared" si="7"/>
        <v>905</v>
      </c>
      <c r="I208">
        <v>267</v>
      </c>
      <c r="J208">
        <v>33</v>
      </c>
      <c r="K208">
        <v>190</v>
      </c>
      <c r="L208">
        <v>441</v>
      </c>
      <c r="M208">
        <v>47</v>
      </c>
      <c r="N208">
        <f t="shared" si="6"/>
        <v>3591</v>
      </c>
      <c r="O208">
        <v>650</v>
      </c>
      <c r="P208">
        <v>23</v>
      </c>
      <c r="Q208">
        <v>1106</v>
      </c>
      <c r="R208">
        <v>35</v>
      </c>
      <c r="S208">
        <v>43</v>
      </c>
      <c r="T208">
        <v>1</v>
      </c>
      <c r="U208">
        <v>55</v>
      </c>
      <c r="V208">
        <v>101</v>
      </c>
      <c r="W208">
        <v>134</v>
      </c>
      <c r="X208">
        <v>52</v>
      </c>
      <c r="Y208">
        <v>0.255</v>
      </c>
      <c r="Z208">
        <v>0.314</v>
      </c>
      <c r="AA208">
        <v>0.42</v>
      </c>
    </row>
    <row r="209" spans="1:27" x14ac:dyDescent="0.2">
      <c r="A209" s="52">
        <v>2006</v>
      </c>
      <c r="B209" t="s">
        <v>95</v>
      </c>
      <c r="C209" t="s">
        <v>163</v>
      </c>
      <c r="D209">
        <v>162</v>
      </c>
      <c r="E209">
        <v>5659</v>
      </c>
      <c r="F209" s="1">
        <v>835</v>
      </c>
      <c r="G209">
        <v>1571</v>
      </c>
      <c r="H209">
        <f t="shared" si="7"/>
        <v>1008</v>
      </c>
      <c r="I209">
        <v>357</v>
      </c>
      <c r="J209">
        <v>23</v>
      </c>
      <c r="K209">
        <v>183</v>
      </c>
      <c r="L209">
        <v>505</v>
      </c>
      <c r="M209">
        <v>40</v>
      </c>
      <c r="N209">
        <f t="shared" si="6"/>
        <v>3543</v>
      </c>
      <c r="O209">
        <v>799</v>
      </c>
      <c r="P209">
        <v>35</v>
      </c>
      <c r="Q209">
        <v>1061</v>
      </c>
      <c r="R209">
        <v>18</v>
      </c>
      <c r="S209">
        <v>50</v>
      </c>
      <c r="T209">
        <v>1</v>
      </c>
      <c r="U209">
        <v>77</v>
      </c>
      <c r="V209">
        <v>148</v>
      </c>
      <c r="W209">
        <v>53</v>
      </c>
      <c r="X209">
        <v>24</v>
      </c>
      <c r="Y209">
        <v>0.27800000000000002</v>
      </c>
      <c r="Z209">
        <v>0.33800000000000002</v>
      </c>
      <c r="AA209">
        <v>0.44600000000000001</v>
      </c>
    </row>
    <row r="210" spans="1:27" x14ac:dyDescent="0.2">
      <c r="A210" s="52">
        <v>2006</v>
      </c>
      <c r="B210" t="s">
        <v>97</v>
      </c>
      <c r="C210" t="s">
        <v>163</v>
      </c>
      <c r="D210">
        <v>162</v>
      </c>
      <c r="E210">
        <v>5596</v>
      </c>
      <c r="F210" s="1">
        <v>809</v>
      </c>
      <c r="G210">
        <v>1591</v>
      </c>
      <c r="H210">
        <f t="shared" si="7"/>
        <v>1017</v>
      </c>
      <c r="I210">
        <v>348</v>
      </c>
      <c r="J210">
        <v>27</v>
      </c>
      <c r="K210">
        <v>199</v>
      </c>
      <c r="L210">
        <v>514</v>
      </c>
      <c r="M210">
        <v>63</v>
      </c>
      <c r="N210">
        <f t="shared" si="6"/>
        <v>3428</v>
      </c>
      <c r="O210">
        <v>778</v>
      </c>
      <c r="P210">
        <v>31</v>
      </c>
      <c r="Q210">
        <v>906</v>
      </c>
      <c r="R210">
        <v>16</v>
      </c>
      <c r="S210">
        <v>52</v>
      </c>
      <c r="T210">
        <v>0</v>
      </c>
      <c r="U210">
        <v>51</v>
      </c>
      <c r="V210">
        <v>166</v>
      </c>
      <c r="W210">
        <v>65</v>
      </c>
      <c r="X210">
        <v>33</v>
      </c>
      <c r="Y210">
        <v>0.28399999999999997</v>
      </c>
      <c r="Z210">
        <v>0.34799999999999998</v>
      </c>
      <c r="AA210">
        <v>0.46300000000000002</v>
      </c>
    </row>
    <row r="211" spans="1:27" x14ac:dyDescent="0.2">
      <c r="A211" s="52">
        <v>2006</v>
      </c>
      <c r="B211" t="s">
        <v>101</v>
      </c>
      <c r="C211" t="s">
        <v>38</v>
      </c>
      <c r="D211">
        <v>162</v>
      </c>
      <c r="E211">
        <v>5495</v>
      </c>
      <c r="F211" s="1">
        <v>746</v>
      </c>
      <c r="G211">
        <v>1437</v>
      </c>
      <c r="H211">
        <f t="shared" si="7"/>
        <v>929</v>
      </c>
      <c r="I211">
        <v>322</v>
      </c>
      <c r="J211">
        <v>22</v>
      </c>
      <c r="K211">
        <v>164</v>
      </c>
      <c r="L211">
        <v>594</v>
      </c>
      <c r="M211">
        <v>69</v>
      </c>
      <c r="N211">
        <f t="shared" si="6"/>
        <v>3395</v>
      </c>
      <c r="O211">
        <v>695</v>
      </c>
      <c r="P211">
        <v>66</v>
      </c>
      <c r="Q211">
        <v>1156</v>
      </c>
      <c r="R211">
        <v>76</v>
      </c>
      <c r="S211">
        <v>49</v>
      </c>
      <c r="T211">
        <v>0</v>
      </c>
      <c r="U211">
        <v>59</v>
      </c>
      <c r="V211">
        <v>118</v>
      </c>
      <c r="W211">
        <v>123</v>
      </c>
      <c r="X211">
        <v>62</v>
      </c>
      <c r="Y211">
        <v>0.26200000000000001</v>
      </c>
      <c r="Z211">
        <v>0.33800000000000002</v>
      </c>
      <c r="AA211">
        <v>0.41799999999999998</v>
      </c>
    </row>
    <row r="212" spans="1:27" x14ac:dyDescent="0.2">
      <c r="A212" s="52">
        <v>2007</v>
      </c>
      <c r="B212" t="s">
        <v>37</v>
      </c>
      <c r="C212" t="s">
        <v>163</v>
      </c>
      <c r="D212">
        <v>162</v>
      </c>
      <c r="E212">
        <v>5554</v>
      </c>
      <c r="F212" s="1">
        <v>822</v>
      </c>
      <c r="G212">
        <v>1578</v>
      </c>
      <c r="H212">
        <f t="shared" si="7"/>
        <v>1108</v>
      </c>
      <c r="I212">
        <v>324</v>
      </c>
      <c r="J212">
        <v>23</v>
      </c>
      <c r="K212">
        <v>123</v>
      </c>
      <c r="L212">
        <v>507</v>
      </c>
      <c r="M212">
        <v>40</v>
      </c>
      <c r="N212">
        <f t="shared" si="6"/>
        <v>3429</v>
      </c>
      <c r="O212">
        <v>776</v>
      </c>
      <c r="P212">
        <v>55</v>
      </c>
      <c r="Q212">
        <v>883</v>
      </c>
      <c r="R212">
        <v>32</v>
      </c>
      <c r="S212">
        <v>65</v>
      </c>
      <c r="T212">
        <v>0</v>
      </c>
      <c r="U212">
        <v>68</v>
      </c>
      <c r="V212">
        <v>146</v>
      </c>
      <c r="W212">
        <v>139</v>
      </c>
      <c r="X212">
        <v>55</v>
      </c>
      <c r="Y212">
        <v>0.28399999999999997</v>
      </c>
      <c r="Z212">
        <v>0.34499999999999997</v>
      </c>
      <c r="AA212">
        <v>0.41699999999999998</v>
      </c>
    </row>
    <row r="213" spans="1:27" x14ac:dyDescent="0.2">
      <c r="A213" s="52">
        <v>2007</v>
      </c>
      <c r="B213" t="s">
        <v>40</v>
      </c>
      <c r="C213" t="s">
        <v>38</v>
      </c>
      <c r="D213">
        <v>162</v>
      </c>
      <c r="E213">
        <v>5398</v>
      </c>
      <c r="F213" s="1">
        <v>712</v>
      </c>
      <c r="G213">
        <v>1350</v>
      </c>
      <c r="H213">
        <f t="shared" si="7"/>
        <v>853</v>
      </c>
      <c r="I213">
        <v>286</v>
      </c>
      <c r="J213">
        <v>40</v>
      </c>
      <c r="K213">
        <v>171</v>
      </c>
      <c r="L213">
        <v>532</v>
      </c>
      <c r="M213">
        <v>57</v>
      </c>
      <c r="N213">
        <f t="shared" si="6"/>
        <v>3459</v>
      </c>
      <c r="O213">
        <v>687</v>
      </c>
      <c r="P213">
        <v>38</v>
      </c>
      <c r="Q213">
        <v>1111</v>
      </c>
      <c r="R213">
        <v>55</v>
      </c>
      <c r="S213">
        <v>58</v>
      </c>
      <c r="T213">
        <v>1</v>
      </c>
      <c r="U213">
        <v>61</v>
      </c>
      <c r="V213">
        <v>121</v>
      </c>
      <c r="W213">
        <v>109</v>
      </c>
      <c r="X213">
        <v>24</v>
      </c>
      <c r="Y213">
        <v>0.25</v>
      </c>
      <c r="Z213">
        <v>0.32100000000000001</v>
      </c>
      <c r="AA213">
        <v>0.41299999999999998</v>
      </c>
    </row>
    <row r="214" spans="1:27" x14ac:dyDescent="0.2">
      <c r="A214" s="52">
        <v>2007</v>
      </c>
      <c r="B214" t="s">
        <v>42</v>
      </c>
      <c r="C214" t="s">
        <v>38</v>
      </c>
      <c r="D214">
        <v>162</v>
      </c>
      <c r="E214">
        <v>5689</v>
      </c>
      <c r="F214" s="1">
        <v>810</v>
      </c>
      <c r="G214">
        <v>1562</v>
      </c>
      <c r="H214">
        <f t="shared" si="7"/>
        <v>1031</v>
      </c>
      <c r="I214">
        <v>328</v>
      </c>
      <c r="J214">
        <v>27</v>
      </c>
      <c r="K214">
        <v>176</v>
      </c>
      <c r="L214">
        <v>534</v>
      </c>
      <c r="M214">
        <v>49</v>
      </c>
      <c r="N214">
        <f t="shared" si="6"/>
        <v>3544</v>
      </c>
      <c r="O214">
        <v>781</v>
      </c>
      <c r="P214">
        <v>43</v>
      </c>
      <c r="Q214">
        <v>1149</v>
      </c>
      <c r="R214">
        <v>55</v>
      </c>
      <c r="S214">
        <v>47</v>
      </c>
      <c r="T214">
        <v>0</v>
      </c>
      <c r="U214">
        <v>74</v>
      </c>
      <c r="V214">
        <v>137</v>
      </c>
      <c r="W214">
        <v>64</v>
      </c>
      <c r="X214">
        <v>30</v>
      </c>
      <c r="Y214">
        <v>0.27500000000000002</v>
      </c>
      <c r="Z214">
        <v>0.33900000000000002</v>
      </c>
      <c r="AA214">
        <v>0.435</v>
      </c>
    </row>
    <row r="215" spans="1:27" x14ac:dyDescent="0.2">
      <c r="A215" s="52">
        <v>2007</v>
      </c>
      <c r="B215" t="s">
        <v>45</v>
      </c>
      <c r="C215" t="s">
        <v>163</v>
      </c>
      <c r="D215">
        <v>162</v>
      </c>
      <c r="E215">
        <v>5631</v>
      </c>
      <c r="F215" s="1">
        <v>756</v>
      </c>
      <c r="G215">
        <v>1529</v>
      </c>
      <c r="H215">
        <f t="shared" si="7"/>
        <v>1051</v>
      </c>
      <c r="I215">
        <v>306</v>
      </c>
      <c r="J215">
        <v>30</v>
      </c>
      <c r="K215">
        <v>142</v>
      </c>
      <c r="L215">
        <v>500</v>
      </c>
      <c r="M215">
        <v>47</v>
      </c>
      <c r="N215">
        <f t="shared" si="6"/>
        <v>3555</v>
      </c>
      <c r="O215">
        <v>718</v>
      </c>
      <c r="P215">
        <v>31</v>
      </c>
      <c r="Q215">
        <v>939</v>
      </c>
      <c r="R215">
        <v>38</v>
      </c>
      <c r="S215">
        <v>47</v>
      </c>
      <c r="T215">
        <v>1</v>
      </c>
      <c r="U215">
        <v>62</v>
      </c>
      <c r="V215">
        <v>139</v>
      </c>
      <c r="W215">
        <v>144</v>
      </c>
      <c r="X215">
        <v>42</v>
      </c>
      <c r="Y215">
        <v>0.27200000000000002</v>
      </c>
      <c r="Z215">
        <v>0.33300000000000002</v>
      </c>
      <c r="AA215">
        <v>0.41199999999999998</v>
      </c>
    </row>
    <row r="216" spans="1:27" x14ac:dyDescent="0.2">
      <c r="A216" s="52">
        <v>2007</v>
      </c>
      <c r="B216" t="s">
        <v>47</v>
      </c>
      <c r="C216" t="s">
        <v>163</v>
      </c>
      <c r="D216">
        <v>162</v>
      </c>
      <c r="E216">
        <v>5589</v>
      </c>
      <c r="F216" s="1">
        <v>867</v>
      </c>
      <c r="G216">
        <v>1561</v>
      </c>
      <c r="H216">
        <f t="shared" si="7"/>
        <v>1008</v>
      </c>
      <c r="I216">
        <v>352</v>
      </c>
      <c r="J216">
        <v>35</v>
      </c>
      <c r="K216">
        <v>166</v>
      </c>
      <c r="L216">
        <v>689</v>
      </c>
      <c r="M216">
        <v>64</v>
      </c>
      <c r="N216">
        <f t="shared" si="6"/>
        <v>3275</v>
      </c>
      <c r="O216">
        <v>829</v>
      </c>
      <c r="P216">
        <v>54</v>
      </c>
      <c r="Q216">
        <v>1042</v>
      </c>
      <c r="R216">
        <v>30</v>
      </c>
      <c r="S216">
        <v>54</v>
      </c>
      <c r="T216">
        <v>0</v>
      </c>
      <c r="U216">
        <v>61</v>
      </c>
      <c r="V216">
        <v>146</v>
      </c>
      <c r="W216">
        <v>96</v>
      </c>
      <c r="X216">
        <v>24</v>
      </c>
      <c r="Y216">
        <v>0.27900000000000003</v>
      </c>
      <c r="Z216">
        <v>0.36199999999999999</v>
      </c>
      <c r="AA216">
        <v>0.44400000000000001</v>
      </c>
    </row>
    <row r="217" spans="1:27" x14ac:dyDescent="0.2">
      <c r="A217" s="52">
        <v>2007</v>
      </c>
      <c r="B217" t="s">
        <v>157</v>
      </c>
      <c r="C217" t="s">
        <v>38</v>
      </c>
      <c r="D217">
        <v>162</v>
      </c>
      <c r="E217">
        <v>5643</v>
      </c>
      <c r="F217" s="1">
        <v>752</v>
      </c>
      <c r="G217">
        <v>1530</v>
      </c>
      <c r="H217">
        <f t="shared" si="7"/>
        <v>1011</v>
      </c>
      <c r="I217">
        <v>340</v>
      </c>
      <c r="J217">
        <v>28</v>
      </c>
      <c r="K217">
        <v>151</v>
      </c>
      <c r="L217">
        <v>500</v>
      </c>
      <c r="M217">
        <v>40</v>
      </c>
      <c r="N217">
        <f t="shared" si="6"/>
        <v>3573</v>
      </c>
      <c r="O217">
        <v>711</v>
      </c>
      <c r="P217">
        <v>48</v>
      </c>
      <c r="Q217">
        <v>1054</v>
      </c>
      <c r="R217">
        <v>48</v>
      </c>
      <c r="S217">
        <v>37</v>
      </c>
      <c r="T217">
        <v>0</v>
      </c>
      <c r="U217">
        <v>86</v>
      </c>
      <c r="V217">
        <v>127</v>
      </c>
      <c r="W217">
        <v>86</v>
      </c>
      <c r="X217">
        <v>33</v>
      </c>
      <c r="Y217">
        <v>0.27100000000000002</v>
      </c>
      <c r="Z217">
        <v>0.33300000000000002</v>
      </c>
      <c r="AA217">
        <v>0.42199999999999999</v>
      </c>
    </row>
    <row r="218" spans="1:27" x14ac:dyDescent="0.2">
      <c r="A218" s="52">
        <v>2007</v>
      </c>
      <c r="B218" t="s">
        <v>157</v>
      </c>
      <c r="C218" t="s">
        <v>163</v>
      </c>
      <c r="D218">
        <v>162</v>
      </c>
      <c r="E218">
        <v>5441</v>
      </c>
      <c r="F218" s="1">
        <v>693</v>
      </c>
      <c r="G218">
        <v>1341</v>
      </c>
      <c r="H218">
        <f t="shared" si="7"/>
        <v>882</v>
      </c>
      <c r="I218">
        <v>249</v>
      </c>
      <c r="J218">
        <v>20</v>
      </c>
      <c r="K218">
        <v>190</v>
      </c>
      <c r="L218">
        <v>532</v>
      </c>
      <c r="M218">
        <v>52</v>
      </c>
      <c r="N218">
        <f t="shared" si="6"/>
        <v>3516</v>
      </c>
      <c r="O218">
        <v>667</v>
      </c>
      <c r="P218">
        <v>33</v>
      </c>
      <c r="Q218">
        <v>1149</v>
      </c>
      <c r="R218">
        <v>41</v>
      </c>
      <c r="S218">
        <v>35</v>
      </c>
      <c r="T218">
        <v>2</v>
      </c>
      <c r="U218">
        <v>64</v>
      </c>
      <c r="V218">
        <v>138</v>
      </c>
      <c r="W218">
        <v>78</v>
      </c>
      <c r="X218">
        <v>45</v>
      </c>
      <c r="Y218">
        <v>0.246</v>
      </c>
      <c r="Z218">
        <v>0.318</v>
      </c>
      <c r="AA218">
        <v>0.40400000000000003</v>
      </c>
    </row>
    <row r="219" spans="1:27" x14ac:dyDescent="0.2">
      <c r="A219" s="52">
        <v>2007</v>
      </c>
      <c r="B219" t="s">
        <v>53</v>
      </c>
      <c r="C219" t="s">
        <v>38</v>
      </c>
      <c r="D219">
        <v>162</v>
      </c>
      <c r="E219">
        <v>5607</v>
      </c>
      <c r="F219" s="1">
        <v>783</v>
      </c>
      <c r="G219">
        <v>1496</v>
      </c>
      <c r="H219">
        <f t="shared" si="7"/>
        <v>976</v>
      </c>
      <c r="I219">
        <v>293</v>
      </c>
      <c r="J219">
        <v>23</v>
      </c>
      <c r="K219">
        <v>204</v>
      </c>
      <c r="L219">
        <v>536</v>
      </c>
      <c r="M219">
        <v>66</v>
      </c>
      <c r="N219">
        <f t="shared" si="6"/>
        <v>3509</v>
      </c>
      <c r="O219">
        <v>747</v>
      </c>
      <c r="P219">
        <v>51</v>
      </c>
      <c r="Q219">
        <v>1113</v>
      </c>
      <c r="R219">
        <v>73</v>
      </c>
      <c r="S219">
        <v>46</v>
      </c>
      <c r="T219">
        <v>4</v>
      </c>
      <c r="U219">
        <v>72</v>
      </c>
      <c r="V219">
        <v>140</v>
      </c>
      <c r="W219">
        <v>97</v>
      </c>
      <c r="X219">
        <v>31</v>
      </c>
      <c r="Y219">
        <v>0.26700000000000002</v>
      </c>
      <c r="Z219">
        <v>0.33500000000000002</v>
      </c>
      <c r="AA219">
        <v>0.436</v>
      </c>
    </row>
    <row r="220" spans="1:27" x14ac:dyDescent="0.2">
      <c r="A220" s="52">
        <v>2007</v>
      </c>
      <c r="B220" t="s">
        <v>55</v>
      </c>
      <c r="C220" t="s">
        <v>163</v>
      </c>
      <c r="D220">
        <v>162</v>
      </c>
      <c r="E220">
        <v>5604</v>
      </c>
      <c r="F220" s="1">
        <v>811</v>
      </c>
      <c r="G220">
        <v>1504</v>
      </c>
      <c r="H220">
        <f t="shared" si="7"/>
        <v>994</v>
      </c>
      <c r="I220">
        <v>305</v>
      </c>
      <c r="J220">
        <v>27</v>
      </c>
      <c r="K220">
        <v>178</v>
      </c>
      <c r="L220">
        <v>590</v>
      </c>
      <c r="M220">
        <v>80</v>
      </c>
      <c r="N220">
        <f t="shared" si="6"/>
        <v>3430</v>
      </c>
      <c r="O220">
        <v>784</v>
      </c>
      <c r="P220">
        <v>56</v>
      </c>
      <c r="Q220">
        <v>1202</v>
      </c>
      <c r="R220">
        <v>32</v>
      </c>
      <c r="S220">
        <v>59</v>
      </c>
      <c r="T220">
        <v>2</v>
      </c>
      <c r="U220">
        <v>64</v>
      </c>
      <c r="V220">
        <v>114</v>
      </c>
      <c r="W220">
        <v>72</v>
      </c>
      <c r="X220">
        <v>41</v>
      </c>
      <c r="Y220">
        <v>0.26800000000000002</v>
      </c>
      <c r="Z220">
        <v>0.34300000000000003</v>
      </c>
      <c r="AA220">
        <v>0.42799999999999999</v>
      </c>
    </row>
    <row r="221" spans="1:27" x14ac:dyDescent="0.2">
      <c r="A221" s="52">
        <v>2007</v>
      </c>
      <c r="B221" t="s">
        <v>57</v>
      </c>
      <c r="C221" t="s">
        <v>38</v>
      </c>
      <c r="D221">
        <v>163</v>
      </c>
      <c r="E221">
        <v>5691</v>
      </c>
      <c r="F221" s="1">
        <v>860</v>
      </c>
      <c r="G221">
        <v>1591</v>
      </c>
      <c r="H221">
        <f t="shared" si="7"/>
        <v>1071</v>
      </c>
      <c r="I221">
        <v>313</v>
      </c>
      <c r="J221">
        <v>36</v>
      </c>
      <c r="K221">
        <v>171</v>
      </c>
      <c r="L221">
        <v>622</v>
      </c>
      <c r="M221">
        <v>58</v>
      </c>
      <c r="N221">
        <f t="shared" si="6"/>
        <v>3420</v>
      </c>
      <c r="O221">
        <v>823</v>
      </c>
      <c r="P221">
        <v>51</v>
      </c>
      <c r="Q221">
        <v>1152</v>
      </c>
      <c r="R221">
        <v>83</v>
      </c>
      <c r="S221">
        <v>44</v>
      </c>
      <c r="T221">
        <v>0</v>
      </c>
      <c r="U221">
        <v>64</v>
      </c>
      <c r="V221">
        <v>140</v>
      </c>
      <c r="W221">
        <v>100</v>
      </c>
      <c r="X221">
        <v>31</v>
      </c>
      <c r="Y221">
        <v>0.28000000000000003</v>
      </c>
      <c r="Z221">
        <v>0.35399999999999998</v>
      </c>
      <c r="AA221">
        <v>0.437</v>
      </c>
    </row>
    <row r="222" spans="1:27" x14ac:dyDescent="0.2">
      <c r="A222" s="52">
        <v>2007</v>
      </c>
      <c r="B222" t="s">
        <v>59</v>
      </c>
      <c r="C222" t="s">
        <v>163</v>
      </c>
      <c r="D222">
        <v>162</v>
      </c>
      <c r="E222">
        <v>5757</v>
      </c>
      <c r="F222" s="1">
        <v>887</v>
      </c>
      <c r="G222">
        <v>1652</v>
      </c>
      <c r="H222">
        <f t="shared" si="7"/>
        <v>1073</v>
      </c>
      <c r="I222">
        <v>352</v>
      </c>
      <c r="J222">
        <v>50</v>
      </c>
      <c r="K222">
        <v>177</v>
      </c>
      <c r="L222">
        <v>474</v>
      </c>
      <c r="M222">
        <v>56</v>
      </c>
      <c r="N222">
        <f t="shared" si="6"/>
        <v>3575</v>
      </c>
      <c r="O222">
        <v>857</v>
      </c>
      <c r="P222">
        <v>45</v>
      </c>
      <c r="Q222">
        <v>1054</v>
      </c>
      <c r="R222">
        <v>31</v>
      </c>
      <c r="S222">
        <v>45</v>
      </c>
      <c r="T222">
        <v>1</v>
      </c>
      <c r="U222">
        <v>56</v>
      </c>
      <c r="V222">
        <v>128</v>
      </c>
      <c r="W222">
        <v>103</v>
      </c>
      <c r="X222">
        <v>30</v>
      </c>
      <c r="Y222">
        <v>0.28699999999999998</v>
      </c>
      <c r="Z222">
        <v>0.34499999999999997</v>
      </c>
      <c r="AA222">
        <v>0.45800000000000002</v>
      </c>
    </row>
    <row r="223" spans="1:27" x14ac:dyDescent="0.2">
      <c r="A223" s="52">
        <v>2007</v>
      </c>
      <c r="B223" t="s">
        <v>160</v>
      </c>
      <c r="C223" t="s">
        <v>38</v>
      </c>
      <c r="D223">
        <v>162</v>
      </c>
      <c r="E223">
        <v>5627</v>
      </c>
      <c r="F223" s="1">
        <v>790</v>
      </c>
      <c r="G223">
        <v>1504</v>
      </c>
      <c r="H223">
        <f t="shared" si="7"/>
        <v>925</v>
      </c>
      <c r="I223">
        <v>340</v>
      </c>
      <c r="J223">
        <v>38</v>
      </c>
      <c r="K223">
        <v>201</v>
      </c>
      <c r="L223">
        <v>521</v>
      </c>
      <c r="M223">
        <v>82</v>
      </c>
      <c r="N223">
        <f t="shared" si="6"/>
        <v>3520</v>
      </c>
      <c r="O223">
        <v>749</v>
      </c>
      <c r="P223">
        <v>46</v>
      </c>
      <c r="Q223">
        <v>1332</v>
      </c>
      <c r="R223">
        <v>72</v>
      </c>
      <c r="S223">
        <v>42</v>
      </c>
      <c r="T223">
        <v>0</v>
      </c>
      <c r="U223">
        <v>67</v>
      </c>
      <c r="V223">
        <v>107</v>
      </c>
      <c r="W223">
        <v>105</v>
      </c>
      <c r="X223">
        <v>34</v>
      </c>
      <c r="Y223">
        <v>0.26700000000000002</v>
      </c>
      <c r="Z223">
        <v>0.33600000000000002</v>
      </c>
      <c r="AA223">
        <v>0.44800000000000001</v>
      </c>
    </row>
    <row r="224" spans="1:27" x14ac:dyDescent="0.2">
      <c r="A224" s="52">
        <v>2007</v>
      </c>
      <c r="B224" t="s">
        <v>63</v>
      </c>
      <c r="C224" t="s">
        <v>38</v>
      </c>
      <c r="D224">
        <v>162</v>
      </c>
      <c r="E224">
        <v>5605</v>
      </c>
      <c r="F224" s="1">
        <v>723</v>
      </c>
      <c r="G224">
        <v>1457</v>
      </c>
      <c r="H224">
        <f t="shared" si="7"/>
        <v>967</v>
      </c>
      <c r="I224">
        <v>293</v>
      </c>
      <c r="J224">
        <v>30</v>
      </c>
      <c r="K224">
        <v>167</v>
      </c>
      <c r="L224">
        <v>547</v>
      </c>
      <c r="M224">
        <v>55</v>
      </c>
      <c r="N224">
        <f t="shared" si="6"/>
        <v>3546</v>
      </c>
      <c r="O224">
        <v>700</v>
      </c>
      <c r="P224">
        <v>40</v>
      </c>
      <c r="Q224">
        <v>1043</v>
      </c>
      <c r="R224">
        <v>77</v>
      </c>
      <c r="S224">
        <v>40</v>
      </c>
      <c r="T224">
        <v>0</v>
      </c>
      <c r="U224">
        <v>68</v>
      </c>
      <c r="V224">
        <v>142</v>
      </c>
      <c r="W224">
        <v>65</v>
      </c>
      <c r="X224">
        <v>33</v>
      </c>
      <c r="Y224">
        <v>0.26</v>
      </c>
      <c r="Z224">
        <v>0.33</v>
      </c>
      <c r="AA224">
        <v>0.41199999999999998</v>
      </c>
    </row>
    <row r="225" spans="1:27" x14ac:dyDescent="0.2">
      <c r="A225" s="52">
        <v>2007</v>
      </c>
      <c r="B225" t="s">
        <v>164</v>
      </c>
      <c r="C225" t="s">
        <v>163</v>
      </c>
      <c r="D225">
        <v>162</v>
      </c>
      <c r="E225">
        <v>5534</v>
      </c>
      <c r="F225" s="1">
        <v>706</v>
      </c>
      <c r="G225">
        <v>1447</v>
      </c>
      <c r="H225">
        <f t="shared" si="7"/>
        <v>999</v>
      </c>
      <c r="I225">
        <v>300</v>
      </c>
      <c r="J225">
        <v>46</v>
      </c>
      <c r="K225">
        <v>102</v>
      </c>
      <c r="L225">
        <v>428</v>
      </c>
      <c r="M225">
        <v>89</v>
      </c>
      <c r="N225">
        <f t="shared" si="6"/>
        <v>3570</v>
      </c>
      <c r="O225">
        <v>660</v>
      </c>
      <c r="P225">
        <v>34</v>
      </c>
      <c r="Q225">
        <v>1069</v>
      </c>
      <c r="R225">
        <v>41</v>
      </c>
      <c r="S225">
        <v>47</v>
      </c>
      <c r="T225">
        <v>1</v>
      </c>
      <c r="U225">
        <v>76</v>
      </c>
      <c r="V225">
        <v>151</v>
      </c>
      <c r="W225">
        <v>78</v>
      </c>
      <c r="X225">
        <v>44</v>
      </c>
      <c r="Y225">
        <v>0.26100000000000001</v>
      </c>
      <c r="Z225">
        <v>0.32200000000000001</v>
      </c>
      <c r="AA225">
        <v>0.38800000000000001</v>
      </c>
    </row>
    <row r="226" spans="1:27" x14ac:dyDescent="0.2">
      <c r="A226" s="52">
        <v>2007</v>
      </c>
      <c r="B226" t="s">
        <v>159</v>
      </c>
      <c r="C226" t="s">
        <v>38</v>
      </c>
      <c r="D226">
        <v>162</v>
      </c>
      <c r="E226">
        <v>5614</v>
      </c>
      <c r="F226" s="1">
        <v>735</v>
      </c>
      <c r="G226">
        <v>1544</v>
      </c>
      <c r="H226">
        <f t="shared" si="7"/>
        <v>1104</v>
      </c>
      <c r="I226">
        <v>276</v>
      </c>
      <c r="J226">
        <v>35</v>
      </c>
      <c r="K226">
        <v>129</v>
      </c>
      <c r="L226">
        <v>511</v>
      </c>
      <c r="M226">
        <v>41</v>
      </c>
      <c r="N226">
        <f t="shared" si="6"/>
        <v>3518</v>
      </c>
      <c r="O226">
        <v>706</v>
      </c>
      <c r="P226">
        <v>41</v>
      </c>
      <c r="Q226">
        <v>864</v>
      </c>
      <c r="R226">
        <v>58</v>
      </c>
      <c r="S226">
        <v>55</v>
      </c>
      <c r="T226">
        <v>3</v>
      </c>
      <c r="U226">
        <v>59</v>
      </c>
      <c r="V226">
        <v>116</v>
      </c>
      <c r="W226">
        <v>137</v>
      </c>
      <c r="X226">
        <v>50</v>
      </c>
      <c r="Y226">
        <v>0.27500000000000002</v>
      </c>
      <c r="Z226">
        <v>0.33700000000000002</v>
      </c>
      <c r="AA226">
        <v>0.40600000000000003</v>
      </c>
    </row>
    <row r="227" spans="1:27" x14ac:dyDescent="0.2">
      <c r="A227" s="52">
        <v>2007</v>
      </c>
      <c r="B227" t="s">
        <v>69</v>
      </c>
      <c r="C227" t="s">
        <v>38</v>
      </c>
      <c r="D227">
        <v>162</v>
      </c>
      <c r="E227">
        <v>5554</v>
      </c>
      <c r="F227" s="1">
        <v>801</v>
      </c>
      <c r="G227">
        <v>1455</v>
      </c>
      <c r="H227">
        <f t="shared" si="7"/>
        <v>877</v>
      </c>
      <c r="I227">
        <v>310</v>
      </c>
      <c r="J227">
        <v>37</v>
      </c>
      <c r="K227">
        <v>231</v>
      </c>
      <c r="L227">
        <v>501</v>
      </c>
      <c r="M227">
        <v>76</v>
      </c>
      <c r="N227">
        <f t="shared" si="6"/>
        <v>3522</v>
      </c>
      <c r="O227">
        <v>774</v>
      </c>
      <c r="P227">
        <v>60</v>
      </c>
      <c r="Q227">
        <v>1137</v>
      </c>
      <c r="R227">
        <v>60</v>
      </c>
      <c r="S227">
        <v>47</v>
      </c>
      <c r="T227">
        <v>0</v>
      </c>
      <c r="U227">
        <v>68</v>
      </c>
      <c r="V227">
        <v>112</v>
      </c>
      <c r="W227">
        <v>96</v>
      </c>
      <c r="X227">
        <v>32</v>
      </c>
      <c r="Y227">
        <v>0.26200000000000001</v>
      </c>
      <c r="Z227">
        <v>0.32900000000000001</v>
      </c>
      <c r="AA227">
        <v>0.45600000000000002</v>
      </c>
    </row>
    <row r="228" spans="1:27" x14ac:dyDescent="0.2">
      <c r="A228" s="52">
        <v>2007</v>
      </c>
      <c r="B228" t="s">
        <v>71</v>
      </c>
      <c r="C228" t="s">
        <v>163</v>
      </c>
      <c r="D228">
        <v>162</v>
      </c>
      <c r="E228">
        <v>5522</v>
      </c>
      <c r="F228" s="1">
        <v>718</v>
      </c>
      <c r="G228">
        <v>1460</v>
      </c>
      <c r="H228">
        <f t="shared" si="7"/>
        <v>1033</v>
      </c>
      <c r="I228">
        <v>273</v>
      </c>
      <c r="J228">
        <v>36</v>
      </c>
      <c r="K228">
        <v>118</v>
      </c>
      <c r="L228">
        <v>512</v>
      </c>
      <c r="M228">
        <v>48</v>
      </c>
      <c r="N228">
        <f t="shared" si="6"/>
        <v>3502</v>
      </c>
      <c r="O228">
        <v>671</v>
      </c>
      <c r="P228">
        <v>41</v>
      </c>
      <c r="Q228">
        <v>839</v>
      </c>
      <c r="R228">
        <v>34</v>
      </c>
      <c r="S228">
        <v>45</v>
      </c>
      <c r="T228">
        <v>0</v>
      </c>
      <c r="U228">
        <v>68</v>
      </c>
      <c r="V228">
        <v>149</v>
      </c>
      <c r="W228">
        <v>112</v>
      </c>
      <c r="X228">
        <v>30</v>
      </c>
      <c r="Y228">
        <v>0.26400000000000001</v>
      </c>
      <c r="Z228">
        <v>0.33</v>
      </c>
      <c r="AA228">
        <v>0.39100000000000001</v>
      </c>
    </row>
    <row r="229" spans="1:27" x14ac:dyDescent="0.2">
      <c r="A229" s="52">
        <v>2007</v>
      </c>
      <c r="B229" t="s">
        <v>158</v>
      </c>
      <c r="C229" t="s">
        <v>38</v>
      </c>
      <c r="D229">
        <v>162</v>
      </c>
      <c r="E229">
        <v>5605</v>
      </c>
      <c r="F229" s="1">
        <v>804</v>
      </c>
      <c r="G229">
        <v>1543</v>
      </c>
      <c r="H229">
        <f t="shared" si="7"/>
        <v>1045</v>
      </c>
      <c r="I229">
        <v>294</v>
      </c>
      <c r="J229">
        <v>27</v>
      </c>
      <c r="K229">
        <v>177</v>
      </c>
      <c r="L229">
        <v>549</v>
      </c>
      <c r="M229">
        <v>54</v>
      </c>
      <c r="N229">
        <f t="shared" si="6"/>
        <v>3459</v>
      </c>
      <c r="O229">
        <v>761</v>
      </c>
      <c r="P229">
        <v>64</v>
      </c>
      <c r="Q229">
        <v>981</v>
      </c>
      <c r="R229">
        <v>77</v>
      </c>
      <c r="S229">
        <v>58</v>
      </c>
      <c r="T229">
        <v>1</v>
      </c>
      <c r="U229">
        <v>69</v>
      </c>
      <c r="V229">
        <v>114</v>
      </c>
      <c r="W229">
        <v>200</v>
      </c>
      <c r="X229">
        <v>46</v>
      </c>
      <c r="Y229">
        <v>0.27500000000000002</v>
      </c>
      <c r="Z229">
        <v>0.34200000000000003</v>
      </c>
      <c r="AA229">
        <v>0.432</v>
      </c>
    </row>
    <row r="230" spans="1:27" x14ac:dyDescent="0.2">
      <c r="A230" s="52">
        <v>2007</v>
      </c>
      <c r="B230" t="s">
        <v>158</v>
      </c>
      <c r="C230" t="s">
        <v>163</v>
      </c>
      <c r="D230">
        <v>162</v>
      </c>
      <c r="E230">
        <v>5717</v>
      </c>
      <c r="F230" s="1">
        <v>968</v>
      </c>
      <c r="G230">
        <v>1656</v>
      </c>
      <c r="H230">
        <f t="shared" si="7"/>
        <v>1097</v>
      </c>
      <c r="I230">
        <v>326</v>
      </c>
      <c r="J230">
        <v>32</v>
      </c>
      <c r="K230">
        <v>201</v>
      </c>
      <c r="L230">
        <v>637</v>
      </c>
      <c r="M230">
        <v>78</v>
      </c>
      <c r="N230">
        <f t="shared" si="6"/>
        <v>3346</v>
      </c>
      <c r="O230">
        <v>929</v>
      </c>
      <c r="P230">
        <v>32</v>
      </c>
      <c r="Q230">
        <v>991</v>
      </c>
      <c r="R230">
        <v>41</v>
      </c>
      <c r="S230">
        <v>54</v>
      </c>
      <c r="T230">
        <v>1</v>
      </c>
      <c r="U230">
        <v>75</v>
      </c>
      <c r="V230">
        <v>138</v>
      </c>
      <c r="W230">
        <v>123</v>
      </c>
      <c r="X230">
        <v>40</v>
      </c>
      <c r="Y230">
        <v>0.28999999999999998</v>
      </c>
      <c r="Z230">
        <v>0.36599999999999999</v>
      </c>
      <c r="AA230">
        <v>0.46300000000000002</v>
      </c>
    </row>
    <row r="231" spans="1:27" x14ac:dyDescent="0.2">
      <c r="A231" s="52">
        <v>2007</v>
      </c>
      <c r="B231" t="s">
        <v>79</v>
      </c>
      <c r="C231" t="s">
        <v>163</v>
      </c>
      <c r="D231">
        <v>162</v>
      </c>
      <c r="E231">
        <v>5577</v>
      </c>
      <c r="F231" s="1">
        <v>741</v>
      </c>
      <c r="G231">
        <v>1430</v>
      </c>
      <c r="H231">
        <f t="shared" si="7"/>
        <v>948</v>
      </c>
      <c r="I231">
        <v>295</v>
      </c>
      <c r="J231">
        <v>16</v>
      </c>
      <c r="K231">
        <v>171</v>
      </c>
      <c r="L231">
        <v>664</v>
      </c>
      <c r="M231">
        <v>49</v>
      </c>
      <c r="N231">
        <f t="shared" si="6"/>
        <v>3434</v>
      </c>
      <c r="O231">
        <v>711</v>
      </c>
      <c r="P231">
        <v>29</v>
      </c>
      <c r="Q231">
        <v>1119</v>
      </c>
      <c r="R231">
        <v>18</v>
      </c>
      <c r="S231">
        <v>56</v>
      </c>
      <c r="T231">
        <v>1</v>
      </c>
      <c r="U231">
        <v>58</v>
      </c>
      <c r="V231">
        <v>142</v>
      </c>
      <c r="W231">
        <v>52</v>
      </c>
      <c r="X231">
        <v>20</v>
      </c>
      <c r="Y231">
        <v>0.25600000000000001</v>
      </c>
      <c r="Z231">
        <v>0.33800000000000002</v>
      </c>
      <c r="AA231">
        <v>0.40699999999999997</v>
      </c>
    </row>
    <row r="232" spans="1:27" x14ac:dyDescent="0.2">
      <c r="A232" s="52">
        <v>2007</v>
      </c>
      <c r="B232" t="s">
        <v>81</v>
      </c>
      <c r="C232" t="s">
        <v>38</v>
      </c>
      <c r="D232">
        <v>162</v>
      </c>
      <c r="E232">
        <v>5688</v>
      </c>
      <c r="F232" s="1">
        <v>892</v>
      </c>
      <c r="G232">
        <v>1558</v>
      </c>
      <c r="H232">
        <f t="shared" si="7"/>
        <v>978</v>
      </c>
      <c r="I232">
        <v>326</v>
      </c>
      <c r="J232">
        <v>41</v>
      </c>
      <c r="K232">
        <v>213</v>
      </c>
      <c r="L232">
        <v>641</v>
      </c>
      <c r="M232">
        <v>90</v>
      </c>
      <c r="N232">
        <f t="shared" si="6"/>
        <v>3399</v>
      </c>
      <c r="O232">
        <v>850</v>
      </c>
      <c r="P232">
        <v>74</v>
      </c>
      <c r="Q232">
        <v>1205</v>
      </c>
      <c r="R232">
        <v>65</v>
      </c>
      <c r="S232">
        <v>52</v>
      </c>
      <c r="T232">
        <v>1</v>
      </c>
      <c r="U232">
        <v>86</v>
      </c>
      <c r="V232">
        <v>125</v>
      </c>
      <c r="W232">
        <v>138</v>
      </c>
      <c r="X232">
        <v>19</v>
      </c>
      <c r="Y232">
        <v>0.27400000000000002</v>
      </c>
      <c r="Z232">
        <v>0.35399999999999998</v>
      </c>
      <c r="AA232">
        <v>0.45800000000000002</v>
      </c>
    </row>
    <row r="233" spans="1:27" x14ac:dyDescent="0.2">
      <c r="A233" s="52">
        <v>2007</v>
      </c>
      <c r="B233" t="s">
        <v>83</v>
      </c>
      <c r="C233" t="s">
        <v>38</v>
      </c>
      <c r="D233">
        <v>162</v>
      </c>
      <c r="E233">
        <v>5569</v>
      </c>
      <c r="F233" s="1">
        <v>724</v>
      </c>
      <c r="G233">
        <v>1463</v>
      </c>
      <c r="H233">
        <f t="shared" si="7"/>
        <v>962</v>
      </c>
      <c r="I233">
        <v>322</v>
      </c>
      <c r="J233">
        <v>31</v>
      </c>
      <c r="K233">
        <v>148</v>
      </c>
      <c r="L233">
        <v>463</v>
      </c>
      <c r="M233">
        <v>71</v>
      </c>
      <c r="N233">
        <f t="shared" si="6"/>
        <v>3572</v>
      </c>
      <c r="O233">
        <v>694</v>
      </c>
      <c r="P233">
        <v>31</v>
      </c>
      <c r="Q233">
        <v>1135</v>
      </c>
      <c r="R233">
        <v>60</v>
      </c>
      <c r="S233">
        <v>51</v>
      </c>
      <c r="T233">
        <v>0</v>
      </c>
      <c r="U233">
        <v>57</v>
      </c>
      <c r="V233">
        <v>130</v>
      </c>
      <c r="W233">
        <v>68</v>
      </c>
      <c r="X233">
        <v>30</v>
      </c>
      <c r="Y233">
        <v>0.26300000000000001</v>
      </c>
      <c r="Z233">
        <v>0.32500000000000001</v>
      </c>
      <c r="AA233">
        <v>0.41099999999999998</v>
      </c>
    </row>
    <row r="234" spans="1:27" x14ac:dyDescent="0.2">
      <c r="A234" s="52">
        <v>2007</v>
      </c>
      <c r="B234" t="s">
        <v>161</v>
      </c>
      <c r="C234" t="s">
        <v>38</v>
      </c>
      <c r="D234">
        <v>163</v>
      </c>
      <c r="E234">
        <v>5612</v>
      </c>
      <c r="F234" s="1">
        <v>741</v>
      </c>
      <c r="G234">
        <v>1408</v>
      </c>
      <c r="H234">
        <f t="shared" si="7"/>
        <v>884</v>
      </c>
      <c r="I234">
        <v>322</v>
      </c>
      <c r="J234">
        <v>31</v>
      </c>
      <c r="K234">
        <v>171</v>
      </c>
      <c r="L234">
        <v>557</v>
      </c>
      <c r="M234">
        <v>49</v>
      </c>
      <c r="N234">
        <f t="shared" si="6"/>
        <v>3598</v>
      </c>
      <c r="O234">
        <v>704</v>
      </c>
      <c r="P234">
        <v>45</v>
      </c>
      <c r="Q234">
        <v>1229</v>
      </c>
      <c r="R234">
        <v>64</v>
      </c>
      <c r="S234">
        <v>44</v>
      </c>
      <c r="T234">
        <v>0</v>
      </c>
      <c r="U234">
        <v>52</v>
      </c>
      <c r="V234">
        <v>113</v>
      </c>
      <c r="W234">
        <v>55</v>
      </c>
      <c r="X234">
        <v>24</v>
      </c>
      <c r="Y234">
        <v>0.251</v>
      </c>
      <c r="Z234">
        <v>0.32200000000000001</v>
      </c>
      <c r="AA234">
        <v>0.41099999999999998</v>
      </c>
    </row>
    <row r="235" spans="1:27" x14ac:dyDescent="0.2">
      <c r="A235" s="52">
        <v>2007</v>
      </c>
      <c r="B235" t="s">
        <v>87</v>
      </c>
      <c r="C235" t="s">
        <v>163</v>
      </c>
      <c r="D235">
        <v>162</v>
      </c>
      <c r="E235">
        <v>5684</v>
      </c>
      <c r="F235" s="1">
        <v>794</v>
      </c>
      <c r="G235">
        <v>1629</v>
      </c>
      <c r="H235">
        <f t="shared" si="7"/>
        <v>1170</v>
      </c>
      <c r="I235">
        <v>284</v>
      </c>
      <c r="J235">
        <v>22</v>
      </c>
      <c r="K235">
        <v>153</v>
      </c>
      <c r="L235">
        <v>389</v>
      </c>
      <c r="M235">
        <v>62</v>
      </c>
      <c r="N235">
        <f t="shared" si="6"/>
        <v>3604</v>
      </c>
      <c r="O235">
        <v>754</v>
      </c>
      <c r="P235">
        <v>32</v>
      </c>
      <c r="Q235">
        <v>861</v>
      </c>
      <c r="R235">
        <v>33</v>
      </c>
      <c r="S235">
        <v>40</v>
      </c>
      <c r="T235">
        <v>1</v>
      </c>
      <c r="U235">
        <v>81</v>
      </c>
      <c r="V235">
        <v>154</v>
      </c>
      <c r="W235">
        <v>81</v>
      </c>
      <c r="X235">
        <v>30</v>
      </c>
      <c r="Y235">
        <v>0.28699999999999998</v>
      </c>
      <c r="Z235">
        <v>0.33700000000000002</v>
      </c>
      <c r="AA235">
        <v>0.42499999999999999</v>
      </c>
    </row>
    <row r="236" spans="1:27" x14ac:dyDescent="0.2">
      <c r="A236" s="52">
        <v>2007</v>
      </c>
      <c r="B236" t="s">
        <v>21</v>
      </c>
      <c r="C236" t="s">
        <v>38</v>
      </c>
      <c r="D236">
        <v>162</v>
      </c>
      <c r="E236">
        <v>5538</v>
      </c>
      <c r="F236" s="1">
        <v>683</v>
      </c>
      <c r="G236">
        <v>1407</v>
      </c>
      <c r="H236">
        <f t="shared" si="7"/>
        <v>972</v>
      </c>
      <c r="I236">
        <v>267</v>
      </c>
      <c r="J236">
        <v>37</v>
      </c>
      <c r="K236">
        <v>131</v>
      </c>
      <c r="L236">
        <v>532</v>
      </c>
      <c r="M236">
        <v>39</v>
      </c>
      <c r="N236">
        <f t="shared" si="6"/>
        <v>3560</v>
      </c>
      <c r="O236">
        <v>641</v>
      </c>
      <c r="P236">
        <v>74</v>
      </c>
      <c r="Q236">
        <v>907</v>
      </c>
      <c r="R236">
        <v>67</v>
      </c>
      <c r="S236">
        <v>36</v>
      </c>
      <c r="T236">
        <v>1</v>
      </c>
      <c r="U236">
        <v>62</v>
      </c>
      <c r="V236">
        <v>142</v>
      </c>
      <c r="W236">
        <v>119</v>
      </c>
      <c r="X236">
        <v>33</v>
      </c>
      <c r="Y236">
        <v>0.254</v>
      </c>
      <c r="Z236">
        <v>0.32200000000000001</v>
      </c>
      <c r="AA236">
        <v>0.38700000000000001</v>
      </c>
    </row>
    <row r="237" spans="1:27" x14ac:dyDescent="0.2">
      <c r="A237" s="52">
        <v>2007</v>
      </c>
      <c r="B237" t="s">
        <v>156</v>
      </c>
      <c r="C237" t="s">
        <v>38</v>
      </c>
      <c r="D237">
        <v>162</v>
      </c>
      <c r="E237">
        <v>5529</v>
      </c>
      <c r="F237" s="1">
        <v>725</v>
      </c>
      <c r="G237">
        <v>1513</v>
      </c>
      <c r="H237">
        <f t="shared" si="7"/>
        <v>1080</v>
      </c>
      <c r="I237">
        <v>279</v>
      </c>
      <c r="J237">
        <v>13</v>
      </c>
      <c r="K237">
        <v>141</v>
      </c>
      <c r="L237">
        <v>506</v>
      </c>
      <c r="M237">
        <v>54</v>
      </c>
      <c r="N237">
        <f t="shared" si="6"/>
        <v>3456</v>
      </c>
      <c r="O237">
        <v>690</v>
      </c>
      <c r="P237">
        <v>47</v>
      </c>
      <c r="Q237">
        <v>909</v>
      </c>
      <c r="R237">
        <v>68</v>
      </c>
      <c r="S237">
        <v>54</v>
      </c>
      <c r="T237">
        <v>0</v>
      </c>
      <c r="U237">
        <v>70</v>
      </c>
      <c r="V237">
        <v>154</v>
      </c>
      <c r="W237">
        <v>56</v>
      </c>
      <c r="X237">
        <v>33</v>
      </c>
      <c r="Y237">
        <v>0.27400000000000002</v>
      </c>
      <c r="Z237">
        <v>0.33700000000000002</v>
      </c>
      <c r="AA237">
        <v>0.40500000000000003</v>
      </c>
    </row>
    <row r="238" spans="1:27" x14ac:dyDescent="0.2">
      <c r="A238" s="52">
        <v>2007</v>
      </c>
      <c r="B238" t="s">
        <v>165</v>
      </c>
      <c r="C238" t="s">
        <v>163</v>
      </c>
      <c r="D238">
        <v>162</v>
      </c>
      <c r="E238">
        <v>5593</v>
      </c>
      <c r="F238" s="1">
        <v>782</v>
      </c>
      <c r="G238">
        <v>1500</v>
      </c>
      <c r="H238">
        <f t="shared" si="7"/>
        <v>986</v>
      </c>
      <c r="I238">
        <v>291</v>
      </c>
      <c r="J238">
        <v>36</v>
      </c>
      <c r="K238">
        <v>187</v>
      </c>
      <c r="L238">
        <v>545</v>
      </c>
      <c r="M238">
        <v>53</v>
      </c>
      <c r="N238">
        <f t="shared" si="6"/>
        <v>3495</v>
      </c>
      <c r="O238">
        <v>750</v>
      </c>
      <c r="P238">
        <v>31</v>
      </c>
      <c r="Q238">
        <v>1324</v>
      </c>
      <c r="R238">
        <v>34</v>
      </c>
      <c r="S238">
        <v>52</v>
      </c>
      <c r="T238">
        <v>3</v>
      </c>
      <c r="U238">
        <v>63</v>
      </c>
      <c r="V238">
        <v>119</v>
      </c>
      <c r="W238">
        <v>131</v>
      </c>
      <c r="X238">
        <v>48</v>
      </c>
      <c r="Y238">
        <v>0.26800000000000002</v>
      </c>
      <c r="Z238">
        <v>0.33600000000000002</v>
      </c>
      <c r="AA238">
        <v>0.433</v>
      </c>
    </row>
    <row r="239" spans="1:27" x14ac:dyDescent="0.2">
      <c r="A239" s="52">
        <v>2007</v>
      </c>
      <c r="B239" t="s">
        <v>95</v>
      </c>
      <c r="C239" t="s">
        <v>163</v>
      </c>
      <c r="D239">
        <v>162</v>
      </c>
      <c r="E239">
        <v>5555</v>
      </c>
      <c r="F239" s="1">
        <v>816</v>
      </c>
      <c r="G239">
        <v>1460</v>
      </c>
      <c r="H239">
        <f t="shared" si="7"/>
        <v>947</v>
      </c>
      <c r="I239">
        <v>298</v>
      </c>
      <c r="J239">
        <v>36</v>
      </c>
      <c r="K239">
        <v>179</v>
      </c>
      <c r="L239">
        <v>503</v>
      </c>
      <c r="M239">
        <v>56</v>
      </c>
      <c r="N239">
        <f t="shared" si="6"/>
        <v>3536</v>
      </c>
      <c r="O239">
        <v>768</v>
      </c>
      <c r="P239">
        <v>27</v>
      </c>
      <c r="Q239">
        <v>1224</v>
      </c>
      <c r="R239">
        <v>57</v>
      </c>
      <c r="S239">
        <v>42</v>
      </c>
      <c r="T239">
        <v>1</v>
      </c>
      <c r="U239">
        <v>78</v>
      </c>
      <c r="V239">
        <v>129</v>
      </c>
      <c r="W239">
        <v>88</v>
      </c>
      <c r="X239">
        <v>25</v>
      </c>
      <c r="Y239">
        <v>0.26300000000000001</v>
      </c>
      <c r="Z239">
        <v>0.32800000000000001</v>
      </c>
      <c r="AA239">
        <v>0.42599999999999999</v>
      </c>
    </row>
    <row r="240" spans="1:27" x14ac:dyDescent="0.2">
      <c r="A240" s="52">
        <v>2007</v>
      </c>
      <c r="B240" t="s">
        <v>97</v>
      </c>
      <c r="C240" t="s">
        <v>163</v>
      </c>
      <c r="D240">
        <v>162</v>
      </c>
      <c r="E240">
        <v>5536</v>
      </c>
      <c r="F240" s="1">
        <v>753</v>
      </c>
      <c r="G240">
        <v>1434</v>
      </c>
      <c r="H240">
        <f t="shared" si="7"/>
        <v>901</v>
      </c>
      <c r="I240">
        <v>344</v>
      </c>
      <c r="J240">
        <v>24</v>
      </c>
      <c r="K240">
        <v>165</v>
      </c>
      <c r="L240">
        <v>533</v>
      </c>
      <c r="M240">
        <v>47</v>
      </c>
      <c r="N240">
        <f t="shared" si="6"/>
        <v>3522</v>
      </c>
      <c r="O240">
        <v>719</v>
      </c>
      <c r="P240">
        <v>32</v>
      </c>
      <c r="Q240">
        <v>1044</v>
      </c>
      <c r="R240">
        <v>33</v>
      </c>
      <c r="S240">
        <v>48</v>
      </c>
      <c r="T240">
        <v>0</v>
      </c>
      <c r="U240">
        <v>56</v>
      </c>
      <c r="V240">
        <v>127</v>
      </c>
      <c r="W240">
        <v>57</v>
      </c>
      <c r="X240">
        <v>22</v>
      </c>
      <c r="Y240">
        <v>0.25900000000000001</v>
      </c>
      <c r="Z240">
        <v>0.32700000000000001</v>
      </c>
      <c r="AA240">
        <v>0.41899999999999998</v>
      </c>
    </row>
    <row r="241" spans="1:27" x14ac:dyDescent="0.2">
      <c r="A241" s="52">
        <v>2007</v>
      </c>
      <c r="B241" t="s">
        <v>101</v>
      </c>
      <c r="C241" t="s">
        <v>38</v>
      </c>
      <c r="D241">
        <v>162</v>
      </c>
      <c r="E241">
        <v>5520</v>
      </c>
      <c r="F241" s="1">
        <v>673</v>
      </c>
      <c r="G241">
        <v>1415</v>
      </c>
      <c r="H241">
        <f t="shared" si="7"/>
        <v>952</v>
      </c>
      <c r="I241">
        <v>309</v>
      </c>
      <c r="J241">
        <v>31</v>
      </c>
      <c r="K241">
        <v>123</v>
      </c>
      <c r="L241">
        <v>524</v>
      </c>
      <c r="M241">
        <v>53</v>
      </c>
      <c r="N241">
        <f t="shared" si="6"/>
        <v>3528</v>
      </c>
      <c r="O241">
        <v>646</v>
      </c>
      <c r="P241">
        <v>38</v>
      </c>
      <c r="Q241">
        <v>1128</v>
      </c>
      <c r="R241">
        <v>63</v>
      </c>
      <c r="S241">
        <v>41</v>
      </c>
      <c r="T241">
        <v>0</v>
      </c>
      <c r="U241">
        <v>56</v>
      </c>
      <c r="V241">
        <v>143</v>
      </c>
      <c r="W241">
        <v>69</v>
      </c>
      <c r="X241">
        <v>23</v>
      </c>
      <c r="Y241">
        <v>0.25600000000000001</v>
      </c>
      <c r="Z241">
        <v>0.32500000000000001</v>
      </c>
      <c r="AA241">
        <v>0.39</v>
      </c>
    </row>
    <row r="242" spans="1:27" x14ac:dyDescent="0.2">
      <c r="A242" s="52">
        <v>2008</v>
      </c>
      <c r="B242" t="s">
        <v>37</v>
      </c>
      <c r="C242" t="s">
        <v>163</v>
      </c>
      <c r="D242">
        <v>162</v>
      </c>
      <c r="E242">
        <v>5540</v>
      </c>
      <c r="F242" s="1">
        <v>765</v>
      </c>
      <c r="G242">
        <v>1486</v>
      </c>
      <c r="H242">
        <f t="shared" si="7"/>
        <v>1028</v>
      </c>
      <c r="I242">
        <v>274</v>
      </c>
      <c r="J242">
        <v>25</v>
      </c>
      <c r="K242">
        <v>159</v>
      </c>
      <c r="L242">
        <v>481</v>
      </c>
      <c r="M242">
        <v>52</v>
      </c>
      <c r="N242">
        <f t="shared" si="6"/>
        <v>3521</v>
      </c>
      <c r="O242">
        <v>721</v>
      </c>
      <c r="P242">
        <v>52</v>
      </c>
      <c r="Q242">
        <v>987</v>
      </c>
      <c r="R242">
        <v>32</v>
      </c>
      <c r="S242">
        <v>50</v>
      </c>
      <c r="T242">
        <v>0</v>
      </c>
      <c r="U242">
        <v>78</v>
      </c>
      <c r="V242">
        <v>140</v>
      </c>
      <c r="W242">
        <v>129</v>
      </c>
      <c r="X242">
        <v>48</v>
      </c>
      <c r="Y242">
        <v>0.26800000000000002</v>
      </c>
      <c r="Z242">
        <v>0.33</v>
      </c>
      <c r="AA242">
        <v>0.41299999999999998</v>
      </c>
    </row>
    <row r="243" spans="1:27" x14ac:dyDescent="0.2">
      <c r="A243" s="52">
        <v>2008</v>
      </c>
      <c r="B243" t="s">
        <v>40</v>
      </c>
      <c r="C243" t="s">
        <v>38</v>
      </c>
      <c r="D243">
        <v>162</v>
      </c>
      <c r="E243">
        <v>5409</v>
      </c>
      <c r="F243" s="1">
        <v>720</v>
      </c>
      <c r="G243">
        <v>1355</v>
      </c>
      <c r="H243">
        <f t="shared" si="7"/>
        <v>831</v>
      </c>
      <c r="I243">
        <v>318</v>
      </c>
      <c r="J243">
        <v>47</v>
      </c>
      <c r="K243">
        <v>159</v>
      </c>
      <c r="L243">
        <v>587</v>
      </c>
      <c r="M243">
        <v>49</v>
      </c>
      <c r="N243">
        <f t="shared" si="6"/>
        <v>3418</v>
      </c>
      <c r="O243">
        <v>683</v>
      </c>
      <c r="P243">
        <v>49</v>
      </c>
      <c r="Q243">
        <v>1287</v>
      </c>
      <c r="R243">
        <v>68</v>
      </c>
      <c r="S243">
        <v>43</v>
      </c>
      <c r="T243">
        <v>0</v>
      </c>
      <c r="U243">
        <v>49</v>
      </c>
      <c r="V243">
        <v>105</v>
      </c>
      <c r="W243">
        <v>58</v>
      </c>
      <c r="X243">
        <v>23</v>
      </c>
      <c r="Y243">
        <v>0.251</v>
      </c>
      <c r="Z243">
        <v>0.32700000000000001</v>
      </c>
      <c r="AA243">
        <v>0.41499999999999998</v>
      </c>
    </row>
    <row r="244" spans="1:27" x14ac:dyDescent="0.2">
      <c r="A244" s="52">
        <v>2008</v>
      </c>
      <c r="B244" t="s">
        <v>42</v>
      </c>
      <c r="C244" t="s">
        <v>38</v>
      </c>
      <c r="D244">
        <v>162</v>
      </c>
      <c r="E244">
        <v>5604</v>
      </c>
      <c r="F244" s="1">
        <v>753</v>
      </c>
      <c r="G244">
        <v>1514</v>
      </c>
      <c r="H244">
        <f t="shared" si="7"/>
        <v>1035</v>
      </c>
      <c r="I244">
        <v>316</v>
      </c>
      <c r="J244">
        <v>33</v>
      </c>
      <c r="K244">
        <v>130</v>
      </c>
      <c r="L244">
        <v>618</v>
      </c>
      <c r="M244">
        <v>42</v>
      </c>
      <c r="N244">
        <f t="shared" si="6"/>
        <v>3430</v>
      </c>
      <c r="O244">
        <v>721</v>
      </c>
      <c r="P244">
        <v>56</v>
      </c>
      <c r="Q244">
        <v>1023</v>
      </c>
      <c r="R244">
        <v>69</v>
      </c>
      <c r="S244">
        <v>34</v>
      </c>
      <c r="T244">
        <v>1</v>
      </c>
      <c r="U244">
        <v>64</v>
      </c>
      <c r="V244">
        <v>143</v>
      </c>
      <c r="W244">
        <v>58</v>
      </c>
      <c r="X244">
        <v>27</v>
      </c>
      <c r="Y244">
        <v>0.27</v>
      </c>
      <c r="Z244">
        <v>0.34499999999999997</v>
      </c>
      <c r="AA244">
        <v>0.40799999999999997</v>
      </c>
    </row>
    <row r="245" spans="1:27" x14ac:dyDescent="0.2">
      <c r="A245" s="52">
        <v>2008</v>
      </c>
      <c r="B245" t="s">
        <v>45</v>
      </c>
      <c r="C245" t="s">
        <v>163</v>
      </c>
      <c r="D245">
        <v>161</v>
      </c>
      <c r="E245">
        <v>5559</v>
      </c>
      <c r="F245" s="1">
        <v>782</v>
      </c>
      <c r="G245">
        <v>1486</v>
      </c>
      <c r="H245">
        <f t="shared" si="7"/>
        <v>962</v>
      </c>
      <c r="I245">
        <v>322</v>
      </c>
      <c r="J245">
        <v>30</v>
      </c>
      <c r="K245">
        <v>172</v>
      </c>
      <c r="L245">
        <v>533</v>
      </c>
      <c r="M245">
        <v>42</v>
      </c>
      <c r="N245">
        <f t="shared" si="6"/>
        <v>3498</v>
      </c>
      <c r="O245">
        <v>750</v>
      </c>
      <c r="P245">
        <v>37</v>
      </c>
      <c r="Q245">
        <v>990</v>
      </c>
      <c r="R245">
        <v>27</v>
      </c>
      <c r="S245">
        <v>48</v>
      </c>
      <c r="T245">
        <v>2</v>
      </c>
      <c r="U245">
        <v>68</v>
      </c>
      <c r="V245">
        <v>111</v>
      </c>
      <c r="W245">
        <v>81</v>
      </c>
      <c r="X245">
        <v>37</v>
      </c>
      <c r="Y245">
        <v>0.26700000000000002</v>
      </c>
      <c r="Z245">
        <v>0.33300000000000002</v>
      </c>
      <c r="AA245">
        <v>0.42899999999999999</v>
      </c>
    </row>
    <row r="246" spans="1:27" x14ac:dyDescent="0.2">
      <c r="A246" s="52">
        <v>2008</v>
      </c>
      <c r="B246" t="s">
        <v>47</v>
      </c>
      <c r="C246" t="s">
        <v>163</v>
      </c>
      <c r="D246">
        <v>162</v>
      </c>
      <c r="E246">
        <v>5596</v>
      </c>
      <c r="F246" s="1">
        <v>845</v>
      </c>
      <c r="G246">
        <v>1565</v>
      </c>
      <c r="H246">
        <f t="shared" si="7"/>
        <v>1006</v>
      </c>
      <c r="I246">
        <v>353</v>
      </c>
      <c r="J246">
        <v>33</v>
      </c>
      <c r="K246">
        <v>173</v>
      </c>
      <c r="L246">
        <v>646</v>
      </c>
      <c r="M246">
        <v>70</v>
      </c>
      <c r="N246">
        <f t="shared" si="6"/>
        <v>3315</v>
      </c>
      <c r="O246">
        <v>807</v>
      </c>
      <c r="P246">
        <v>49</v>
      </c>
      <c r="Q246">
        <v>1068</v>
      </c>
      <c r="R246">
        <v>28</v>
      </c>
      <c r="S246">
        <v>62</v>
      </c>
      <c r="T246">
        <v>0</v>
      </c>
      <c r="U246">
        <v>59</v>
      </c>
      <c r="V246">
        <v>147</v>
      </c>
      <c r="W246">
        <v>120</v>
      </c>
      <c r="X246">
        <v>35</v>
      </c>
      <c r="Y246">
        <v>0.28000000000000003</v>
      </c>
      <c r="Z246">
        <v>0.35799999999999998</v>
      </c>
      <c r="AA246">
        <v>0.44700000000000001</v>
      </c>
    </row>
    <row r="247" spans="1:27" x14ac:dyDescent="0.2">
      <c r="A247" s="52">
        <v>2008</v>
      </c>
      <c r="B247" t="s">
        <v>157</v>
      </c>
      <c r="C247" t="s">
        <v>38</v>
      </c>
      <c r="D247">
        <v>161</v>
      </c>
      <c r="E247">
        <v>5588</v>
      </c>
      <c r="F247" s="1">
        <v>855</v>
      </c>
      <c r="G247">
        <v>1552</v>
      </c>
      <c r="H247">
        <f t="shared" si="7"/>
        <v>1018</v>
      </c>
      <c r="I247">
        <v>329</v>
      </c>
      <c r="J247">
        <v>21</v>
      </c>
      <c r="K247">
        <v>184</v>
      </c>
      <c r="L247">
        <v>636</v>
      </c>
      <c r="M247">
        <v>50</v>
      </c>
      <c r="N247">
        <f t="shared" si="6"/>
        <v>3350</v>
      </c>
      <c r="O247">
        <v>811</v>
      </c>
      <c r="P247">
        <v>48</v>
      </c>
      <c r="Q247">
        <v>1186</v>
      </c>
      <c r="R247">
        <v>65</v>
      </c>
      <c r="S247">
        <v>45</v>
      </c>
      <c r="T247">
        <v>0</v>
      </c>
      <c r="U247">
        <v>60</v>
      </c>
      <c r="V247">
        <v>134</v>
      </c>
      <c r="W247">
        <v>87</v>
      </c>
      <c r="X247">
        <v>34</v>
      </c>
      <c r="Y247">
        <v>0.27800000000000002</v>
      </c>
      <c r="Z247">
        <v>0.35399999999999998</v>
      </c>
      <c r="AA247">
        <v>0.443</v>
      </c>
    </row>
    <row r="248" spans="1:27" x14ac:dyDescent="0.2">
      <c r="A248" s="52">
        <v>2008</v>
      </c>
      <c r="B248" t="s">
        <v>157</v>
      </c>
      <c r="C248" t="s">
        <v>163</v>
      </c>
      <c r="D248">
        <v>163</v>
      </c>
      <c r="E248">
        <v>5553</v>
      </c>
      <c r="F248" s="1">
        <v>811</v>
      </c>
      <c r="G248">
        <v>1458</v>
      </c>
      <c r="H248">
        <f t="shared" si="7"/>
        <v>914</v>
      </c>
      <c r="I248">
        <v>296</v>
      </c>
      <c r="J248">
        <v>13</v>
      </c>
      <c r="K248">
        <v>235</v>
      </c>
      <c r="L248">
        <v>540</v>
      </c>
      <c r="M248">
        <v>63</v>
      </c>
      <c r="N248">
        <f t="shared" si="6"/>
        <v>3492</v>
      </c>
      <c r="O248">
        <v>785</v>
      </c>
      <c r="P248">
        <v>33</v>
      </c>
      <c r="Q248">
        <v>1016</v>
      </c>
      <c r="R248">
        <v>28</v>
      </c>
      <c r="S248">
        <v>47</v>
      </c>
      <c r="T248">
        <v>0</v>
      </c>
      <c r="U248">
        <v>53</v>
      </c>
      <c r="V248">
        <v>157</v>
      </c>
      <c r="W248">
        <v>67</v>
      </c>
      <c r="X248">
        <v>34</v>
      </c>
      <c r="Y248">
        <v>0.26300000000000001</v>
      </c>
      <c r="Z248">
        <v>0.33200000000000002</v>
      </c>
      <c r="AA248">
        <v>0.44800000000000001</v>
      </c>
    </row>
    <row r="249" spans="1:27" x14ac:dyDescent="0.2">
      <c r="A249" s="52">
        <v>2008</v>
      </c>
      <c r="B249" t="s">
        <v>53</v>
      </c>
      <c r="C249" t="s">
        <v>38</v>
      </c>
      <c r="D249">
        <v>162</v>
      </c>
      <c r="E249">
        <v>5465</v>
      </c>
      <c r="F249" s="1">
        <v>704</v>
      </c>
      <c r="G249">
        <v>1351</v>
      </c>
      <c r="H249">
        <f t="shared" si="7"/>
        <v>871</v>
      </c>
      <c r="I249">
        <v>269</v>
      </c>
      <c r="J249">
        <v>24</v>
      </c>
      <c r="K249">
        <v>187</v>
      </c>
      <c r="L249">
        <v>560</v>
      </c>
      <c r="M249">
        <v>50</v>
      </c>
      <c r="N249">
        <f t="shared" si="6"/>
        <v>3504</v>
      </c>
      <c r="O249">
        <v>677</v>
      </c>
      <c r="P249">
        <v>50</v>
      </c>
      <c r="Q249">
        <v>1125</v>
      </c>
      <c r="R249">
        <v>72</v>
      </c>
      <c r="S249">
        <v>41</v>
      </c>
      <c r="T249">
        <v>0</v>
      </c>
      <c r="U249">
        <v>68</v>
      </c>
      <c r="V249">
        <v>101</v>
      </c>
      <c r="W249">
        <v>85</v>
      </c>
      <c r="X249">
        <v>47</v>
      </c>
      <c r="Y249">
        <v>0.247</v>
      </c>
      <c r="Z249">
        <v>0.32100000000000001</v>
      </c>
      <c r="AA249">
        <v>0.40799999999999997</v>
      </c>
    </row>
    <row r="250" spans="1:27" x14ac:dyDescent="0.2">
      <c r="A250" s="52">
        <v>2008</v>
      </c>
      <c r="B250" t="s">
        <v>55</v>
      </c>
      <c r="C250" t="s">
        <v>163</v>
      </c>
      <c r="D250">
        <v>162</v>
      </c>
      <c r="E250">
        <v>5543</v>
      </c>
      <c r="F250" s="1">
        <v>805</v>
      </c>
      <c r="G250">
        <v>1455</v>
      </c>
      <c r="H250">
        <f t="shared" si="7"/>
        <v>923</v>
      </c>
      <c r="I250">
        <v>339</v>
      </c>
      <c r="J250">
        <v>22</v>
      </c>
      <c r="K250">
        <v>171</v>
      </c>
      <c r="L250">
        <v>560</v>
      </c>
      <c r="M250">
        <v>103</v>
      </c>
      <c r="N250">
        <f t="shared" si="6"/>
        <v>3425</v>
      </c>
      <c r="O250">
        <v>772</v>
      </c>
      <c r="P250">
        <v>44</v>
      </c>
      <c r="Q250">
        <v>1213</v>
      </c>
      <c r="R250">
        <v>43</v>
      </c>
      <c r="S250">
        <v>49</v>
      </c>
      <c r="T250">
        <v>1</v>
      </c>
      <c r="U250">
        <v>65</v>
      </c>
      <c r="V250">
        <v>123</v>
      </c>
      <c r="W250">
        <v>77</v>
      </c>
      <c r="X250">
        <v>29</v>
      </c>
      <c r="Y250">
        <v>0.26200000000000001</v>
      </c>
      <c r="Z250">
        <v>0.33900000000000002</v>
      </c>
      <c r="AA250">
        <v>0.42399999999999999</v>
      </c>
    </row>
    <row r="251" spans="1:27" x14ac:dyDescent="0.2">
      <c r="A251" s="52">
        <v>2008</v>
      </c>
      <c r="B251" t="s">
        <v>57</v>
      </c>
      <c r="C251" t="s">
        <v>38</v>
      </c>
      <c r="D251">
        <v>162</v>
      </c>
      <c r="E251">
        <v>5557</v>
      </c>
      <c r="F251" s="1">
        <v>747</v>
      </c>
      <c r="G251">
        <v>1462</v>
      </c>
      <c r="H251">
        <f t="shared" si="7"/>
        <v>964</v>
      </c>
      <c r="I251">
        <v>310</v>
      </c>
      <c r="J251">
        <v>28</v>
      </c>
      <c r="K251">
        <v>160</v>
      </c>
      <c r="L251">
        <v>570</v>
      </c>
      <c r="M251">
        <v>57</v>
      </c>
      <c r="N251">
        <f t="shared" si="6"/>
        <v>3468</v>
      </c>
      <c r="O251">
        <v>714</v>
      </c>
      <c r="P251">
        <v>36</v>
      </c>
      <c r="Q251">
        <v>1209</v>
      </c>
      <c r="R251">
        <v>90</v>
      </c>
      <c r="S251">
        <v>38</v>
      </c>
      <c r="T251">
        <v>0</v>
      </c>
      <c r="U251">
        <v>73</v>
      </c>
      <c r="V251">
        <v>119</v>
      </c>
      <c r="W251">
        <v>141</v>
      </c>
      <c r="X251">
        <v>37</v>
      </c>
      <c r="Y251">
        <v>0.26300000000000001</v>
      </c>
      <c r="Z251">
        <v>0.33600000000000002</v>
      </c>
      <c r="AA251">
        <v>0.41499999999999998</v>
      </c>
    </row>
    <row r="252" spans="1:27" x14ac:dyDescent="0.2">
      <c r="A252" s="52">
        <v>2008</v>
      </c>
      <c r="B252" t="s">
        <v>59</v>
      </c>
      <c r="C252" t="s">
        <v>163</v>
      </c>
      <c r="D252">
        <v>162</v>
      </c>
      <c r="E252">
        <v>5641</v>
      </c>
      <c r="F252" s="1">
        <v>821</v>
      </c>
      <c r="G252">
        <v>1529</v>
      </c>
      <c r="H252">
        <f t="shared" si="7"/>
        <v>995</v>
      </c>
      <c r="I252">
        <v>293</v>
      </c>
      <c r="J252">
        <v>41</v>
      </c>
      <c r="K252">
        <v>200</v>
      </c>
      <c r="L252">
        <v>572</v>
      </c>
      <c r="M252">
        <v>44</v>
      </c>
      <c r="N252">
        <f t="shared" si="6"/>
        <v>3496</v>
      </c>
      <c r="O252">
        <v>780</v>
      </c>
      <c r="P252">
        <v>23</v>
      </c>
      <c r="Q252">
        <v>1076</v>
      </c>
      <c r="R252">
        <v>30</v>
      </c>
      <c r="S252">
        <v>44</v>
      </c>
      <c r="T252">
        <v>0</v>
      </c>
      <c r="U252">
        <v>60</v>
      </c>
      <c r="V252">
        <v>144</v>
      </c>
      <c r="W252">
        <v>63</v>
      </c>
      <c r="X252">
        <v>31</v>
      </c>
      <c r="Y252">
        <v>0.27100000000000002</v>
      </c>
      <c r="Z252">
        <v>0.34</v>
      </c>
      <c r="AA252">
        <v>0.44400000000000001</v>
      </c>
    </row>
    <row r="253" spans="1:27" x14ac:dyDescent="0.2">
      <c r="A253" s="52">
        <v>2008</v>
      </c>
      <c r="B253" t="s">
        <v>160</v>
      </c>
      <c r="C253" t="s">
        <v>38</v>
      </c>
      <c r="D253">
        <v>161</v>
      </c>
      <c r="E253">
        <v>5499</v>
      </c>
      <c r="F253" s="1">
        <v>770</v>
      </c>
      <c r="G253">
        <v>1397</v>
      </c>
      <c r="H253">
        <f t="shared" si="7"/>
        <v>859</v>
      </c>
      <c r="I253">
        <v>302</v>
      </c>
      <c r="J253">
        <v>28</v>
      </c>
      <c r="K253">
        <v>208</v>
      </c>
      <c r="L253">
        <v>543</v>
      </c>
      <c r="M253">
        <v>69</v>
      </c>
      <c r="N253">
        <f t="shared" si="6"/>
        <v>3490</v>
      </c>
      <c r="O253">
        <v>741</v>
      </c>
      <c r="P253">
        <v>50</v>
      </c>
      <c r="Q253">
        <v>1371</v>
      </c>
      <c r="R253">
        <v>49</v>
      </c>
      <c r="S253">
        <v>46</v>
      </c>
      <c r="T253">
        <v>0</v>
      </c>
      <c r="U253">
        <v>65</v>
      </c>
      <c r="V253">
        <v>98</v>
      </c>
      <c r="W253">
        <v>76</v>
      </c>
      <c r="X253">
        <v>28</v>
      </c>
      <c r="Y253">
        <v>0.254</v>
      </c>
      <c r="Z253">
        <v>0.32600000000000001</v>
      </c>
      <c r="AA253">
        <v>0.433</v>
      </c>
    </row>
    <row r="254" spans="1:27" x14ac:dyDescent="0.2">
      <c r="A254" s="52">
        <v>2008</v>
      </c>
      <c r="B254" t="s">
        <v>63</v>
      </c>
      <c r="C254" t="s">
        <v>38</v>
      </c>
      <c r="D254">
        <v>161</v>
      </c>
      <c r="E254">
        <v>5451</v>
      </c>
      <c r="F254" s="1">
        <v>712</v>
      </c>
      <c r="G254">
        <v>1432</v>
      </c>
      <c r="H254">
        <f t="shared" si="7"/>
        <v>959</v>
      </c>
      <c r="I254">
        <v>284</v>
      </c>
      <c r="J254">
        <v>22</v>
      </c>
      <c r="K254">
        <v>167</v>
      </c>
      <c r="L254">
        <v>449</v>
      </c>
      <c r="M254">
        <v>52</v>
      </c>
      <c r="N254">
        <f t="shared" si="6"/>
        <v>3518</v>
      </c>
      <c r="O254">
        <v>684</v>
      </c>
      <c r="P254">
        <v>42</v>
      </c>
      <c r="Q254">
        <v>1051</v>
      </c>
      <c r="R254">
        <v>57</v>
      </c>
      <c r="S254">
        <v>41</v>
      </c>
      <c r="T254">
        <v>1</v>
      </c>
      <c r="U254">
        <v>64</v>
      </c>
      <c r="V254">
        <v>116</v>
      </c>
      <c r="W254">
        <v>114</v>
      </c>
      <c r="X254">
        <v>52</v>
      </c>
      <c r="Y254">
        <v>0.26300000000000001</v>
      </c>
      <c r="Z254">
        <v>0.32300000000000001</v>
      </c>
      <c r="AA254">
        <v>0.41499999999999998</v>
      </c>
    </row>
    <row r="255" spans="1:27" x14ac:dyDescent="0.2">
      <c r="A255" s="52">
        <v>2008</v>
      </c>
      <c r="B255" t="s">
        <v>164</v>
      </c>
      <c r="C255" t="s">
        <v>163</v>
      </c>
      <c r="D255">
        <v>162</v>
      </c>
      <c r="E255">
        <v>5608</v>
      </c>
      <c r="F255" s="1">
        <v>691</v>
      </c>
      <c r="G255">
        <v>1507</v>
      </c>
      <c r="H255">
        <f t="shared" si="7"/>
        <v>1056</v>
      </c>
      <c r="I255">
        <v>303</v>
      </c>
      <c r="J255">
        <v>28</v>
      </c>
      <c r="K255">
        <v>120</v>
      </c>
      <c r="L255">
        <v>392</v>
      </c>
      <c r="M255">
        <v>50</v>
      </c>
      <c r="N255">
        <f t="shared" si="6"/>
        <v>3659</v>
      </c>
      <c r="O255">
        <v>650</v>
      </c>
      <c r="P255">
        <v>31</v>
      </c>
      <c r="Q255">
        <v>1005</v>
      </c>
      <c r="R255">
        <v>32</v>
      </c>
      <c r="S255">
        <v>36</v>
      </c>
      <c r="T255">
        <v>0</v>
      </c>
      <c r="U255">
        <v>60</v>
      </c>
      <c r="V255">
        <v>144</v>
      </c>
      <c r="W255">
        <v>79</v>
      </c>
      <c r="X255">
        <v>38</v>
      </c>
      <c r="Y255">
        <v>0.26900000000000002</v>
      </c>
      <c r="Z255">
        <v>0.32</v>
      </c>
      <c r="AA255">
        <v>0.39700000000000002</v>
      </c>
    </row>
    <row r="256" spans="1:27" x14ac:dyDescent="0.2">
      <c r="A256" s="52">
        <v>2008</v>
      </c>
      <c r="B256" t="s">
        <v>159</v>
      </c>
      <c r="C256" t="s">
        <v>38</v>
      </c>
      <c r="D256">
        <v>162</v>
      </c>
      <c r="E256">
        <v>5506</v>
      </c>
      <c r="F256" s="1">
        <v>700</v>
      </c>
      <c r="G256">
        <v>1455</v>
      </c>
      <c r="H256">
        <f t="shared" si="7"/>
        <v>1018</v>
      </c>
      <c r="I256">
        <v>271</v>
      </c>
      <c r="J256">
        <v>29</v>
      </c>
      <c r="K256">
        <v>137</v>
      </c>
      <c r="L256">
        <v>543</v>
      </c>
      <c r="M256">
        <v>43</v>
      </c>
      <c r="N256">
        <f t="shared" si="6"/>
        <v>3465</v>
      </c>
      <c r="O256">
        <v>659</v>
      </c>
      <c r="P256">
        <v>62</v>
      </c>
      <c r="Q256">
        <v>1032</v>
      </c>
      <c r="R256">
        <v>64</v>
      </c>
      <c r="S256">
        <v>38</v>
      </c>
      <c r="T256">
        <v>0</v>
      </c>
      <c r="U256">
        <v>69</v>
      </c>
      <c r="V256">
        <v>153</v>
      </c>
      <c r="W256">
        <v>126</v>
      </c>
      <c r="X256">
        <v>43</v>
      </c>
      <c r="Y256">
        <v>0.26400000000000001</v>
      </c>
      <c r="Z256">
        <v>0.33300000000000002</v>
      </c>
      <c r="AA256">
        <v>0.39900000000000002</v>
      </c>
    </row>
    <row r="257" spans="1:27" x14ac:dyDescent="0.2">
      <c r="A257" s="52">
        <v>2008</v>
      </c>
      <c r="B257" t="s">
        <v>69</v>
      </c>
      <c r="C257" t="s">
        <v>38</v>
      </c>
      <c r="D257">
        <v>162</v>
      </c>
      <c r="E257">
        <v>5535</v>
      </c>
      <c r="F257" s="1">
        <v>750</v>
      </c>
      <c r="G257">
        <v>1398</v>
      </c>
      <c r="H257">
        <f t="shared" si="7"/>
        <v>841</v>
      </c>
      <c r="I257">
        <v>324</v>
      </c>
      <c r="J257">
        <v>35</v>
      </c>
      <c r="K257">
        <v>198</v>
      </c>
      <c r="L257">
        <v>550</v>
      </c>
      <c r="M257">
        <v>69</v>
      </c>
      <c r="N257">
        <f t="shared" si="6"/>
        <v>3518</v>
      </c>
      <c r="O257">
        <v>722</v>
      </c>
      <c r="P257">
        <v>44</v>
      </c>
      <c r="Q257">
        <v>1203</v>
      </c>
      <c r="R257">
        <v>54</v>
      </c>
      <c r="S257">
        <v>43</v>
      </c>
      <c r="T257">
        <v>1</v>
      </c>
      <c r="U257">
        <v>78</v>
      </c>
      <c r="V257">
        <v>97</v>
      </c>
      <c r="W257">
        <v>108</v>
      </c>
      <c r="X257">
        <v>38</v>
      </c>
      <c r="Y257">
        <v>0.253</v>
      </c>
      <c r="Z257">
        <v>0.32500000000000001</v>
      </c>
      <c r="AA257">
        <v>0.43099999999999999</v>
      </c>
    </row>
    <row r="258" spans="1:27" x14ac:dyDescent="0.2">
      <c r="A258" s="52">
        <v>2008</v>
      </c>
      <c r="B258" t="s">
        <v>71</v>
      </c>
      <c r="C258" t="s">
        <v>163</v>
      </c>
      <c r="D258">
        <v>163</v>
      </c>
      <c r="E258">
        <v>5641</v>
      </c>
      <c r="F258" s="1">
        <v>829</v>
      </c>
      <c r="G258">
        <v>1572</v>
      </c>
      <c r="H258">
        <f t="shared" si="7"/>
        <v>1114</v>
      </c>
      <c r="I258">
        <v>298</v>
      </c>
      <c r="J258">
        <v>49</v>
      </c>
      <c r="K258">
        <v>111</v>
      </c>
      <c r="L258">
        <v>529</v>
      </c>
      <c r="M258">
        <v>36</v>
      </c>
      <c r="N258">
        <f t="shared" ref="N258:N321" si="8">E258-(G258+L258+M258)</f>
        <v>3504</v>
      </c>
      <c r="O258">
        <v>791</v>
      </c>
      <c r="P258">
        <v>48</v>
      </c>
      <c r="Q258">
        <v>979</v>
      </c>
      <c r="R258">
        <v>52</v>
      </c>
      <c r="S258">
        <v>72</v>
      </c>
      <c r="T258">
        <v>1</v>
      </c>
      <c r="U258">
        <v>72</v>
      </c>
      <c r="V258">
        <v>142</v>
      </c>
      <c r="W258">
        <v>102</v>
      </c>
      <c r="X258">
        <v>42</v>
      </c>
      <c r="Y258">
        <v>0.27900000000000003</v>
      </c>
      <c r="Z258">
        <v>0.34</v>
      </c>
      <c r="AA258">
        <v>0.40799999999999997</v>
      </c>
    </row>
    <row r="259" spans="1:27" x14ac:dyDescent="0.2">
      <c r="A259" s="52">
        <v>2008</v>
      </c>
      <c r="B259" t="s">
        <v>158</v>
      </c>
      <c r="C259" t="s">
        <v>38</v>
      </c>
      <c r="D259">
        <v>162</v>
      </c>
      <c r="E259">
        <v>5606</v>
      </c>
      <c r="F259" s="1">
        <v>799</v>
      </c>
      <c r="G259">
        <v>1491</v>
      </c>
      <c r="H259">
        <f t="shared" ref="H259:H322" si="9">G259-(I259+J259+K259)</f>
        <v>1007</v>
      </c>
      <c r="I259">
        <v>274</v>
      </c>
      <c r="J259">
        <v>38</v>
      </c>
      <c r="K259">
        <v>172</v>
      </c>
      <c r="L259">
        <v>619</v>
      </c>
      <c r="M259">
        <v>39</v>
      </c>
      <c r="N259">
        <f t="shared" si="8"/>
        <v>3457</v>
      </c>
      <c r="O259">
        <v>751</v>
      </c>
      <c r="P259">
        <v>71</v>
      </c>
      <c r="Q259">
        <v>1024</v>
      </c>
      <c r="R259">
        <v>73</v>
      </c>
      <c r="S259">
        <v>49</v>
      </c>
      <c r="T259">
        <v>2</v>
      </c>
      <c r="U259">
        <v>79</v>
      </c>
      <c r="V259">
        <v>129</v>
      </c>
      <c r="W259">
        <v>138</v>
      </c>
      <c r="X259">
        <v>36</v>
      </c>
      <c r="Y259">
        <v>0.26600000000000001</v>
      </c>
      <c r="Z259">
        <v>0.34</v>
      </c>
      <c r="AA259">
        <v>0.42</v>
      </c>
    </row>
    <row r="260" spans="1:27" x14ac:dyDescent="0.2">
      <c r="A260" s="52">
        <v>2008</v>
      </c>
      <c r="B260" t="s">
        <v>158</v>
      </c>
      <c r="C260" t="s">
        <v>163</v>
      </c>
      <c r="D260">
        <v>162</v>
      </c>
      <c r="E260">
        <v>5572</v>
      </c>
      <c r="F260" s="1">
        <v>789</v>
      </c>
      <c r="G260">
        <v>1512</v>
      </c>
      <c r="H260">
        <f t="shared" si="9"/>
        <v>1023</v>
      </c>
      <c r="I260">
        <v>289</v>
      </c>
      <c r="J260">
        <v>20</v>
      </c>
      <c r="K260">
        <v>180</v>
      </c>
      <c r="L260">
        <v>535</v>
      </c>
      <c r="M260">
        <v>80</v>
      </c>
      <c r="N260">
        <f t="shared" si="8"/>
        <v>3445</v>
      </c>
      <c r="O260">
        <v>758</v>
      </c>
      <c r="P260">
        <v>36</v>
      </c>
      <c r="Q260">
        <v>1015</v>
      </c>
      <c r="R260">
        <v>31</v>
      </c>
      <c r="S260">
        <v>39</v>
      </c>
      <c r="T260">
        <v>0</v>
      </c>
      <c r="U260">
        <v>61</v>
      </c>
      <c r="V260">
        <v>149</v>
      </c>
      <c r="W260">
        <v>118</v>
      </c>
      <c r="X260">
        <v>39</v>
      </c>
      <c r="Y260">
        <v>0.27100000000000002</v>
      </c>
      <c r="Z260">
        <v>0.34200000000000003</v>
      </c>
      <c r="AA260">
        <v>0.42699999999999999</v>
      </c>
    </row>
    <row r="261" spans="1:27" x14ac:dyDescent="0.2">
      <c r="A261" s="52">
        <v>2008</v>
      </c>
      <c r="B261" t="s">
        <v>79</v>
      </c>
      <c r="C261" t="s">
        <v>163</v>
      </c>
      <c r="D261">
        <v>161</v>
      </c>
      <c r="E261">
        <v>5451</v>
      </c>
      <c r="F261" s="1">
        <v>646</v>
      </c>
      <c r="G261">
        <v>1318</v>
      </c>
      <c r="H261">
        <f t="shared" si="9"/>
        <v>900</v>
      </c>
      <c r="I261">
        <v>270</v>
      </c>
      <c r="J261">
        <v>23</v>
      </c>
      <c r="K261">
        <v>125</v>
      </c>
      <c r="L261">
        <v>574</v>
      </c>
      <c r="M261">
        <v>48</v>
      </c>
      <c r="N261">
        <f t="shared" si="8"/>
        <v>3511</v>
      </c>
      <c r="O261">
        <v>610</v>
      </c>
      <c r="P261">
        <v>23</v>
      </c>
      <c r="Q261">
        <v>1226</v>
      </c>
      <c r="R261">
        <v>30</v>
      </c>
      <c r="S261">
        <v>35</v>
      </c>
      <c r="T261">
        <v>0</v>
      </c>
      <c r="U261">
        <v>55</v>
      </c>
      <c r="V261">
        <v>126</v>
      </c>
      <c r="W261">
        <v>88</v>
      </c>
      <c r="X261">
        <v>21</v>
      </c>
      <c r="Y261">
        <v>0.24199999999999999</v>
      </c>
      <c r="Z261">
        <v>0.318</v>
      </c>
      <c r="AA261">
        <v>0.36899999999999999</v>
      </c>
    </row>
    <row r="262" spans="1:27" x14ac:dyDescent="0.2">
      <c r="A262" s="52">
        <v>2008</v>
      </c>
      <c r="B262" t="s">
        <v>81</v>
      </c>
      <c r="C262" t="s">
        <v>38</v>
      </c>
      <c r="D262">
        <v>162</v>
      </c>
      <c r="E262">
        <v>5509</v>
      </c>
      <c r="F262" s="1">
        <v>799</v>
      </c>
      <c r="G262">
        <v>1407</v>
      </c>
      <c r="H262">
        <f t="shared" si="9"/>
        <v>866</v>
      </c>
      <c r="I262">
        <v>291</v>
      </c>
      <c r="J262">
        <v>36</v>
      </c>
      <c r="K262">
        <v>214</v>
      </c>
      <c r="L262">
        <v>586</v>
      </c>
      <c r="M262">
        <v>67</v>
      </c>
      <c r="N262">
        <f t="shared" si="8"/>
        <v>3449</v>
      </c>
      <c r="O262">
        <v>762</v>
      </c>
      <c r="P262">
        <v>68</v>
      </c>
      <c r="Q262">
        <v>1117</v>
      </c>
      <c r="R262">
        <v>71</v>
      </c>
      <c r="S262">
        <v>40</v>
      </c>
      <c r="T262">
        <v>0</v>
      </c>
      <c r="U262">
        <v>66</v>
      </c>
      <c r="V262">
        <v>108</v>
      </c>
      <c r="W262">
        <v>136</v>
      </c>
      <c r="X262">
        <v>25</v>
      </c>
      <c r="Y262">
        <v>0.255</v>
      </c>
      <c r="Z262">
        <v>0.33200000000000002</v>
      </c>
      <c r="AA262">
        <v>0.438</v>
      </c>
    </row>
    <row r="263" spans="1:27" x14ac:dyDescent="0.2">
      <c r="A263" s="52">
        <v>2008</v>
      </c>
      <c r="B263" t="s">
        <v>83</v>
      </c>
      <c r="C263" t="s">
        <v>38</v>
      </c>
      <c r="D263">
        <v>162</v>
      </c>
      <c r="E263">
        <v>5628</v>
      </c>
      <c r="F263" s="1">
        <v>735</v>
      </c>
      <c r="G263">
        <v>1454</v>
      </c>
      <c r="H263">
        <f t="shared" si="9"/>
        <v>966</v>
      </c>
      <c r="I263">
        <v>314</v>
      </c>
      <c r="J263">
        <v>21</v>
      </c>
      <c r="K263">
        <v>153</v>
      </c>
      <c r="L263">
        <v>474</v>
      </c>
      <c r="M263">
        <v>59</v>
      </c>
      <c r="N263">
        <f t="shared" si="8"/>
        <v>3641</v>
      </c>
      <c r="O263">
        <v>705</v>
      </c>
      <c r="P263">
        <v>40</v>
      </c>
      <c r="Q263">
        <v>1039</v>
      </c>
      <c r="R263">
        <v>66</v>
      </c>
      <c r="S263">
        <v>51</v>
      </c>
      <c r="T263">
        <v>0</v>
      </c>
      <c r="U263">
        <v>65</v>
      </c>
      <c r="V263">
        <v>111</v>
      </c>
      <c r="W263">
        <v>57</v>
      </c>
      <c r="X263">
        <v>19</v>
      </c>
      <c r="Y263">
        <v>0.25800000000000001</v>
      </c>
      <c r="Z263">
        <v>0.32</v>
      </c>
      <c r="AA263">
        <v>0.40300000000000002</v>
      </c>
    </row>
    <row r="264" spans="1:27" x14ac:dyDescent="0.2">
      <c r="A264" s="52">
        <v>2008</v>
      </c>
      <c r="B264" t="s">
        <v>161</v>
      </c>
      <c r="C264" t="s">
        <v>38</v>
      </c>
      <c r="D264">
        <v>162</v>
      </c>
      <c r="E264">
        <v>5568</v>
      </c>
      <c r="F264" s="1">
        <v>637</v>
      </c>
      <c r="G264">
        <v>1390</v>
      </c>
      <c r="H264">
        <f t="shared" si="9"/>
        <v>945</v>
      </c>
      <c r="I264">
        <v>264</v>
      </c>
      <c r="J264">
        <v>27</v>
      </c>
      <c r="K264">
        <v>154</v>
      </c>
      <c r="L264">
        <v>518</v>
      </c>
      <c r="M264">
        <v>53</v>
      </c>
      <c r="N264">
        <f t="shared" si="8"/>
        <v>3607</v>
      </c>
      <c r="O264">
        <v>615</v>
      </c>
      <c r="P264">
        <v>35</v>
      </c>
      <c r="Q264">
        <v>1259</v>
      </c>
      <c r="R264">
        <v>59</v>
      </c>
      <c r="S264">
        <v>46</v>
      </c>
      <c r="T264">
        <v>0</v>
      </c>
      <c r="U264">
        <v>49</v>
      </c>
      <c r="V264">
        <v>129</v>
      </c>
      <c r="W264">
        <v>36</v>
      </c>
      <c r="X264">
        <v>17</v>
      </c>
      <c r="Y264">
        <v>0.25</v>
      </c>
      <c r="Z264">
        <v>0.317</v>
      </c>
      <c r="AA264">
        <v>0.39</v>
      </c>
    </row>
    <row r="265" spans="1:27" x14ac:dyDescent="0.2">
      <c r="A265" s="52">
        <v>2008</v>
      </c>
      <c r="B265" t="s">
        <v>87</v>
      </c>
      <c r="C265" t="s">
        <v>163</v>
      </c>
      <c r="D265">
        <v>162</v>
      </c>
      <c r="E265">
        <v>5643</v>
      </c>
      <c r="F265" s="1">
        <v>671</v>
      </c>
      <c r="G265">
        <v>1498</v>
      </c>
      <c r="H265">
        <f t="shared" si="9"/>
        <v>1069</v>
      </c>
      <c r="I265">
        <v>285</v>
      </c>
      <c r="J265">
        <v>20</v>
      </c>
      <c r="K265">
        <v>124</v>
      </c>
      <c r="L265">
        <v>417</v>
      </c>
      <c r="M265">
        <v>38</v>
      </c>
      <c r="N265">
        <f t="shared" si="8"/>
        <v>3690</v>
      </c>
      <c r="O265">
        <v>631</v>
      </c>
      <c r="P265">
        <v>44</v>
      </c>
      <c r="Q265">
        <v>890</v>
      </c>
      <c r="R265">
        <v>36</v>
      </c>
      <c r="S265">
        <v>42</v>
      </c>
      <c r="T265">
        <v>0</v>
      </c>
      <c r="U265">
        <v>80</v>
      </c>
      <c r="V265">
        <v>137</v>
      </c>
      <c r="W265">
        <v>90</v>
      </c>
      <c r="X265">
        <v>32</v>
      </c>
      <c r="Y265">
        <v>0.26500000000000001</v>
      </c>
      <c r="Z265">
        <v>0.318</v>
      </c>
      <c r="AA265">
        <v>0.38900000000000001</v>
      </c>
    </row>
    <row r="266" spans="1:27" x14ac:dyDescent="0.2">
      <c r="A266" s="52">
        <v>2008</v>
      </c>
      <c r="B266" t="s">
        <v>21</v>
      </c>
      <c r="C266" t="s">
        <v>38</v>
      </c>
      <c r="D266">
        <v>162</v>
      </c>
      <c r="E266">
        <v>5543</v>
      </c>
      <c r="F266" s="1">
        <v>640</v>
      </c>
      <c r="G266">
        <v>1452</v>
      </c>
      <c r="H266">
        <f t="shared" si="9"/>
        <v>1010</v>
      </c>
      <c r="I266">
        <v>311</v>
      </c>
      <c r="J266">
        <v>37</v>
      </c>
      <c r="K266">
        <v>94</v>
      </c>
      <c r="L266">
        <v>452</v>
      </c>
      <c r="M266">
        <v>48</v>
      </c>
      <c r="N266">
        <f t="shared" si="8"/>
        <v>3591</v>
      </c>
      <c r="O266">
        <v>606</v>
      </c>
      <c r="P266">
        <v>45</v>
      </c>
      <c r="Q266">
        <v>1044</v>
      </c>
      <c r="R266">
        <v>57</v>
      </c>
      <c r="S266">
        <v>44</v>
      </c>
      <c r="T266">
        <v>1</v>
      </c>
      <c r="U266">
        <v>76</v>
      </c>
      <c r="V266">
        <v>139</v>
      </c>
      <c r="W266">
        <v>108</v>
      </c>
      <c r="X266">
        <v>46</v>
      </c>
      <c r="Y266">
        <v>0.26200000000000001</v>
      </c>
      <c r="Z266">
        <v>0.32100000000000001</v>
      </c>
      <c r="AA266">
        <v>0.38200000000000001</v>
      </c>
    </row>
    <row r="267" spans="1:27" x14ac:dyDescent="0.2">
      <c r="A267" s="52">
        <v>2008</v>
      </c>
      <c r="B267" t="s">
        <v>156</v>
      </c>
      <c r="C267" t="s">
        <v>38</v>
      </c>
      <c r="D267">
        <v>162</v>
      </c>
      <c r="E267">
        <v>5636</v>
      </c>
      <c r="F267" s="1">
        <v>779</v>
      </c>
      <c r="G267">
        <v>1585</v>
      </c>
      <c r="H267">
        <f t="shared" si="9"/>
        <v>1102</v>
      </c>
      <c r="I267">
        <v>283</v>
      </c>
      <c r="J267">
        <v>26</v>
      </c>
      <c r="K267">
        <v>174</v>
      </c>
      <c r="L267">
        <v>577</v>
      </c>
      <c r="M267">
        <v>42</v>
      </c>
      <c r="N267">
        <f t="shared" si="8"/>
        <v>3432</v>
      </c>
      <c r="O267">
        <v>744</v>
      </c>
      <c r="P267">
        <v>63</v>
      </c>
      <c r="Q267">
        <v>985</v>
      </c>
      <c r="R267">
        <v>71</v>
      </c>
      <c r="S267">
        <v>44</v>
      </c>
      <c r="T267">
        <v>0</v>
      </c>
      <c r="U267">
        <v>53</v>
      </c>
      <c r="V267">
        <v>150</v>
      </c>
      <c r="W267">
        <v>73</v>
      </c>
      <c r="X267">
        <v>32</v>
      </c>
      <c r="Y267">
        <v>0.28100000000000003</v>
      </c>
      <c r="Z267">
        <v>0.35</v>
      </c>
      <c r="AA267">
        <v>0.433</v>
      </c>
    </row>
    <row r="268" spans="1:27" x14ac:dyDescent="0.2">
      <c r="A268" s="52">
        <v>2008</v>
      </c>
      <c r="B268" t="s">
        <v>165</v>
      </c>
      <c r="C268" t="s">
        <v>163</v>
      </c>
      <c r="D268">
        <v>162</v>
      </c>
      <c r="E268">
        <v>5541</v>
      </c>
      <c r="F268" s="1">
        <v>774</v>
      </c>
      <c r="G268">
        <v>1443</v>
      </c>
      <c r="H268">
        <f t="shared" si="9"/>
        <v>942</v>
      </c>
      <c r="I268">
        <v>284</v>
      </c>
      <c r="J268">
        <v>37</v>
      </c>
      <c r="K268">
        <v>180</v>
      </c>
      <c r="L268">
        <v>626</v>
      </c>
      <c r="M268">
        <v>68</v>
      </c>
      <c r="N268">
        <f t="shared" si="8"/>
        <v>3404</v>
      </c>
      <c r="O268">
        <v>735</v>
      </c>
      <c r="P268">
        <v>33</v>
      </c>
      <c r="Q268">
        <v>1224</v>
      </c>
      <c r="R268">
        <v>23</v>
      </c>
      <c r="S268">
        <v>52</v>
      </c>
      <c r="T268">
        <v>2</v>
      </c>
      <c r="U268">
        <v>78</v>
      </c>
      <c r="V268">
        <v>111</v>
      </c>
      <c r="W268">
        <v>142</v>
      </c>
      <c r="X268">
        <v>50</v>
      </c>
      <c r="Y268">
        <v>0.26</v>
      </c>
      <c r="Z268">
        <v>0.34</v>
      </c>
      <c r="AA268">
        <v>0.42199999999999999</v>
      </c>
    </row>
    <row r="269" spans="1:27" x14ac:dyDescent="0.2">
      <c r="A269" s="52">
        <v>2008</v>
      </c>
      <c r="B269" t="s">
        <v>95</v>
      </c>
      <c r="C269" t="s">
        <v>163</v>
      </c>
      <c r="D269">
        <v>162</v>
      </c>
      <c r="E269">
        <v>5728</v>
      </c>
      <c r="F269" s="1">
        <v>901</v>
      </c>
      <c r="G269">
        <v>1619</v>
      </c>
      <c r="H269">
        <f t="shared" si="9"/>
        <v>1014</v>
      </c>
      <c r="I269">
        <v>376</v>
      </c>
      <c r="J269">
        <v>35</v>
      </c>
      <c r="K269">
        <v>194</v>
      </c>
      <c r="L269">
        <v>595</v>
      </c>
      <c r="M269">
        <v>63</v>
      </c>
      <c r="N269">
        <f t="shared" si="8"/>
        <v>3451</v>
      </c>
      <c r="O269">
        <v>867</v>
      </c>
      <c r="P269">
        <v>43</v>
      </c>
      <c r="Q269">
        <v>1207</v>
      </c>
      <c r="R269">
        <v>37</v>
      </c>
      <c r="S269">
        <v>54</v>
      </c>
      <c r="T269">
        <v>1</v>
      </c>
      <c r="U269">
        <v>66</v>
      </c>
      <c r="V269">
        <v>117</v>
      </c>
      <c r="W269">
        <v>81</v>
      </c>
      <c r="X269">
        <v>25</v>
      </c>
      <c r="Y269">
        <v>0.28299999999999997</v>
      </c>
      <c r="Z269">
        <v>0.35399999999999998</v>
      </c>
      <c r="AA269">
        <v>0.46200000000000002</v>
      </c>
    </row>
    <row r="270" spans="1:27" x14ac:dyDescent="0.2">
      <c r="A270" s="52">
        <v>2008</v>
      </c>
      <c r="B270" t="s">
        <v>97</v>
      </c>
      <c r="C270" t="s">
        <v>163</v>
      </c>
      <c r="D270">
        <v>162</v>
      </c>
      <c r="E270">
        <v>5503</v>
      </c>
      <c r="F270" s="1">
        <v>714</v>
      </c>
      <c r="G270">
        <v>1453</v>
      </c>
      <c r="H270">
        <f t="shared" si="9"/>
        <v>992</v>
      </c>
      <c r="I270">
        <v>303</v>
      </c>
      <c r="J270">
        <v>32</v>
      </c>
      <c r="K270">
        <v>126</v>
      </c>
      <c r="L270">
        <v>521</v>
      </c>
      <c r="M270">
        <v>59</v>
      </c>
      <c r="N270">
        <f t="shared" si="8"/>
        <v>3470</v>
      </c>
      <c r="O270">
        <v>681</v>
      </c>
      <c r="P270">
        <v>34</v>
      </c>
      <c r="Q270">
        <v>938</v>
      </c>
      <c r="R270">
        <v>48</v>
      </c>
      <c r="S270">
        <v>56</v>
      </c>
      <c r="T270">
        <v>4</v>
      </c>
      <c r="U270">
        <v>70</v>
      </c>
      <c r="V270">
        <v>150</v>
      </c>
      <c r="W270">
        <v>80</v>
      </c>
      <c r="X270">
        <v>27</v>
      </c>
      <c r="Y270">
        <v>0.26400000000000001</v>
      </c>
      <c r="Z270">
        <v>0.33100000000000002</v>
      </c>
      <c r="AA270">
        <v>0.39900000000000002</v>
      </c>
    </row>
    <row r="271" spans="1:27" x14ac:dyDescent="0.2">
      <c r="A271" s="52">
        <v>2008</v>
      </c>
      <c r="B271" t="s">
        <v>101</v>
      </c>
      <c r="C271" t="s">
        <v>38</v>
      </c>
      <c r="D271">
        <v>161</v>
      </c>
      <c r="E271">
        <v>5491</v>
      </c>
      <c r="F271" s="1">
        <v>641</v>
      </c>
      <c r="G271">
        <v>1376</v>
      </c>
      <c r="H271">
        <f t="shared" si="9"/>
        <v>964</v>
      </c>
      <c r="I271">
        <v>269</v>
      </c>
      <c r="J271">
        <v>26</v>
      </c>
      <c r="K271">
        <v>117</v>
      </c>
      <c r="L271">
        <v>534</v>
      </c>
      <c r="M271">
        <v>67</v>
      </c>
      <c r="N271">
        <f t="shared" si="8"/>
        <v>3514</v>
      </c>
      <c r="O271">
        <v>608</v>
      </c>
      <c r="P271">
        <v>21</v>
      </c>
      <c r="Q271">
        <v>1095</v>
      </c>
      <c r="R271">
        <v>64</v>
      </c>
      <c r="S271">
        <v>36</v>
      </c>
      <c r="T271">
        <v>0</v>
      </c>
      <c r="U271">
        <v>80</v>
      </c>
      <c r="V271">
        <v>153</v>
      </c>
      <c r="W271">
        <v>81</v>
      </c>
      <c r="X271">
        <v>43</v>
      </c>
      <c r="Y271">
        <v>0.251</v>
      </c>
      <c r="Z271">
        <v>0.32300000000000001</v>
      </c>
      <c r="AA271">
        <v>0.373</v>
      </c>
    </row>
    <row r="272" spans="1:27" x14ac:dyDescent="0.2">
      <c r="A272" s="52">
        <v>2009</v>
      </c>
      <c r="B272" t="s">
        <v>37</v>
      </c>
      <c r="C272" t="s">
        <v>163</v>
      </c>
      <c r="D272">
        <v>162</v>
      </c>
      <c r="E272">
        <v>5622</v>
      </c>
      <c r="F272" s="1">
        <v>883</v>
      </c>
      <c r="G272">
        <v>1604</v>
      </c>
      <c r="H272">
        <f t="shared" si="9"/>
        <v>1105</v>
      </c>
      <c r="I272">
        <v>293</v>
      </c>
      <c r="J272">
        <v>33</v>
      </c>
      <c r="K272">
        <v>173</v>
      </c>
      <c r="L272">
        <v>547</v>
      </c>
      <c r="M272">
        <v>41</v>
      </c>
      <c r="N272">
        <f t="shared" si="8"/>
        <v>3430</v>
      </c>
      <c r="O272">
        <v>841</v>
      </c>
      <c r="P272">
        <v>32</v>
      </c>
      <c r="Q272">
        <v>1054</v>
      </c>
      <c r="R272">
        <v>43</v>
      </c>
      <c r="S272">
        <v>52</v>
      </c>
      <c r="T272">
        <v>0</v>
      </c>
      <c r="U272">
        <v>83</v>
      </c>
      <c r="V272">
        <v>128</v>
      </c>
      <c r="W272">
        <v>148</v>
      </c>
      <c r="X272">
        <v>63</v>
      </c>
      <c r="Y272">
        <v>0.28499999999999998</v>
      </c>
      <c r="Z272">
        <v>0.35</v>
      </c>
      <c r="AA272">
        <v>0.441</v>
      </c>
    </row>
    <row r="273" spans="1:27" x14ac:dyDescent="0.2">
      <c r="A273" s="52">
        <v>2009</v>
      </c>
      <c r="B273" t="s">
        <v>40</v>
      </c>
      <c r="C273" t="s">
        <v>38</v>
      </c>
      <c r="D273">
        <v>162</v>
      </c>
      <c r="E273">
        <v>5565</v>
      </c>
      <c r="F273" s="1">
        <v>720</v>
      </c>
      <c r="G273">
        <v>1408</v>
      </c>
      <c r="H273">
        <f t="shared" si="9"/>
        <v>883</v>
      </c>
      <c r="I273">
        <v>307</v>
      </c>
      <c r="J273">
        <v>45</v>
      </c>
      <c r="K273">
        <v>173</v>
      </c>
      <c r="L273">
        <v>571</v>
      </c>
      <c r="M273">
        <v>37</v>
      </c>
      <c r="N273">
        <f t="shared" si="8"/>
        <v>3549</v>
      </c>
      <c r="O273">
        <v>686</v>
      </c>
      <c r="P273">
        <v>47</v>
      </c>
      <c r="Q273">
        <v>1298</v>
      </c>
      <c r="R273">
        <v>54</v>
      </c>
      <c r="S273">
        <v>41</v>
      </c>
      <c r="T273">
        <v>1</v>
      </c>
      <c r="U273">
        <v>64</v>
      </c>
      <c r="V273">
        <v>93</v>
      </c>
      <c r="W273">
        <v>102</v>
      </c>
      <c r="X273">
        <v>40</v>
      </c>
      <c r="Y273">
        <v>0.253</v>
      </c>
      <c r="Z273">
        <v>0.32400000000000001</v>
      </c>
      <c r="AA273">
        <v>0.41799999999999998</v>
      </c>
    </row>
    <row r="274" spans="1:27" x14ac:dyDescent="0.2">
      <c r="A274" s="52">
        <v>2009</v>
      </c>
      <c r="B274" t="s">
        <v>42</v>
      </c>
      <c r="C274" t="s">
        <v>38</v>
      </c>
      <c r="D274">
        <v>162</v>
      </c>
      <c r="E274">
        <v>5539</v>
      </c>
      <c r="F274" s="1">
        <v>735</v>
      </c>
      <c r="G274">
        <v>1459</v>
      </c>
      <c r="H274">
        <f t="shared" si="9"/>
        <v>990</v>
      </c>
      <c r="I274">
        <v>300</v>
      </c>
      <c r="J274">
        <v>20</v>
      </c>
      <c r="K274">
        <v>149</v>
      </c>
      <c r="L274">
        <v>602</v>
      </c>
      <c r="M274">
        <v>52</v>
      </c>
      <c r="N274">
        <f t="shared" si="8"/>
        <v>3426</v>
      </c>
      <c r="O274">
        <v>700</v>
      </c>
      <c r="P274">
        <v>54</v>
      </c>
      <c r="Q274">
        <v>1064</v>
      </c>
      <c r="R274">
        <v>95</v>
      </c>
      <c r="S274">
        <v>47</v>
      </c>
      <c r="T274">
        <v>0</v>
      </c>
      <c r="U274">
        <v>58</v>
      </c>
      <c r="V274">
        <v>142</v>
      </c>
      <c r="W274">
        <v>58</v>
      </c>
      <c r="X274">
        <v>26</v>
      </c>
      <c r="Y274">
        <v>0.26300000000000001</v>
      </c>
      <c r="Z274">
        <v>0.33900000000000002</v>
      </c>
      <c r="AA274">
        <v>0.40500000000000003</v>
      </c>
    </row>
    <row r="275" spans="1:27" x14ac:dyDescent="0.2">
      <c r="A275" s="52">
        <v>2009</v>
      </c>
      <c r="B275" t="s">
        <v>45</v>
      </c>
      <c r="C275" t="s">
        <v>163</v>
      </c>
      <c r="D275">
        <v>162</v>
      </c>
      <c r="E275">
        <v>5618</v>
      </c>
      <c r="F275" s="1">
        <v>741</v>
      </c>
      <c r="G275">
        <v>1508</v>
      </c>
      <c r="H275">
        <f t="shared" si="9"/>
        <v>1022</v>
      </c>
      <c r="I275">
        <v>307</v>
      </c>
      <c r="J275">
        <v>19</v>
      </c>
      <c r="K275">
        <v>160</v>
      </c>
      <c r="L275">
        <v>517</v>
      </c>
      <c r="M275">
        <v>39</v>
      </c>
      <c r="N275">
        <f t="shared" si="8"/>
        <v>3554</v>
      </c>
      <c r="O275">
        <v>708</v>
      </c>
      <c r="P275">
        <v>25</v>
      </c>
      <c r="Q275">
        <v>1013</v>
      </c>
      <c r="R275">
        <v>13</v>
      </c>
      <c r="S275">
        <v>46</v>
      </c>
      <c r="T275">
        <v>0</v>
      </c>
      <c r="U275">
        <v>57</v>
      </c>
      <c r="V275">
        <v>131</v>
      </c>
      <c r="W275">
        <v>76</v>
      </c>
      <c r="X275">
        <v>37</v>
      </c>
      <c r="Y275">
        <v>0.26800000000000002</v>
      </c>
      <c r="Z275">
        <v>0.33200000000000002</v>
      </c>
      <c r="AA275">
        <v>0.41499999999999998</v>
      </c>
    </row>
    <row r="276" spans="1:27" x14ac:dyDescent="0.2">
      <c r="A276" s="52">
        <v>2009</v>
      </c>
      <c r="B276" t="s">
        <v>47</v>
      </c>
      <c r="C276" t="s">
        <v>163</v>
      </c>
      <c r="D276">
        <v>162</v>
      </c>
      <c r="E276">
        <v>5543</v>
      </c>
      <c r="F276" s="1">
        <v>872</v>
      </c>
      <c r="G276">
        <v>1495</v>
      </c>
      <c r="H276">
        <f t="shared" si="9"/>
        <v>923</v>
      </c>
      <c r="I276">
        <v>335</v>
      </c>
      <c r="J276">
        <v>25</v>
      </c>
      <c r="K276">
        <v>212</v>
      </c>
      <c r="L276">
        <v>659</v>
      </c>
      <c r="M276">
        <v>70</v>
      </c>
      <c r="N276">
        <f t="shared" si="8"/>
        <v>3319</v>
      </c>
      <c r="O276">
        <v>822</v>
      </c>
      <c r="P276">
        <v>39</v>
      </c>
      <c r="Q276">
        <v>1120</v>
      </c>
      <c r="R276">
        <v>19</v>
      </c>
      <c r="S276">
        <v>51</v>
      </c>
      <c r="T276">
        <v>2</v>
      </c>
      <c r="U276">
        <v>80</v>
      </c>
      <c r="V276">
        <v>137</v>
      </c>
      <c r="W276">
        <v>126</v>
      </c>
      <c r="X276">
        <v>39</v>
      </c>
      <c r="Y276">
        <v>0.27</v>
      </c>
      <c r="Z276">
        <v>0.35199999999999998</v>
      </c>
      <c r="AA276">
        <v>0.45400000000000001</v>
      </c>
    </row>
    <row r="277" spans="1:27" x14ac:dyDescent="0.2">
      <c r="A277" s="52">
        <v>2009</v>
      </c>
      <c r="B277" t="s">
        <v>157</v>
      </c>
      <c r="C277" t="s">
        <v>38</v>
      </c>
      <c r="D277">
        <v>161</v>
      </c>
      <c r="E277">
        <v>5486</v>
      </c>
      <c r="F277" s="1">
        <v>707</v>
      </c>
      <c r="G277">
        <v>1398</v>
      </c>
      <c r="H277">
        <f t="shared" si="9"/>
        <v>915</v>
      </c>
      <c r="I277">
        <v>293</v>
      </c>
      <c r="J277">
        <v>29</v>
      </c>
      <c r="K277">
        <v>161</v>
      </c>
      <c r="L277">
        <v>592</v>
      </c>
      <c r="M277">
        <v>59</v>
      </c>
      <c r="N277">
        <f t="shared" si="8"/>
        <v>3437</v>
      </c>
      <c r="O277">
        <v>678</v>
      </c>
      <c r="P277">
        <v>44</v>
      </c>
      <c r="Q277">
        <v>1185</v>
      </c>
      <c r="R277">
        <v>65</v>
      </c>
      <c r="S277">
        <v>42</v>
      </c>
      <c r="T277">
        <v>0</v>
      </c>
      <c r="U277">
        <v>74</v>
      </c>
      <c r="V277">
        <v>134</v>
      </c>
      <c r="W277">
        <v>56</v>
      </c>
      <c r="X277">
        <v>34</v>
      </c>
      <c r="Y277">
        <v>0.255</v>
      </c>
      <c r="Z277">
        <v>0.33200000000000002</v>
      </c>
      <c r="AA277">
        <v>0.40699999999999997</v>
      </c>
    </row>
    <row r="278" spans="1:27" x14ac:dyDescent="0.2">
      <c r="A278" s="52">
        <v>2009</v>
      </c>
      <c r="B278" t="s">
        <v>157</v>
      </c>
      <c r="C278" t="s">
        <v>163</v>
      </c>
      <c r="D278">
        <v>162</v>
      </c>
      <c r="E278">
        <v>5463</v>
      </c>
      <c r="F278" s="1">
        <v>724</v>
      </c>
      <c r="G278">
        <v>1410</v>
      </c>
      <c r="H278">
        <f t="shared" si="9"/>
        <v>960</v>
      </c>
      <c r="I278">
        <v>246</v>
      </c>
      <c r="J278">
        <v>20</v>
      </c>
      <c r="K278">
        <v>184</v>
      </c>
      <c r="L278">
        <v>534</v>
      </c>
      <c r="M278">
        <v>62</v>
      </c>
      <c r="N278">
        <f t="shared" si="8"/>
        <v>3457</v>
      </c>
      <c r="O278">
        <v>695</v>
      </c>
      <c r="P278">
        <v>25</v>
      </c>
      <c r="Q278">
        <v>1022</v>
      </c>
      <c r="R278">
        <v>34</v>
      </c>
      <c r="S278">
        <v>39</v>
      </c>
      <c r="T278">
        <v>0</v>
      </c>
      <c r="U278">
        <v>48</v>
      </c>
      <c r="V278">
        <v>139</v>
      </c>
      <c r="W278">
        <v>113</v>
      </c>
      <c r="X278">
        <v>49</v>
      </c>
      <c r="Y278">
        <v>0.25800000000000001</v>
      </c>
      <c r="Z278">
        <v>0.32900000000000001</v>
      </c>
      <c r="AA278">
        <v>0.41099999999999998</v>
      </c>
    </row>
    <row r="279" spans="1:27" x14ac:dyDescent="0.2">
      <c r="A279" s="52">
        <v>2009</v>
      </c>
      <c r="B279" t="s">
        <v>53</v>
      </c>
      <c r="C279" t="s">
        <v>38</v>
      </c>
      <c r="D279">
        <v>162</v>
      </c>
      <c r="E279">
        <v>5462</v>
      </c>
      <c r="F279" s="1">
        <v>673</v>
      </c>
      <c r="G279">
        <v>1349</v>
      </c>
      <c r="H279">
        <f t="shared" si="9"/>
        <v>886</v>
      </c>
      <c r="I279">
        <v>280</v>
      </c>
      <c r="J279">
        <v>25</v>
      </c>
      <c r="K279">
        <v>158</v>
      </c>
      <c r="L279">
        <v>531</v>
      </c>
      <c r="M279">
        <v>53</v>
      </c>
      <c r="N279">
        <f t="shared" si="8"/>
        <v>3529</v>
      </c>
      <c r="O279">
        <v>637</v>
      </c>
      <c r="P279">
        <v>37</v>
      </c>
      <c r="Q279">
        <v>1129</v>
      </c>
      <c r="R279">
        <v>100</v>
      </c>
      <c r="S279">
        <v>41</v>
      </c>
      <c r="T279">
        <v>0</v>
      </c>
      <c r="U279">
        <v>71</v>
      </c>
      <c r="V279">
        <v>103</v>
      </c>
      <c r="W279">
        <v>96</v>
      </c>
      <c r="X279">
        <v>40</v>
      </c>
      <c r="Y279">
        <v>0.247</v>
      </c>
      <c r="Z279">
        <v>0.318</v>
      </c>
      <c r="AA279">
        <v>0.39400000000000002</v>
      </c>
    </row>
    <row r="280" spans="1:27" x14ac:dyDescent="0.2">
      <c r="A280" s="52">
        <v>2009</v>
      </c>
      <c r="B280" t="s">
        <v>55</v>
      </c>
      <c r="C280" t="s">
        <v>163</v>
      </c>
      <c r="D280">
        <v>162</v>
      </c>
      <c r="E280">
        <v>5568</v>
      </c>
      <c r="F280" s="1">
        <v>773</v>
      </c>
      <c r="G280">
        <v>1468</v>
      </c>
      <c r="H280">
        <f t="shared" si="9"/>
        <v>965</v>
      </c>
      <c r="I280">
        <v>314</v>
      </c>
      <c r="J280">
        <v>28</v>
      </c>
      <c r="K280">
        <v>161</v>
      </c>
      <c r="L280">
        <v>582</v>
      </c>
      <c r="M280">
        <v>81</v>
      </c>
      <c r="N280">
        <f t="shared" si="8"/>
        <v>3437</v>
      </c>
      <c r="O280">
        <v>730</v>
      </c>
      <c r="P280">
        <v>20</v>
      </c>
      <c r="Q280">
        <v>1211</v>
      </c>
      <c r="R280">
        <v>39</v>
      </c>
      <c r="S280">
        <v>50</v>
      </c>
      <c r="T280">
        <v>0</v>
      </c>
      <c r="U280">
        <v>67</v>
      </c>
      <c r="V280">
        <v>140</v>
      </c>
      <c r="W280">
        <v>84</v>
      </c>
      <c r="X280">
        <v>31</v>
      </c>
      <c r="Y280">
        <v>0.26400000000000001</v>
      </c>
      <c r="Z280">
        <v>0.33900000000000002</v>
      </c>
      <c r="AA280">
        <v>0.41699999999999998</v>
      </c>
    </row>
    <row r="281" spans="1:27" x14ac:dyDescent="0.2">
      <c r="A281" s="52">
        <v>2009</v>
      </c>
      <c r="B281" t="s">
        <v>57</v>
      </c>
      <c r="C281" t="s">
        <v>38</v>
      </c>
      <c r="D281">
        <v>162</v>
      </c>
      <c r="E281">
        <v>5398</v>
      </c>
      <c r="F281" s="1">
        <v>804</v>
      </c>
      <c r="G281">
        <v>1408</v>
      </c>
      <c r="H281">
        <f t="shared" si="9"/>
        <v>868</v>
      </c>
      <c r="I281">
        <v>300</v>
      </c>
      <c r="J281">
        <v>50</v>
      </c>
      <c r="K281">
        <v>190</v>
      </c>
      <c r="L281">
        <v>660</v>
      </c>
      <c r="M281">
        <v>47</v>
      </c>
      <c r="N281">
        <f t="shared" si="8"/>
        <v>3283</v>
      </c>
      <c r="O281">
        <v>760</v>
      </c>
      <c r="P281">
        <v>40</v>
      </c>
      <c r="Q281">
        <v>1277</v>
      </c>
      <c r="R281">
        <v>76</v>
      </c>
      <c r="S281">
        <v>60</v>
      </c>
      <c r="T281">
        <v>0</v>
      </c>
      <c r="U281">
        <v>64</v>
      </c>
      <c r="V281">
        <v>111</v>
      </c>
      <c r="W281">
        <v>106</v>
      </c>
      <c r="X281">
        <v>55</v>
      </c>
      <c r="Y281">
        <v>0.26100000000000001</v>
      </c>
      <c r="Z281">
        <v>0.34300000000000003</v>
      </c>
      <c r="AA281">
        <v>0.441</v>
      </c>
    </row>
    <row r="282" spans="1:27" x14ac:dyDescent="0.2">
      <c r="A282" s="52">
        <v>2009</v>
      </c>
      <c r="B282" t="s">
        <v>59</v>
      </c>
      <c r="C282" t="s">
        <v>163</v>
      </c>
      <c r="D282">
        <v>163</v>
      </c>
      <c r="E282">
        <v>5540</v>
      </c>
      <c r="F282" s="1">
        <v>743</v>
      </c>
      <c r="G282">
        <v>1443</v>
      </c>
      <c r="H282">
        <f t="shared" si="9"/>
        <v>980</v>
      </c>
      <c r="I282">
        <v>245</v>
      </c>
      <c r="J282">
        <v>35</v>
      </c>
      <c r="K282">
        <v>183</v>
      </c>
      <c r="L282">
        <v>540</v>
      </c>
      <c r="M282">
        <v>61</v>
      </c>
      <c r="N282">
        <f t="shared" si="8"/>
        <v>3496</v>
      </c>
      <c r="O282">
        <v>718</v>
      </c>
      <c r="P282">
        <v>30</v>
      </c>
      <c r="Q282">
        <v>1114</v>
      </c>
      <c r="R282">
        <v>53</v>
      </c>
      <c r="S282">
        <v>39</v>
      </c>
      <c r="T282">
        <v>1</v>
      </c>
      <c r="U282">
        <v>65</v>
      </c>
      <c r="V282">
        <v>131</v>
      </c>
      <c r="W282">
        <v>72</v>
      </c>
      <c r="X282">
        <v>33</v>
      </c>
      <c r="Y282">
        <v>0.26</v>
      </c>
      <c r="Z282">
        <v>0.33100000000000002</v>
      </c>
      <c r="AA282">
        <v>0.41599999999999998</v>
      </c>
    </row>
    <row r="283" spans="1:27" x14ac:dyDescent="0.2">
      <c r="A283" s="52">
        <v>2009</v>
      </c>
      <c r="B283" t="s">
        <v>160</v>
      </c>
      <c r="C283" t="s">
        <v>38</v>
      </c>
      <c r="D283">
        <v>162</v>
      </c>
      <c r="E283">
        <v>5572</v>
      </c>
      <c r="F283" s="1">
        <v>772</v>
      </c>
      <c r="G283">
        <v>1493</v>
      </c>
      <c r="H283">
        <f t="shared" si="9"/>
        <v>1013</v>
      </c>
      <c r="I283">
        <v>296</v>
      </c>
      <c r="J283">
        <v>25</v>
      </c>
      <c r="K283">
        <v>159</v>
      </c>
      <c r="L283">
        <v>568</v>
      </c>
      <c r="M283">
        <v>63</v>
      </c>
      <c r="N283">
        <f t="shared" si="8"/>
        <v>3448</v>
      </c>
      <c r="O283">
        <v>727</v>
      </c>
      <c r="P283">
        <v>46</v>
      </c>
      <c r="Q283">
        <v>1226</v>
      </c>
      <c r="R283">
        <v>70</v>
      </c>
      <c r="S283">
        <v>39</v>
      </c>
      <c r="T283">
        <v>0</v>
      </c>
      <c r="U283">
        <v>69</v>
      </c>
      <c r="V283">
        <v>110</v>
      </c>
      <c r="W283">
        <v>75</v>
      </c>
      <c r="X283">
        <v>35</v>
      </c>
      <c r="Y283">
        <v>0.26800000000000002</v>
      </c>
      <c r="Z283">
        <v>0.34</v>
      </c>
      <c r="AA283">
        <v>0.41599999999999998</v>
      </c>
    </row>
    <row r="284" spans="1:27" x14ac:dyDescent="0.2">
      <c r="A284" s="52">
        <v>2009</v>
      </c>
      <c r="B284" t="s">
        <v>63</v>
      </c>
      <c r="C284" t="s">
        <v>38</v>
      </c>
      <c r="D284">
        <v>162</v>
      </c>
      <c r="E284">
        <v>5436</v>
      </c>
      <c r="F284" s="1">
        <v>643</v>
      </c>
      <c r="G284">
        <v>1415</v>
      </c>
      <c r="H284">
        <f t="shared" si="9"/>
        <v>971</v>
      </c>
      <c r="I284">
        <v>270</v>
      </c>
      <c r="J284">
        <v>32</v>
      </c>
      <c r="K284">
        <v>142</v>
      </c>
      <c r="L284">
        <v>448</v>
      </c>
      <c r="M284">
        <v>43</v>
      </c>
      <c r="N284">
        <f t="shared" si="8"/>
        <v>3530</v>
      </c>
      <c r="O284">
        <v>616</v>
      </c>
      <c r="P284">
        <v>37</v>
      </c>
      <c r="Q284">
        <v>990</v>
      </c>
      <c r="R284">
        <v>66</v>
      </c>
      <c r="S284">
        <v>45</v>
      </c>
      <c r="T284">
        <v>2</v>
      </c>
      <c r="U284">
        <v>55</v>
      </c>
      <c r="V284">
        <v>153</v>
      </c>
      <c r="W284">
        <v>113</v>
      </c>
      <c r="X284">
        <v>44</v>
      </c>
      <c r="Y284">
        <v>0.26</v>
      </c>
      <c r="Z284">
        <v>0.31900000000000001</v>
      </c>
      <c r="AA284">
        <v>0.4</v>
      </c>
    </row>
    <row r="285" spans="1:27" x14ac:dyDescent="0.2">
      <c r="A285" s="52">
        <v>2009</v>
      </c>
      <c r="B285" t="s">
        <v>164</v>
      </c>
      <c r="C285" t="s">
        <v>163</v>
      </c>
      <c r="D285">
        <v>162</v>
      </c>
      <c r="E285">
        <v>5532</v>
      </c>
      <c r="F285" s="1">
        <v>686</v>
      </c>
      <c r="G285">
        <v>1432</v>
      </c>
      <c r="H285">
        <f t="shared" si="9"/>
        <v>961</v>
      </c>
      <c r="I285">
        <v>276</v>
      </c>
      <c r="J285">
        <v>51</v>
      </c>
      <c r="K285">
        <v>144</v>
      </c>
      <c r="L285">
        <v>457</v>
      </c>
      <c r="M285">
        <v>42</v>
      </c>
      <c r="N285">
        <f t="shared" si="8"/>
        <v>3601</v>
      </c>
      <c r="O285">
        <v>657</v>
      </c>
      <c r="P285">
        <v>20</v>
      </c>
      <c r="Q285">
        <v>1091</v>
      </c>
      <c r="R285">
        <v>38</v>
      </c>
      <c r="S285">
        <v>32</v>
      </c>
      <c r="T285">
        <v>2</v>
      </c>
      <c r="U285">
        <v>65</v>
      </c>
      <c r="V285">
        <v>135</v>
      </c>
      <c r="W285">
        <v>88</v>
      </c>
      <c r="X285">
        <v>29</v>
      </c>
      <c r="Y285">
        <v>0.25900000000000001</v>
      </c>
      <c r="Z285">
        <v>0.318</v>
      </c>
      <c r="AA285">
        <v>0.40500000000000003</v>
      </c>
    </row>
    <row r="286" spans="1:27" x14ac:dyDescent="0.2">
      <c r="A286" s="52">
        <v>2009</v>
      </c>
      <c r="B286" t="s">
        <v>159</v>
      </c>
      <c r="C286" t="s">
        <v>38</v>
      </c>
      <c r="D286">
        <v>162</v>
      </c>
      <c r="E286">
        <v>5592</v>
      </c>
      <c r="F286" s="1">
        <v>780</v>
      </c>
      <c r="G286">
        <v>1511</v>
      </c>
      <c r="H286">
        <f t="shared" si="9"/>
        <v>1049</v>
      </c>
      <c r="I286">
        <v>278</v>
      </c>
      <c r="J286">
        <v>39</v>
      </c>
      <c r="K286">
        <v>145</v>
      </c>
      <c r="L286">
        <v>607</v>
      </c>
      <c r="M286">
        <v>63</v>
      </c>
      <c r="N286">
        <f t="shared" si="8"/>
        <v>3411</v>
      </c>
      <c r="O286">
        <v>739</v>
      </c>
      <c r="P286">
        <v>76</v>
      </c>
      <c r="Q286">
        <v>1068</v>
      </c>
      <c r="R286">
        <v>78</v>
      </c>
      <c r="S286">
        <v>44</v>
      </c>
      <c r="T286">
        <v>1</v>
      </c>
      <c r="U286">
        <v>73</v>
      </c>
      <c r="V286">
        <v>141</v>
      </c>
      <c r="W286">
        <v>116</v>
      </c>
      <c r="X286">
        <v>48</v>
      </c>
      <c r="Y286">
        <v>0.27</v>
      </c>
      <c r="Z286">
        <v>0.34599999999999997</v>
      </c>
      <c r="AA286">
        <v>0.41199999999999998</v>
      </c>
    </row>
    <row r="287" spans="1:27" x14ac:dyDescent="0.2">
      <c r="A287" s="52">
        <v>2009</v>
      </c>
      <c r="B287" t="s">
        <v>69</v>
      </c>
      <c r="C287" t="s">
        <v>38</v>
      </c>
      <c r="D287">
        <v>162</v>
      </c>
      <c r="E287">
        <v>5510</v>
      </c>
      <c r="F287" s="1">
        <v>785</v>
      </c>
      <c r="G287">
        <v>1447</v>
      </c>
      <c r="H287">
        <f t="shared" si="9"/>
        <v>947</v>
      </c>
      <c r="I287">
        <v>281</v>
      </c>
      <c r="J287">
        <v>37</v>
      </c>
      <c r="K287">
        <v>182</v>
      </c>
      <c r="L287">
        <v>610</v>
      </c>
      <c r="M287">
        <v>71</v>
      </c>
      <c r="N287">
        <f t="shared" si="8"/>
        <v>3382</v>
      </c>
      <c r="O287">
        <v>757</v>
      </c>
      <c r="P287">
        <v>44</v>
      </c>
      <c r="Q287">
        <v>1231</v>
      </c>
      <c r="R287">
        <v>58</v>
      </c>
      <c r="S287">
        <v>47</v>
      </c>
      <c r="T287">
        <v>0</v>
      </c>
      <c r="U287">
        <v>60</v>
      </c>
      <c r="V287">
        <v>128</v>
      </c>
      <c r="W287">
        <v>68</v>
      </c>
      <c r="X287">
        <v>37</v>
      </c>
      <c r="Y287">
        <v>0.26300000000000001</v>
      </c>
      <c r="Z287">
        <v>0.34100000000000003</v>
      </c>
      <c r="AA287">
        <v>0.42599999999999999</v>
      </c>
    </row>
    <row r="288" spans="1:27" x14ac:dyDescent="0.2">
      <c r="A288" s="52">
        <v>2009</v>
      </c>
      <c r="B288" t="s">
        <v>71</v>
      </c>
      <c r="C288" t="s">
        <v>163</v>
      </c>
      <c r="D288">
        <v>163</v>
      </c>
      <c r="E288">
        <v>5608</v>
      </c>
      <c r="F288" s="1">
        <v>817</v>
      </c>
      <c r="G288">
        <v>1539</v>
      </c>
      <c r="H288">
        <f t="shared" si="9"/>
        <v>1056</v>
      </c>
      <c r="I288">
        <v>271</v>
      </c>
      <c r="J288">
        <v>40</v>
      </c>
      <c r="K288">
        <v>172</v>
      </c>
      <c r="L288">
        <v>585</v>
      </c>
      <c r="M288">
        <v>45</v>
      </c>
      <c r="N288">
        <f t="shared" si="8"/>
        <v>3439</v>
      </c>
      <c r="O288">
        <v>770</v>
      </c>
      <c r="P288">
        <v>46</v>
      </c>
      <c r="Q288">
        <v>1021</v>
      </c>
      <c r="R288">
        <v>51</v>
      </c>
      <c r="S288">
        <v>57</v>
      </c>
      <c r="T288">
        <v>0</v>
      </c>
      <c r="U288">
        <v>64</v>
      </c>
      <c r="V288">
        <v>147</v>
      </c>
      <c r="W288">
        <v>85</v>
      </c>
      <c r="X288">
        <v>32</v>
      </c>
      <c r="Y288">
        <v>0.27400000000000002</v>
      </c>
      <c r="Z288">
        <v>0.34499999999999997</v>
      </c>
      <c r="AA288">
        <v>0.42899999999999999</v>
      </c>
    </row>
    <row r="289" spans="1:27" x14ac:dyDescent="0.2">
      <c r="A289" s="52">
        <v>2009</v>
      </c>
      <c r="B289" t="s">
        <v>158</v>
      </c>
      <c r="C289" t="s">
        <v>38</v>
      </c>
      <c r="D289">
        <v>162</v>
      </c>
      <c r="E289">
        <v>5453</v>
      </c>
      <c r="F289" s="1">
        <v>671</v>
      </c>
      <c r="G289">
        <v>1472</v>
      </c>
      <c r="H289">
        <f t="shared" si="9"/>
        <v>1033</v>
      </c>
      <c r="I289">
        <v>295</v>
      </c>
      <c r="J289">
        <v>49</v>
      </c>
      <c r="K289">
        <v>95</v>
      </c>
      <c r="L289">
        <v>526</v>
      </c>
      <c r="M289">
        <v>36</v>
      </c>
      <c r="N289">
        <f t="shared" si="8"/>
        <v>3419</v>
      </c>
      <c r="O289">
        <v>631</v>
      </c>
      <c r="P289">
        <v>49</v>
      </c>
      <c r="Q289">
        <v>928</v>
      </c>
      <c r="R289">
        <v>88</v>
      </c>
      <c r="S289">
        <v>55</v>
      </c>
      <c r="T289">
        <v>1</v>
      </c>
      <c r="U289">
        <v>68</v>
      </c>
      <c r="V289">
        <v>144</v>
      </c>
      <c r="W289">
        <v>122</v>
      </c>
      <c r="X289">
        <v>44</v>
      </c>
      <c r="Y289">
        <v>0.27</v>
      </c>
      <c r="Z289">
        <v>0.33500000000000002</v>
      </c>
      <c r="AA289">
        <v>0.39400000000000002</v>
      </c>
    </row>
    <row r="290" spans="1:27" x14ac:dyDescent="0.2">
      <c r="A290" s="52">
        <v>2009</v>
      </c>
      <c r="B290" t="s">
        <v>158</v>
      </c>
      <c r="C290" t="s">
        <v>163</v>
      </c>
      <c r="D290">
        <v>162</v>
      </c>
      <c r="E290">
        <v>5660</v>
      </c>
      <c r="F290" s="1">
        <v>915</v>
      </c>
      <c r="G290">
        <v>1604</v>
      </c>
      <c r="H290">
        <f t="shared" si="9"/>
        <v>1014</v>
      </c>
      <c r="I290">
        <v>325</v>
      </c>
      <c r="J290">
        <v>21</v>
      </c>
      <c r="K290">
        <v>244</v>
      </c>
      <c r="L290">
        <v>663</v>
      </c>
      <c r="M290">
        <v>54</v>
      </c>
      <c r="N290">
        <f t="shared" si="8"/>
        <v>3339</v>
      </c>
      <c r="O290">
        <v>881</v>
      </c>
      <c r="P290">
        <v>35</v>
      </c>
      <c r="Q290">
        <v>1014</v>
      </c>
      <c r="R290">
        <v>31</v>
      </c>
      <c r="S290">
        <v>39</v>
      </c>
      <c r="T290">
        <v>2</v>
      </c>
      <c r="U290">
        <v>72</v>
      </c>
      <c r="V290">
        <v>144</v>
      </c>
      <c r="W290">
        <v>111</v>
      </c>
      <c r="X290">
        <v>28</v>
      </c>
      <c r="Y290">
        <v>0.28299999999999997</v>
      </c>
      <c r="Z290">
        <v>0.36199999999999999</v>
      </c>
      <c r="AA290">
        <v>0.47799999999999998</v>
      </c>
    </row>
    <row r="291" spans="1:27" x14ac:dyDescent="0.2">
      <c r="A291" s="52">
        <v>2009</v>
      </c>
      <c r="B291" t="s">
        <v>79</v>
      </c>
      <c r="C291" t="s">
        <v>163</v>
      </c>
      <c r="D291">
        <v>162</v>
      </c>
      <c r="E291">
        <v>5584</v>
      </c>
      <c r="F291" s="1">
        <v>759</v>
      </c>
      <c r="G291">
        <v>1464</v>
      </c>
      <c r="H291">
        <f t="shared" si="9"/>
        <v>1001</v>
      </c>
      <c r="I291">
        <v>307</v>
      </c>
      <c r="J291">
        <v>21</v>
      </c>
      <c r="K291">
        <v>135</v>
      </c>
      <c r="L291">
        <v>527</v>
      </c>
      <c r="M291">
        <v>50</v>
      </c>
      <c r="N291">
        <f t="shared" si="8"/>
        <v>3543</v>
      </c>
      <c r="O291">
        <v>723</v>
      </c>
      <c r="P291">
        <v>16</v>
      </c>
      <c r="Q291">
        <v>1046</v>
      </c>
      <c r="R291">
        <v>31</v>
      </c>
      <c r="S291">
        <v>54</v>
      </c>
      <c r="T291">
        <v>1</v>
      </c>
      <c r="U291">
        <v>65</v>
      </c>
      <c r="V291">
        <v>130</v>
      </c>
      <c r="W291">
        <v>133</v>
      </c>
      <c r="X291">
        <v>48</v>
      </c>
      <c r="Y291">
        <v>0.26200000000000001</v>
      </c>
      <c r="Z291">
        <v>0.32800000000000001</v>
      </c>
      <c r="AA291">
        <v>0.39700000000000002</v>
      </c>
    </row>
    <row r="292" spans="1:27" x14ac:dyDescent="0.2">
      <c r="A292" s="52">
        <v>2009</v>
      </c>
      <c r="B292" t="s">
        <v>81</v>
      </c>
      <c r="C292" t="s">
        <v>38</v>
      </c>
      <c r="D292">
        <v>162</v>
      </c>
      <c r="E292">
        <v>5578</v>
      </c>
      <c r="F292" s="1">
        <v>820</v>
      </c>
      <c r="G292">
        <v>1439</v>
      </c>
      <c r="H292">
        <f t="shared" si="9"/>
        <v>868</v>
      </c>
      <c r="I292">
        <v>312</v>
      </c>
      <c r="J292">
        <v>35</v>
      </c>
      <c r="K292">
        <v>224</v>
      </c>
      <c r="L292">
        <v>589</v>
      </c>
      <c r="M292">
        <v>71</v>
      </c>
      <c r="N292">
        <f t="shared" si="8"/>
        <v>3479</v>
      </c>
      <c r="O292">
        <v>788</v>
      </c>
      <c r="P292">
        <v>47</v>
      </c>
      <c r="Q292">
        <v>1155</v>
      </c>
      <c r="R292">
        <v>55</v>
      </c>
      <c r="S292">
        <v>45</v>
      </c>
      <c r="T292">
        <v>0</v>
      </c>
      <c r="U292">
        <v>67</v>
      </c>
      <c r="V292">
        <v>90</v>
      </c>
      <c r="W292">
        <v>119</v>
      </c>
      <c r="X292">
        <v>28</v>
      </c>
      <c r="Y292">
        <v>0.25800000000000001</v>
      </c>
      <c r="Z292">
        <v>0.33400000000000002</v>
      </c>
      <c r="AA292">
        <v>0.44700000000000001</v>
      </c>
    </row>
    <row r="293" spans="1:27" x14ac:dyDescent="0.2">
      <c r="A293" s="52">
        <v>2009</v>
      </c>
      <c r="B293" t="s">
        <v>83</v>
      </c>
      <c r="C293" t="s">
        <v>38</v>
      </c>
      <c r="D293">
        <v>161</v>
      </c>
      <c r="E293">
        <v>5417</v>
      </c>
      <c r="F293" s="1">
        <v>636</v>
      </c>
      <c r="G293">
        <v>1364</v>
      </c>
      <c r="H293">
        <f t="shared" si="9"/>
        <v>916</v>
      </c>
      <c r="I293">
        <v>289</v>
      </c>
      <c r="J293">
        <v>34</v>
      </c>
      <c r="K293">
        <v>125</v>
      </c>
      <c r="L293">
        <v>499</v>
      </c>
      <c r="M293">
        <v>46</v>
      </c>
      <c r="N293">
        <f t="shared" si="8"/>
        <v>3508</v>
      </c>
      <c r="O293">
        <v>612</v>
      </c>
      <c r="P293">
        <v>44</v>
      </c>
      <c r="Q293">
        <v>1142</v>
      </c>
      <c r="R293">
        <v>60</v>
      </c>
      <c r="S293">
        <v>36</v>
      </c>
      <c r="T293">
        <v>0</v>
      </c>
      <c r="U293">
        <v>64</v>
      </c>
      <c r="V293">
        <v>124</v>
      </c>
      <c r="W293">
        <v>90</v>
      </c>
      <c r="X293">
        <v>32</v>
      </c>
      <c r="Y293">
        <v>0.252</v>
      </c>
      <c r="Z293">
        <v>0.318</v>
      </c>
      <c r="AA293">
        <v>0.38700000000000001</v>
      </c>
    </row>
    <row r="294" spans="1:27" x14ac:dyDescent="0.2">
      <c r="A294" s="52">
        <v>2009</v>
      </c>
      <c r="B294" t="s">
        <v>161</v>
      </c>
      <c r="C294" t="s">
        <v>38</v>
      </c>
      <c r="D294">
        <v>162</v>
      </c>
      <c r="E294">
        <v>5425</v>
      </c>
      <c r="F294" s="1">
        <v>638</v>
      </c>
      <c r="G294">
        <v>1315</v>
      </c>
      <c r="H294">
        <f t="shared" si="9"/>
        <v>878</v>
      </c>
      <c r="I294">
        <v>265</v>
      </c>
      <c r="J294">
        <v>31</v>
      </c>
      <c r="K294">
        <v>141</v>
      </c>
      <c r="L294">
        <v>586</v>
      </c>
      <c r="M294">
        <v>57</v>
      </c>
      <c r="N294">
        <f t="shared" si="8"/>
        <v>3467</v>
      </c>
      <c r="O294">
        <v>605</v>
      </c>
      <c r="P294">
        <v>52</v>
      </c>
      <c r="Q294">
        <v>1182</v>
      </c>
      <c r="R294">
        <v>74</v>
      </c>
      <c r="S294">
        <v>36</v>
      </c>
      <c r="T294">
        <v>1</v>
      </c>
      <c r="U294">
        <v>57</v>
      </c>
      <c r="V294">
        <v>131</v>
      </c>
      <c r="W294">
        <v>82</v>
      </c>
      <c r="X294">
        <v>29</v>
      </c>
      <c r="Y294">
        <v>0.24199999999999999</v>
      </c>
      <c r="Z294">
        <v>0.32100000000000001</v>
      </c>
      <c r="AA294">
        <v>0.38100000000000001</v>
      </c>
    </row>
    <row r="295" spans="1:27" x14ac:dyDescent="0.2">
      <c r="A295" s="52">
        <v>2009</v>
      </c>
      <c r="B295" t="s">
        <v>87</v>
      </c>
      <c r="C295" t="s">
        <v>163</v>
      </c>
      <c r="D295">
        <v>162</v>
      </c>
      <c r="E295">
        <v>5543</v>
      </c>
      <c r="F295" s="1">
        <v>640</v>
      </c>
      <c r="G295">
        <v>1430</v>
      </c>
      <c r="H295">
        <f t="shared" si="9"/>
        <v>971</v>
      </c>
      <c r="I295">
        <v>280</v>
      </c>
      <c r="J295">
        <v>19</v>
      </c>
      <c r="K295">
        <v>160</v>
      </c>
      <c r="L295">
        <v>421</v>
      </c>
      <c r="M295">
        <v>49</v>
      </c>
      <c r="N295">
        <f t="shared" si="8"/>
        <v>3643</v>
      </c>
      <c r="O295">
        <v>613</v>
      </c>
      <c r="P295">
        <v>39</v>
      </c>
      <c r="Q295">
        <v>1093</v>
      </c>
      <c r="R295">
        <v>56</v>
      </c>
      <c r="S295">
        <v>44</v>
      </c>
      <c r="T295">
        <v>0</v>
      </c>
      <c r="U295">
        <v>58</v>
      </c>
      <c r="V295">
        <v>124</v>
      </c>
      <c r="W295">
        <v>89</v>
      </c>
      <c r="X295">
        <v>33</v>
      </c>
      <c r="Y295">
        <v>0.25800000000000001</v>
      </c>
      <c r="Z295">
        <v>0.314</v>
      </c>
      <c r="AA295">
        <v>0.40200000000000002</v>
      </c>
    </row>
    <row r="296" spans="1:27" x14ac:dyDescent="0.2">
      <c r="A296" s="52">
        <v>2009</v>
      </c>
      <c r="B296" t="s">
        <v>21</v>
      </c>
      <c r="C296" t="s">
        <v>38</v>
      </c>
      <c r="D296">
        <v>162</v>
      </c>
      <c r="E296">
        <v>5493</v>
      </c>
      <c r="F296" s="1">
        <v>657</v>
      </c>
      <c r="G296">
        <v>1411</v>
      </c>
      <c r="H296">
        <f t="shared" si="9"/>
        <v>971</v>
      </c>
      <c r="I296">
        <v>275</v>
      </c>
      <c r="J296">
        <v>43</v>
      </c>
      <c r="K296">
        <v>122</v>
      </c>
      <c r="L296">
        <v>392</v>
      </c>
      <c r="M296">
        <v>50</v>
      </c>
      <c r="N296">
        <f t="shared" si="8"/>
        <v>3640</v>
      </c>
      <c r="O296">
        <v>612</v>
      </c>
      <c r="P296">
        <v>41</v>
      </c>
      <c r="Q296">
        <v>1158</v>
      </c>
      <c r="R296">
        <v>67</v>
      </c>
      <c r="S296">
        <v>55</v>
      </c>
      <c r="T296">
        <v>0</v>
      </c>
      <c r="U296">
        <v>65</v>
      </c>
      <c r="V296">
        <v>115</v>
      </c>
      <c r="W296">
        <v>78</v>
      </c>
      <c r="X296">
        <v>28</v>
      </c>
      <c r="Y296">
        <v>0.25700000000000001</v>
      </c>
      <c r="Z296">
        <v>0.309</v>
      </c>
      <c r="AA296">
        <v>0.38900000000000001</v>
      </c>
    </row>
    <row r="297" spans="1:27" x14ac:dyDescent="0.2">
      <c r="A297" s="52">
        <v>2009</v>
      </c>
      <c r="B297" t="s">
        <v>156</v>
      </c>
      <c r="C297" t="s">
        <v>38</v>
      </c>
      <c r="D297">
        <v>162</v>
      </c>
      <c r="E297">
        <v>5465</v>
      </c>
      <c r="F297" s="1">
        <v>730</v>
      </c>
      <c r="G297">
        <v>1436</v>
      </c>
      <c r="H297">
        <f t="shared" si="9"/>
        <v>953</v>
      </c>
      <c r="I297">
        <v>294</v>
      </c>
      <c r="J297">
        <v>29</v>
      </c>
      <c r="K297">
        <v>160</v>
      </c>
      <c r="L297">
        <v>528</v>
      </c>
      <c r="M297">
        <v>61</v>
      </c>
      <c r="N297">
        <f t="shared" si="8"/>
        <v>3440</v>
      </c>
      <c r="O297">
        <v>694</v>
      </c>
      <c r="P297">
        <v>73</v>
      </c>
      <c r="Q297">
        <v>1041</v>
      </c>
      <c r="R297">
        <v>68</v>
      </c>
      <c r="S297">
        <v>43</v>
      </c>
      <c r="T297">
        <v>3</v>
      </c>
      <c r="U297">
        <v>66</v>
      </c>
      <c r="V297">
        <v>127</v>
      </c>
      <c r="W297">
        <v>75</v>
      </c>
      <c r="X297">
        <v>31</v>
      </c>
      <c r="Y297">
        <v>0.26300000000000001</v>
      </c>
      <c r="Z297">
        <v>0.33200000000000002</v>
      </c>
      <c r="AA297">
        <v>0.41499999999999998</v>
      </c>
    </row>
    <row r="298" spans="1:27" x14ac:dyDescent="0.2">
      <c r="A298" s="52">
        <v>2009</v>
      </c>
      <c r="B298" t="s">
        <v>165</v>
      </c>
      <c r="C298" t="s">
        <v>163</v>
      </c>
      <c r="D298">
        <v>162</v>
      </c>
      <c r="E298">
        <v>5462</v>
      </c>
      <c r="F298" s="1">
        <v>803</v>
      </c>
      <c r="G298">
        <v>1434</v>
      </c>
      <c r="H298">
        <f t="shared" si="9"/>
        <v>902</v>
      </c>
      <c r="I298">
        <v>297</v>
      </c>
      <c r="J298">
        <v>36</v>
      </c>
      <c r="K298">
        <v>199</v>
      </c>
      <c r="L298">
        <v>642</v>
      </c>
      <c r="M298">
        <v>49</v>
      </c>
      <c r="N298">
        <f t="shared" si="8"/>
        <v>3337</v>
      </c>
      <c r="O298">
        <v>765</v>
      </c>
      <c r="P298">
        <v>36</v>
      </c>
      <c r="Q298">
        <v>1229</v>
      </c>
      <c r="R298">
        <v>25</v>
      </c>
      <c r="S298">
        <v>45</v>
      </c>
      <c r="T298">
        <v>0</v>
      </c>
      <c r="U298">
        <v>55</v>
      </c>
      <c r="V298">
        <v>104</v>
      </c>
      <c r="W298">
        <v>194</v>
      </c>
      <c r="X298">
        <v>61</v>
      </c>
      <c r="Y298">
        <v>0.26300000000000001</v>
      </c>
      <c r="Z298">
        <v>0.34300000000000003</v>
      </c>
      <c r="AA298">
        <v>0.439</v>
      </c>
    </row>
    <row r="299" spans="1:27" x14ac:dyDescent="0.2">
      <c r="A299" s="52">
        <v>2009</v>
      </c>
      <c r="B299" t="s">
        <v>95</v>
      </c>
      <c r="C299" t="s">
        <v>163</v>
      </c>
      <c r="D299">
        <v>162</v>
      </c>
      <c r="E299">
        <v>5526</v>
      </c>
      <c r="F299" s="1">
        <v>784</v>
      </c>
      <c r="G299">
        <v>1436</v>
      </c>
      <c r="H299">
        <f t="shared" si="9"/>
        <v>889</v>
      </c>
      <c r="I299">
        <v>296</v>
      </c>
      <c r="J299">
        <v>27</v>
      </c>
      <c r="K299">
        <v>224</v>
      </c>
      <c r="L299">
        <v>472</v>
      </c>
      <c r="M299">
        <v>37</v>
      </c>
      <c r="N299">
        <f t="shared" si="8"/>
        <v>3581</v>
      </c>
      <c r="O299">
        <v>748</v>
      </c>
      <c r="P299">
        <v>23</v>
      </c>
      <c r="Q299">
        <v>1253</v>
      </c>
      <c r="R299">
        <v>40</v>
      </c>
      <c r="S299">
        <v>51</v>
      </c>
      <c r="T299">
        <v>1</v>
      </c>
      <c r="U299">
        <v>73</v>
      </c>
      <c r="V299">
        <v>97</v>
      </c>
      <c r="W299">
        <v>149</v>
      </c>
      <c r="X299">
        <v>36</v>
      </c>
      <c r="Y299">
        <v>0.26</v>
      </c>
      <c r="Z299">
        <v>0.32</v>
      </c>
      <c r="AA299">
        <v>0.44500000000000001</v>
      </c>
    </row>
    <row r="300" spans="1:27" x14ac:dyDescent="0.2">
      <c r="A300" s="52">
        <v>2009</v>
      </c>
      <c r="B300" t="s">
        <v>97</v>
      </c>
      <c r="C300" t="s">
        <v>163</v>
      </c>
      <c r="D300">
        <v>162</v>
      </c>
      <c r="E300">
        <v>5696</v>
      </c>
      <c r="F300" s="1">
        <v>798</v>
      </c>
      <c r="G300">
        <v>1516</v>
      </c>
      <c r="H300">
        <f t="shared" si="9"/>
        <v>955</v>
      </c>
      <c r="I300">
        <v>339</v>
      </c>
      <c r="J300">
        <v>13</v>
      </c>
      <c r="K300">
        <v>209</v>
      </c>
      <c r="L300">
        <v>548</v>
      </c>
      <c r="M300">
        <v>45</v>
      </c>
      <c r="N300">
        <f t="shared" si="8"/>
        <v>3587</v>
      </c>
      <c r="O300">
        <v>766</v>
      </c>
      <c r="P300">
        <v>23</v>
      </c>
      <c r="Q300">
        <v>1028</v>
      </c>
      <c r="R300">
        <v>24</v>
      </c>
      <c r="S300">
        <v>49</v>
      </c>
      <c r="T300">
        <v>0</v>
      </c>
      <c r="U300">
        <v>68</v>
      </c>
      <c r="V300">
        <v>130</v>
      </c>
      <c r="W300">
        <v>73</v>
      </c>
      <c r="X300">
        <v>23</v>
      </c>
      <c r="Y300">
        <v>0.26600000000000001</v>
      </c>
      <c r="Z300">
        <v>0.33300000000000002</v>
      </c>
      <c r="AA300">
        <v>0.44</v>
      </c>
    </row>
    <row r="301" spans="1:27" x14ac:dyDescent="0.2">
      <c r="A301" s="52">
        <v>2009</v>
      </c>
      <c r="B301" t="s">
        <v>101</v>
      </c>
      <c r="C301" t="s">
        <v>38</v>
      </c>
      <c r="D301">
        <v>162</v>
      </c>
      <c r="E301">
        <v>5493</v>
      </c>
      <c r="F301" s="1">
        <v>710</v>
      </c>
      <c r="G301">
        <v>1416</v>
      </c>
      <c r="H301">
        <f t="shared" si="9"/>
        <v>951</v>
      </c>
      <c r="I301">
        <v>271</v>
      </c>
      <c r="J301">
        <v>38</v>
      </c>
      <c r="K301">
        <v>156</v>
      </c>
      <c r="L301">
        <v>617</v>
      </c>
      <c r="M301">
        <v>56</v>
      </c>
      <c r="N301">
        <f t="shared" si="8"/>
        <v>3404</v>
      </c>
      <c r="O301">
        <v>685</v>
      </c>
      <c r="P301">
        <v>39</v>
      </c>
      <c r="Q301">
        <v>1208</v>
      </c>
      <c r="R301">
        <v>64</v>
      </c>
      <c r="S301">
        <v>42</v>
      </c>
      <c r="T301">
        <v>1</v>
      </c>
      <c r="U301">
        <v>55</v>
      </c>
      <c r="V301">
        <v>133</v>
      </c>
      <c r="W301">
        <v>73</v>
      </c>
      <c r="X301">
        <v>40</v>
      </c>
      <c r="Y301">
        <v>0.25800000000000001</v>
      </c>
      <c r="Z301">
        <v>0.33700000000000002</v>
      </c>
      <c r="AA301">
        <v>0.40600000000000003</v>
      </c>
    </row>
    <row r="302" spans="1:27" x14ac:dyDescent="0.2">
      <c r="A302" s="52">
        <v>2010</v>
      </c>
      <c r="B302" t="s">
        <v>37</v>
      </c>
      <c r="C302" t="s">
        <v>163</v>
      </c>
      <c r="D302">
        <v>162</v>
      </c>
      <c r="E302">
        <v>5488</v>
      </c>
      <c r="F302" s="1">
        <v>681</v>
      </c>
      <c r="G302">
        <v>1363</v>
      </c>
      <c r="H302">
        <f t="shared" si="9"/>
        <v>913</v>
      </c>
      <c r="I302">
        <v>276</v>
      </c>
      <c r="J302">
        <v>19</v>
      </c>
      <c r="K302">
        <v>155</v>
      </c>
      <c r="L302">
        <v>466</v>
      </c>
      <c r="M302">
        <v>52</v>
      </c>
      <c r="N302">
        <f t="shared" si="8"/>
        <v>3607</v>
      </c>
      <c r="O302">
        <v>656</v>
      </c>
      <c r="P302">
        <v>28</v>
      </c>
      <c r="Q302">
        <v>1070</v>
      </c>
      <c r="R302">
        <v>42</v>
      </c>
      <c r="S302">
        <v>37</v>
      </c>
      <c r="T302">
        <v>4</v>
      </c>
      <c r="U302">
        <v>81</v>
      </c>
      <c r="V302">
        <v>125</v>
      </c>
      <c r="W302">
        <v>104</v>
      </c>
      <c r="X302">
        <v>52</v>
      </c>
      <c r="Y302">
        <v>0.248</v>
      </c>
      <c r="Z302">
        <v>0.311</v>
      </c>
      <c r="AA302">
        <v>0.39</v>
      </c>
    </row>
    <row r="303" spans="1:27" x14ac:dyDescent="0.2">
      <c r="A303" s="52">
        <v>2010</v>
      </c>
      <c r="B303" t="s">
        <v>40</v>
      </c>
      <c r="C303" t="s">
        <v>38</v>
      </c>
      <c r="D303">
        <v>162</v>
      </c>
      <c r="E303">
        <v>5473</v>
      </c>
      <c r="F303" s="1">
        <v>713</v>
      </c>
      <c r="G303">
        <v>1366</v>
      </c>
      <c r="H303">
        <f t="shared" si="9"/>
        <v>851</v>
      </c>
      <c r="I303">
        <v>301</v>
      </c>
      <c r="J303">
        <v>34</v>
      </c>
      <c r="K303">
        <v>180</v>
      </c>
      <c r="L303">
        <v>589</v>
      </c>
      <c r="M303">
        <v>39</v>
      </c>
      <c r="N303">
        <f t="shared" si="8"/>
        <v>3479</v>
      </c>
      <c r="O303">
        <v>691</v>
      </c>
      <c r="P303">
        <v>45</v>
      </c>
      <c r="Q303">
        <v>1529</v>
      </c>
      <c r="R303">
        <v>41</v>
      </c>
      <c r="S303">
        <v>41</v>
      </c>
      <c r="T303">
        <v>0</v>
      </c>
      <c r="U303">
        <v>56</v>
      </c>
      <c r="V303">
        <v>113</v>
      </c>
      <c r="W303">
        <v>86</v>
      </c>
      <c r="X303">
        <v>41</v>
      </c>
      <c r="Y303">
        <v>0.25</v>
      </c>
      <c r="Z303">
        <v>0.32500000000000001</v>
      </c>
      <c r="AA303">
        <v>0.41599999999999998</v>
      </c>
    </row>
    <row r="304" spans="1:27" x14ac:dyDescent="0.2">
      <c r="A304" s="52">
        <v>2010</v>
      </c>
      <c r="B304" t="s">
        <v>42</v>
      </c>
      <c r="C304" t="s">
        <v>38</v>
      </c>
      <c r="D304">
        <v>162</v>
      </c>
      <c r="E304">
        <v>5463</v>
      </c>
      <c r="F304" s="1">
        <v>738</v>
      </c>
      <c r="G304">
        <v>1411</v>
      </c>
      <c r="H304">
        <f t="shared" si="9"/>
        <v>935</v>
      </c>
      <c r="I304">
        <v>312</v>
      </c>
      <c r="J304">
        <v>25</v>
      </c>
      <c r="K304">
        <v>139</v>
      </c>
      <c r="L304">
        <v>634</v>
      </c>
      <c r="M304">
        <v>51</v>
      </c>
      <c r="N304">
        <f t="shared" si="8"/>
        <v>3367</v>
      </c>
      <c r="O304">
        <v>699</v>
      </c>
      <c r="P304">
        <v>50</v>
      </c>
      <c r="Q304">
        <v>1140</v>
      </c>
      <c r="R304">
        <v>69</v>
      </c>
      <c r="S304">
        <v>35</v>
      </c>
      <c r="T304">
        <v>0</v>
      </c>
      <c r="U304">
        <v>70</v>
      </c>
      <c r="V304">
        <v>136</v>
      </c>
      <c r="W304">
        <v>63</v>
      </c>
      <c r="X304">
        <v>29</v>
      </c>
      <c r="Y304">
        <v>0.25800000000000001</v>
      </c>
      <c r="Z304">
        <v>0.33900000000000002</v>
      </c>
      <c r="AA304">
        <v>0.40100000000000002</v>
      </c>
    </row>
    <row r="305" spans="1:27" x14ac:dyDescent="0.2">
      <c r="A305" s="52">
        <v>2010</v>
      </c>
      <c r="B305" t="s">
        <v>45</v>
      </c>
      <c r="C305" t="s">
        <v>163</v>
      </c>
      <c r="D305">
        <v>162</v>
      </c>
      <c r="E305">
        <v>5554</v>
      </c>
      <c r="F305" s="1">
        <v>613</v>
      </c>
      <c r="G305">
        <v>1440</v>
      </c>
      <c r="H305">
        <f t="shared" si="9"/>
        <v>1022</v>
      </c>
      <c r="I305">
        <v>264</v>
      </c>
      <c r="J305">
        <v>21</v>
      </c>
      <c r="K305">
        <v>133</v>
      </c>
      <c r="L305">
        <v>424</v>
      </c>
      <c r="M305">
        <v>54</v>
      </c>
      <c r="N305">
        <f t="shared" si="8"/>
        <v>3636</v>
      </c>
      <c r="O305">
        <v>577</v>
      </c>
      <c r="P305">
        <v>32</v>
      </c>
      <c r="Q305">
        <v>1056</v>
      </c>
      <c r="R305">
        <v>31</v>
      </c>
      <c r="S305">
        <v>45</v>
      </c>
      <c r="T305">
        <v>1</v>
      </c>
      <c r="U305">
        <v>66</v>
      </c>
      <c r="V305">
        <v>154</v>
      </c>
      <c r="W305">
        <v>76</v>
      </c>
      <c r="X305">
        <v>34</v>
      </c>
      <c r="Y305">
        <v>0.25900000000000001</v>
      </c>
      <c r="Z305">
        <v>0.316</v>
      </c>
      <c r="AA305">
        <v>0.38600000000000001</v>
      </c>
    </row>
    <row r="306" spans="1:27" x14ac:dyDescent="0.2">
      <c r="A306" s="52">
        <v>2010</v>
      </c>
      <c r="B306" t="s">
        <v>47</v>
      </c>
      <c r="C306" t="s">
        <v>163</v>
      </c>
      <c r="D306">
        <v>162</v>
      </c>
      <c r="E306">
        <v>5646</v>
      </c>
      <c r="F306" s="1">
        <v>818</v>
      </c>
      <c r="G306">
        <v>1511</v>
      </c>
      <c r="H306">
        <f t="shared" si="9"/>
        <v>920</v>
      </c>
      <c r="I306">
        <v>358</v>
      </c>
      <c r="J306">
        <v>22</v>
      </c>
      <c r="K306">
        <v>211</v>
      </c>
      <c r="L306">
        <v>587</v>
      </c>
      <c r="M306">
        <v>47</v>
      </c>
      <c r="N306">
        <f t="shared" si="8"/>
        <v>3501</v>
      </c>
      <c r="O306">
        <v>782</v>
      </c>
      <c r="P306">
        <v>43</v>
      </c>
      <c r="Q306">
        <v>1140</v>
      </c>
      <c r="R306">
        <v>29</v>
      </c>
      <c r="S306">
        <v>46</v>
      </c>
      <c r="T306">
        <v>1</v>
      </c>
      <c r="U306">
        <v>61</v>
      </c>
      <c r="V306">
        <v>130</v>
      </c>
      <c r="W306">
        <v>68</v>
      </c>
      <c r="X306">
        <v>17</v>
      </c>
      <c r="Y306">
        <v>0.26800000000000002</v>
      </c>
      <c r="Z306">
        <v>0.33900000000000002</v>
      </c>
      <c r="AA306">
        <v>0.45100000000000001</v>
      </c>
    </row>
    <row r="307" spans="1:27" x14ac:dyDescent="0.2">
      <c r="A307" s="52">
        <v>2010</v>
      </c>
      <c r="B307" t="s">
        <v>157</v>
      </c>
      <c r="C307" t="s">
        <v>38</v>
      </c>
      <c r="D307">
        <v>162</v>
      </c>
      <c r="E307">
        <v>5512</v>
      </c>
      <c r="F307" s="1">
        <v>685</v>
      </c>
      <c r="G307">
        <v>1414</v>
      </c>
      <c r="H307">
        <f t="shared" si="9"/>
        <v>940</v>
      </c>
      <c r="I307">
        <v>298</v>
      </c>
      <c r="J307">
        <v>27</v>
      </c>
      <c r="K307">
        <v>149</v>
      </c>
      <c r="L307">
        <v>479</v>
      </c>
      <c r="M307">
        <v>50</v>
      </c>
      <c r="N307">
        <f t="shared" si="8"/>
        <v>3569</v>
      </c>
      <c r="O307">
        <v>658</v>
      </c>
      <c r="P307">
        <v>32</v>
      </c>
      <c r="Q307">
        <v>1236</v>
      </c>
      <c r="R307">
        <v>60</v>
      </c>
      <c r="S307">
        <v>38</v>
      </c>
      <c r="T307">
        <v>1</v>
      </c>
      <c r="U307">
        <v>73</v>
      </c>
      <c r="V307">
        <v>124</v>
      </c>
      <c r="W307">
        <v>55</v>
      </c>
      <c r="X307">
        <v>31</v>
      </c>
      <c r="Y307">
        <v>0.25700000000000001</v>
      </c>
      <c r="Z307">
        <v>0.32</v>
      </c>
      <c r="AA307">
        <v>0.40100000000000002</v>
      </c>
    </row>
    <row r="308" spans="1:27" x14ac:dyDescent="0.2">
      <c r="A308" s="52">
        <v>2010</v>
      </c>
      <c r="B308" t="s">
        <v>157</v>
      </c>
      <c r="C308" t="s">
        <v>163</v>
      </c>
      <c r="D308">
        <v>162</v>
      </c>
      <c r="E308">
        <v>5484</v>
      </c>
      <c r="F308" s="1">
        <v>752</v>
      </c>
      <c r="G308">
        <v>1467</v>
      </c>
      <c r="H308">
        <f t="shared" si="9"/>
        <v>1006</v>
      </c>
      <c r="I308">
        <v>263</v>
      </c>
      <c r="J308">
        <v>21</v>
      </c>
      <c r="K308">
        <v>177</v>
      </c>
      <c r="L308">
        <v>467</v>
      </c>
      <c r="M308">
        <v>79</v>
      </c>
      <c r="N308">
        <f t="shared" si="8"/>
        <v>3471</v>
      </c>
      <c r="O308">
        <v>710</v>
      </c>
      <c r="P308">
        <v>23</v>
      </c>
      <c r="Q308">
        <v>922</v>
      </c>
      <c r="R308">
        <v>50</v>
      </c>
      <c r="S308">
        <v>38</v>
      </c>
      <c r="T308">
        <v>0</v>
      </c>
      <c r="U308">
        <v>60</v>
      </c>
      <c r="V308">
        <v>148</v>
      </c>
      <c r="W308">
        <v>160</v>
      </c>
      <c r="X308">
        <v>74</v>
      </c>
      <c r="Y308">
        <v>0.26800000000000002</v>
      </c>
      <c r="Z308">
        <v>0.33200000000000002</v>
      </c>
      <c r="AA308">
        <v>0.42</v>
      </c>
    </row>
    <row r="309" spans="1:27" x14ac:dyDescent="0.2">
      <c r="A309" s="52">
        <v>2010</v>
      </c>
      <c r="B309" t="s">
        <v>53</v>
      </c>
      <c r="C309" t="s">
        <v>38</v>
      </c>
      <c r="D309">
        <v>162</v>
      </c>
      <c r="E309">
        <v>5579</v>
      </c>
      <c r="F309" s="1">
        <v>790</v>
      </c>
      <c r="G309">
        <v>1515</v>
      </c>
      <c r="H309">
        <f t="shared" si="9"/>
        <v>1004</v>
      </c>
      <c r="I309">
        <v>293</v>
      </c>
      <c r="J309">
        <v>30</v>
      </c>
      <c r="K309">
        <v>188</v>
      </c>
      <c r="L309">
        <v>522</v>
      </c>
      <c r="M309">
        <v>68</v>
      </c>
      <c r="N309">
        <f t="shared" si="8"/>
        <v>3474</v>
      </c>
      <c r="O309">
        <v>761</v>
      </c>
      <c r="P309">
        <v>34</v>
      </c>
      <c r="Q309">
        <v>1218</v>
      </c>
      <c r="R309">
        <v>66</v>
      </c>
      <c r="S309">
        <v>50</v>
      </c>
      <c r="T309">
        <v>0</v>
      </c>
      <c r="U309">
        <v>75</v>
      </c>
      <c r="V309">
        <v>113</v>
      </c>
      <c r="W309">
        <v>93</v>
      </c>
      <c r="X309">
        <v>43</v>
      </c>
      <c r="Y309">
        <v>0.27200000000000002</v>
      </c>
      <c r="Z309">
        <v>0.33800000000000002</v>
      </c>
      <c r="AA309">
        <v>0.436</v>
      </c>
    </row>
    <row r="310" spans="1:27" x14ac:dyDescent="0.2">
      <c r="A310" s="52">
        <v>2010</v>
      </c>
      <c r="B310" t="s">
        <v>55</v>
      </c>
      <c r="C310" t="s">
        <v>163</v>
      </c>
      <c r="D310">
        <v>162</v>
      </c>
      <c r="E310">
        <v>5487</v>
      </c>
      <c r="F310" s="1">
        <v>646</v>
      </c>
      <c r="G310">
        <v>1362</v>
      </c>
      <c r="H310">
        <f t="shared" si="9"/>
        <v>924</v>
      </c>
      <c r="I310">
        <v>290</v>
      </c>
      <c r="J310">
        <v>20</v>
      </c>
      <c r="K310">
        <v>128</v>
      </c>
      <c r="L310">
        <v>545</v>
      </c>
      <c r="M310">
        <v>64</v>
      </c>
      <c r="N310">
        <f t="shared" si="8"/>
        <v>3516</v>
      </c>
      <c r="O310">
        <v>601</v>
      </c>
      <c r="P310">
        <v>34</v>
      </c>
      <c r="Q310">
        <v>1184</v>
      </c>
      <c r="R310">
        <v>36</v>
      </c>
      <c r="S310">
        <v>33</v>
      </c>
      <c r="T310">
        <v>0</v>
      </c>
      <c r="U310">
        <v>59</v>
      </c>
      <c r="V310">
        <v>118</v>
      </c>
      <c r="W310">
        <v>91</v>
      </c>
      <c r="X310">
        <v>33</v>
      </c>
      <c r="Y310">
        <v>0.248</v>
      </c>
      <c r="Z310">
        <v>0.32200000000000001</v>
      </c>
      <c r="AA310">
        <v>0.378</v>
      </c>
    </row>
    <row r="311" spans="1:27" x14ac:dyDescent="0.2">
      <c r="A311" s="52">
        <v>2010</v>
      </c>
      <c r="B311" t="s">
        <v>57</v>
      </c>
      <c r="C311" t="s">
        <v>38</v>
      </c>
      <c r="D311">
        <v>162</v>
      </c>
      <c r="E311">
        <v>5530</v>
      </c>
      <c r="F311" s="1">
        <v>770</v>
      </c>
      <c r="G311">
        <v>1452</v>
      </c>
      <c r="H311">
        <f t="shared" si="9"/>
        <v>955</v>
      </c>
      <c r="I311">
        <v>270</v>
      </c>
      <c r="J311">
        <v>54</v>
      </c>
      <c r="K311">
        <v>173</v>
      </c>
      <c r="L311">
        <v>585</v>
      </c>
      <c r="M311">
        <v>47</v>
      </c>
      <c r="N311">
        <f t="shared" si="8"/>
        <v>3446</v>
      </c>
      <c r="O311">
        <v>741</v>
      </c>
      <c r="P311">
        <v>53</v>
      </c>
      <c r="Q311">
        <v>1274</v>
      </c>
      <c r="R311">
        <v>56</v>
      </c>
      <c r="S311">
        <v>47</v>
      </c>
      <c r="T311">
        <v>0</v>
      </c>
      <c r="U311">
        <v>55</v>
      </c>
      <c r="V311">
        <v>103</v>
      </c>
      <c r="W311">
        <v>99</v>
      </c>
      <c r="X311">
        <v>42</v>
      </c>
      <c r="Y311">
        <v>0.26300000000000001</v>
      </c>
      <c r="Z311">
        <v>0.33600000000000002</v>
      </c>
      <c r="AA311">
        <v>0.42499999999999999</v>
      </c>
    </row>
    <row r="312" spans="1:27" x14ac:dyDescent="0.2">
      <c r="A312" s="52">
        <v>2010</v>
      </c>
      <c r="B312" t="s">
        <v>59</v>
      </c>
      <c r="C312" t="s">
        <v>163</v>
      </c>
      <c r="D312">
        <v>162</v>
      </c>
      <c r="E312">
        <v>5643</v>
      </c>
      <c r="F312" s="1">
        <v>751</v>
      </c>
      <c r="G312">
        <v>1515</v>
      </c>
      <c r="H312">
        <f t="shared" si="9"/>
        <v>1023</v>
      </c>
      <c r="I312">
        <v>308</v>
      </c>
      <c r="J312">
        <v>32</v>
      </c>
      <c r="K312">
        <v>152</v>
      </c>
      <c r="L312">
        <v>546</v>
      </c>
      <c r="M312">
        <v>41</v>
      </c>
      <c r="N312">
        <f t="shared" si="8"/>
        <v>3541</v>
      </c>
      <c r="O312">
        <v>717</v>
      </c>
      <c r="P312">
        <v>50</v>
      </c>
      <c r="Q312">
        <v>1147</v>
      </c>
      <c r="R312">
        <v>41</v>
      </c>
      <c r="S312">
        <v>41</v>
      </c>
      <c r="T312">
        <v>0</v>
      </c>
      <c r="U312">
        <v>69</v>
      </c>
      <c r="V312">
        <v>118</v>
      </c>
      <c r="W312">
        <v>69</v>
      </c>
      <c r="X312">
        <v>30</v>
      </c>
      <c r="Y312">
        <v>0.26800000000000002</v>
      </c>
      <c r="Z312">
        <v>0.33500000000000002</v>
      </c>
      <c r="AA312">
        <v>0.41499999999999998</v>
      </c>
    </row>
    <row r="313" spans="1:27" x14ac:dyDescent="0.2">
      <c r="A313" s="52">
        <v>2010</v>
      </c>
      <c r="B313" t="s">
        <v>160</v>
      </c>
      <c r="C313" t="s">
        <v>38</v>
      </c>
      <c r="D313">
        <v>162</v>
      </c>
      <c r="E313">
        <v>5531</v>
      </c>
      <c r="F313" s="1">
        <v>719</v>
      </c>
      <c r="G313">
        <v>1403</v>
      </c>
      <c r="H313">
        <f t="shared" si="9"/>
        <v>920</v>
      </c>
      <c r="I313">
        <v>294</v>
      </c>
      <c r="J313">
        <v>37</v>
      </c>
      <c r="K313">
        <v>152</v>
      </c>
      <c r="L313">
        <v>514</v>
      </c>
      <c r="M313">
        <v>55</v>
      </c>
      <c r="N313">
        <f t="shared" si="8"/>
        <v>3559</v>
      </c>
      <c r="O313">
        <v>686</v>
      </c>
      <c r="P313">
        <v>42</v>
      </c>
      <c r="Q313">
        <v>1375</v>
      </c>
      <c r="R313">
        <v>51</v>
      </c>
      <c r="S313">
        <v>43</v>
      </c>
      <c r="T313">
        <v>0</v>
      </c>
      <c r="U313">
        <v>70</v>
      </c>
      <c r="V313">
        <v>107</v>
      </c>
      <c r="W313">
        <v>92</v>
      </c>
      <c r="X313">
        <v>26</v>
      </c>
      <c r="Y313">
        <v>0.254</v>
      </c>
      <c r="Z313">
        <v>0.32100000000000001</v>
      </c>
      <c r="AA313">
        <v>0.40300000000000002</v>
      </c>
    </row>
    <row r="314" spans="1:27" x14ac:dyDescent="0.2">
      <c r="A314" s="52">
        <v>2010</v>
      </c>
      <c r="B314" t="s">
        <v>63</v>
      </c>
      <c r="C314" t="s">
        <v>38</v>
      </c>
      <c r="D314">
        <v>162</v>
      </c>
      <c r="E314">
        <v>5452</v>
      </c>
      <c r="F314" s="1">
        <v>611</v>
      </c>
      <c r="G314">
        <v>1348</v>
      </c>
      <c r="H314">
        <f t="shared" si="9"/>
        <v>963</v>
      </c>
      <c r="I314">
        <v>252</v>
      </c>
      <c r="J314">
        <v>25</v>
      </c>
      <c r="K314">
        <v>108</v>
      </c>
      <c r="L314">
        <v>415</v>
      </c>
      <c r="M314">
        <v>33</v>
      </c>
      <c r="N314">
        <f t="shared" si="8"/>
        <v>3656</v>
      </c>
      <c r="O314">
        <v>577</v>
      </c>
      <c r="P314">
        <v>27</v>
      </c>
      <c r="Q314">
        <v>1025</v>
      </c>
      <c r="R314">
        <v>75</v>
      </c>
      <c r="S314">
        <v>29</v>
      </c>
      <c r="T314">
        <v>1</v>
      </c>
      <c r="U314">
        <v>76</v>
      </c>
      <c r="V314">
        <v>130</v>
      </c>
      <c r="W314">
        <v>100</v>
      </c>
      <c r="X314">
        <v>36</v>
      </c>
      <c r="Y314">
        <v>0.247</v>
      </c>
      <c r="Z314">
        <v>0.30299999999999999</v>
      </c>
      <c r="AA314">
        <v>0.36199999999999999</v>
      </c>
    </row>
    <row r="315" spans="1:27" x14ac:dyDescent="0.2">
      <c r="A315" s="52">
        <v>2010</v>
      </c>
      <c r="B315" t="s">
        <v>164</v>
      </c>
      <c r="C315" t="s">
        <v>163</v>
      </c>
      <c r="D315">
        <v>162</v>
      </c>
      <c r="E315">
        <v>5604</v>
      </c>
      <c r="F315" s="1">
        <v>676</v>
      </c>
      <c r="G315">
        <v>1534</v>
      </c>
      <c r="H315">
        <f t="shared" si="9"/>
        <v>1103</v>
      </c>
      <c r="I315">
        <v>279</v>
      </c>
      <c r="J315">
        <v>31</v>
      </c>
      <c r="K315">
        <v>121</v>
      </c>
      <c r="L315">
        <v>471</v>
      </c>
      <c r="M315">
        <v>35</v>
      </c>
      <c r="N315">
        <f t="shared" si="8"/>
        <v>3564</v>
      </c>
      <c r="O315">
        <v>640</v>
      </c>
      <c r="P315">
        <v>25</v>
      </c>
      <c r="Q315">
        <v>905</v>
      </c>
      <c r="R315">
        <v>45</v>
      </c>
      <c r="S315">
        <v>53</v>
      </c>
      <c r="T315">
        <v>1</v>
      </c>
      <c r="U315">
        <v>67</v>
      </c>
      <c r="V315">
        <v>152</v>
      </c>
      <c r="W315">
        <v>115</v>
      </c>
      <c r="X315">
        <v>50</v>
      </c>
      <c r="Y315">
        <v>0.27400000000000002</v>
      </c>
      <c r="Z315">
        <v>0.33100000000000002</v>
      </c>
      <c r="AA315">
        <v>0.39900000000000002</v>
      </c>
    </row>
    <row r="316" spans="1:27" x14ac:dyDescent="0.2">
      <c r="A316" s="52">
        <v>2010</v>
      </c>
      <c r="B316" t="s">
        <v>159</v>
      </c>
      <c r="C316" t="s">
        <v>38</v>
      </c>
      <c r="D316">
        <v>162</v>
      </c>
      <c r="E316">
        <v>5426</v>
      </c>
      <c r="F316" s="1">
        <v>667</v>
      </c>
      <c r="G316">
        <v>1368</v>
      </c>
      <c r="H316">
        <f t="shared" si="9"/>
        <v>949</v>
      </c>
      <c r="I316">
        <v>270</v>
      </c>
      <c r="J316">
        <v>29</v>
      </c>
      <c r="K316">
        <v>120</v>
      </c>
      <c r="L316">
        <v>533</v>
      </c>
      <c r="M316">
        <v>46</v>
      </c>
      <c r="N316">
        <f t="shared" si="8"/>
        <v>3479</v>
      </c>
      <c r="O316">
        <v>621</v>
      </c>
      <c r="P316">
        <v>57</v>
      </c>
      <c r="Q316">
        <v>1184</v>
      </c>
      <c r="R316">
        <v>85</v>
      </c>
      <c r="S316">
        <v>50</v>
      </c>
      <c r="T316">
        <v>0</v>
      </c>
      <c r="U316">
        <v>83</v>
      </c>
      <c r="V316">
        <v>123</v>
      </c>
      <c r="W316">
        <v>92</v>
      </c>
      <c r="X316">
        <v>50</v>
      </c>
      <c r="Y316">
        <v>0.252</v>
      </c>
      <c r="Z316">
        <v>0.32200000000000001</v>
      </c>
      <c r="AA316">
        <v>0.379</v>
      </c>
    </row>
    <row r="317" spans="1:27" x14ac:dyDescent="0.2">
      <c r="A317" s="52">
        <v>2010</v>
      </c>
      <c r="B317" t="s">
        <v>69</v>
      </c>
      <c r="C317" t="s">
        <v>38</v>
      </c>
      <c r="D317">
        <v>162</v>
      </c>
      <c r="E317">
        <v>5606</v>
      </c>
      <c r="F317" s="1">
        <v>750</v>
      </c>
      <c r="G317">
        <v>1471</v>
      </c>
      <c r="H317">
        <f t="shared" si="9"/>
        <v>963</v>
      </c>
      <c r="I317">
        <v>293</v>
      </c>
      <c r="J317">
        <v>33</v>
      </c>
      <c r="K317">
        <v>182</v>
      </c>
      <c r="L317">
        <v>546</v>
      </c>
      <c r="M317">
        <v>81</v>
      </c>
      <c r="N317">
        <f t="shared" si="8"/>
        <v>3508</v>
      </c>
      <c r="O317">
        <v>710</v>
      </c>
      <c r="P317">
        <v>35</v>
      </c>
      <c r="Q317">
        <v>1216</v>
      </c>
      <c r="R317">
        <v>35</v>
      </c>
      <c r="S317">
        <v>35</v>
      </c>
      <c r="T317">
        <v>1</v>
      </c>
      <c r="U317">
        <v>67</v>
      </c>
      <c r="V317">
        <v>115</v>
      </c>
      <c r="W317">
        <v>81</v>
      </c>
      <c r="X317">
        <v>26</v>
      </c>
      <c r="Y317">
        <v>0.26200000000000001</v>
      </c>
      <c r="Z317">
        <v>0.33500000000000002</v>
      </c>
      <c r="AA317">
        <v>0.42399999999999999</v>
      </c>
    </row>
    <row r="318" spans="1:27" x14ac:dyDescent="0.2">
      <c r="A318" s="52">
        <v>2010</v>
      </c>
      <c r="B318" t="s">
        <v>71</v>
      </c>
      <c r="C318" t="s">
        <v>163</v>
      </c>
      <c r="D318">
        <v>162</v>
      </c>
      <c r="E318">
        <v>5568</v>
      </c>
      <c r="F318" s="1">
        <v>781</v>
      </c>
      <c r="G318">
        <v>1521</v>
      </c>
      <c r="H318">
        <f t="shared" si="9"/>
        <v>1020</v>
      </c>
      <c r="I318">
        <v>318</v>
      </c>
      <c r="J318">
        <v>41</v>
      </c>
      <c r="K318">
        <v>142</v>
      </c>
      <c r="L318">
        <v>559</v>
      </c>
      <c r="M318">
        <v>39</v>
      </c>
      <c r="N318">
        <f t="shared" si="8"/>
        <v>3449</v>
      </c>
      <c r="O318">
        <v>749</v>
      </c>
      <c r="P318">
        <v>45</v>
      </c>
      <c r="Q318">
        <v>967</v>
      </c>
      <c r="R318">
        <v>38</v>
      </c>
      <c r="S318">
        <v>53</v>
      </c>
      <c r="T318">
        <v>0</v>
      </c>
      <c r="U318">
        <v>63</v>
      </c>
      <c r="V318">
        <v>159</v>
      </c>
      <c r="W318">
        <v>68</v>
      </c>
      <c r="X318">
        <v>28</v>
      </c>
      <c r="Y318">
        <v>0.27300000000000002</v>
      </c>
      <c r="Z318">
        <v>0.34100000000000003</v>
      </c>
      <c r="AA318">
        <v>0.42199999999999999</v>
      </c>
    </row>
    <row r="319" spans="1:27" x14ac:dyDescent="0.2">
      <c r="A319" s="52">
        <v>2010</v>
      </c>
      <c r="B319" t="s">
        <v>158</v>
      </c>
      <c r="C319" t="s">
        <v>38</v>
      </c>
      <c r="D319">
        <v>162</v>
      </c>
      <c r="E319">
        <v>5465</v>
      </c>
      <c r="F319" s="1">
        <v>656</v>
      </c>
      <c r="G319">
        <v>1361</v>
      </c>
      <c r="H319">
        <f t="shared" si="9"/>
        <v>927</v>
      </c>
      <c r="I319">
        <v>266</v>
      </c>
      <c r="J319">
        <v>40</v>
      </c>
      <c r="K319">
        <v>128</v>
      </c>
      <c r="L319">
        <v>502</v>
      </c>
      <c r="M319">
        <v>46</v>
      </c>
      <c r="N319">
        <f t="shared" si="8"/>
        <v>3556</v>
      </c>
      <c r="O319">
        <v>625</v>
      </c>
      <c r="P319">
        <v>53</v>
      </c>
      <c r="Q319">
        <v>1095</v>
      </c>
      <c r="R319">
        <v>74</v>
      </c>
      <c r="S319">
        <v>57</v>
      </c>
      <c r="T319">
        <v>0</v>
      </c>
      <c r="U319">
        <v>66</v>
      </c>
      <c r="V319">
        <v>101</v>
      </c>
      <c r="W319">
        <v>130</v>
      </c>
      <c r="X319">
        <v>44</v>
      </c>
      <c r="Y319">
        <v>0.249</v>
      </c>
      <c r="Z319">
        <v>0.314</v>
      </c>
      <c r="AA319">
        <v>0.38300000000000001</v>
      </c>
    </row>
    <row r="320" spans="1:27" x14ac:dyDescent="0.2">
      <c r="A320" s="52">
        <v>2010</v>
      </c>
      <c r="B320" t="s">
        <v>158</v>
      </c>
      <c r="C320" t="s">
        <v>163</v>
      </c>
      <c r="D320">
        <v>162</v>
      </c>
      <c r="E320">
        <v>5567</v>
      </c>
      <c r="F320" s="1">
        <v>859</v>
      </c>
      <c r="G320">
        <v>1485</v>
      </c>
      <c r="H320">
        <f t="shared" si="9"/>
        <v>977</v>
      </c>
      <c r="I320">
        <v>275</v>
      </c>
      <c r="J320">
        <v>32</v>
      </c>
      <c r="K320">
        <v>201</v>
      </c>
      <c r="L320">
        <v>662</v>
      </c>
      <c r="M320">
        <v>73</v>
      </c>
      <c r="N320">
        <f t="shared" si="8"/>
        <v>3347</v>
      </c>
      <c r="O320">
        <v>823</v>
      </c>
      <c r="P320">
        <v>36</v>
      </c>
      <c r="Q320">
        <v>1136</v>
      </c>
      <c r="R320">
        <v>33</v>
      </c>
      <c r="S320">
        <v>44</v>
      </c>
      <c r="T320">
        <v>0</v>
      </c>
      <c r="U320">
        <v>61</v>
      </c>
      <c r="V320">
        <v>124</v>
      </c>
      <c r="W320">
        <v>103</v>
      </c>
      <c r="X320">
        <v>30</v>
      </c>
      <c r="Y320">
        <v>0.26700000000000002</v>
      </c>
      <c r="Z320">
        <v>0.35</v>
      </c>
      <c r="AA320">
        <v>0.436</v>
      </c>
    </row>
    <row r="321" spans="1:27" x14ac:dyDescent="0.2">
      <c r="A321" s="52">
        <v>2010</v>
      </c>
      <c r="B321" t="s">
        <v>79</v>
      </c>
      <c r="C321" t="s">
        <v>163</v>
      </c>
      <c r="D321">
        <v>162</v>
      </c>
      <c r="E321">
        <v>5448</v>
      </c>
      <c r="F321" s="1">
        <v>663</v>
      </c>
      <c r="G321">
        <v>1396</v>
      </c>
      <c r="H321">
        <f t="shared" si="9"/>
        <v>981</v>
      </c>
      <c r="I321">
        <v>276</v>
      </c>
      <c r="J321">
        <v>30</v>
      </c>
      <c r="K321">
        <v>109</v>
      </c>
      <c r="L321">
        <v>527</v>
      </c>
      <c r="M321">
        <v>47</v>
      </c>
      <c r="N321">
        <f t="shared" si="8"/>
        <v>3478</v>
      </c>
      <c r="O321">
        <v>619</v>
      </c>
      <c r="P321">
        <v>16</v>
      </c>
      <c r="Q321">
        <v>1061</v>
      </c>
      <c r="R321">
        <v>43</v>
      </c>
      <c r="S321">
        <v>51</v>
      </c>
      <c r="T321">
        <v>1</v>
      </c>
      <c r="U321">
        <v>69</v>
      </c>
      <c r="V321">
        <v>129</v>
      </c>
      <c r="W321">
        <v>156</v>
      </c>
      <c r="X321">
        <v>38</v>
      </c>
      <c r="Y321">
        <v>0.25600000000000001</v>
      </c>
      <c r="Z321">
        <v>0.32400000000000001</v>
      </c>
      <c r="AA321">
        <v>0.378</v>
      </c>
    </row>
    <row r="322" spans="1:27" x14ac:dyDescent="0.2">
      <c r="A322" s="52">
        <v>2010</v>
      </c>
      <c r="B322" t="s">
        <v>81</v>
      </c>
      <c r="C322" t="s">
        <v>38</v>
      </c>
      <c r="D322">
        <v>162</v>
      </c>
      <c r="E322">
        <v>5581</v>
      </c>
      <c r="F322" s="1">
        <v>772</v>
      </c>
      <c r="G322">
        <v>1451</v>
      </c>
      <c r="H322">
        <f t="shared" si="9"/>
        <v>961</v>
      </c>
      <c r="I322">
        <v>290</v>
      </c>
      <c r="J322">
        <v>34</v>
      </c>
      <c r="K322">
        <v>166</v>
      </c>
      <c r="L322">
        <v>560</v>
      </c>
      <c r="M322">
        <v>63</v>
      </c>
      <c r="N322">
        <f t="shared" ref="N322:N385" si="10">E322-(G322+L322+M322)</f>
        <v>3507</v>
      </c>
      <c r="O322">
        <v>736</v>
      </c>
      <c r="P322">
        <v>69</v>
      </c>
      <c r="Q322">
        <v>1064</v>
      </c>
      <c r="R322">
        <v>44</v>
      </c>
      <c r="S322">
        <v>43</v>
      </c>
      <c r="T322">
        <v>0</v>
      </c>
      <c r="U322">
        <v>74</v>
      </c>
      <c r="V322">
        <v>120</v>
      </c>
      <c r="W322">
        <v>108</v>
      </c>
      <c r="X322">
        <v>21</v>
      </c>
      <c r="Y322">
        <v>0.26</v>
      </c>
      <c r="Z322">
        <v>0.33200000000000002</v>
      </c>
      <c r="AA322">
        <v>0.41299999999999998</v>
      </c>
    </row>
    <row r="323" spans="1:27" x14ac:dyDescent="0.2">
      <c r="A323" s="52">
        <v>2010</v>
      </c>
      <c r="B323" t="s">
        <v>83</v>
      </c>
      <c r="C323" t="s">
        <v>38</v>
      </c>
      <c r="D323">
        <v>162</v>
      </c>
      <c r="E323">
        <v>5386</v>
      </c>
      <c r="F323" s="1">
        <v>587</v>
      </c>
      <c r="G323">
        <v>1303</v>
      </c>
      <c r="H323">
        <f t="shared" ref="H323:H386" si="11">G323-(I323+J323+K323)</f>
        <v>874</v>
      </c>
      <c r="I323">
        <v>276</v>
      </c>
      <c r="J323">
        <v>27</v>
      </c>
      <c r="K323">
        <v>126</v>
      </c>
      <c r="L323">
        <v>463</v>
      </c>
      <c r="M323">
        <v>33</v>
      </c>
      <c r="N323">
        <f t="shared" si="10"/>
        <v>3587</v>
      </c>
      <c r="O323">
        <v>570</v>
      </c>
      <c r="P323">
        <v>28</v>
      </c>
      <c r="Q323">
        <v>1207</v>
      </c>
      <c r="R323">
        <v>58</v>
      </c>
      <c r="S323">
        <v>33</v>
      </c>
      <c r="T323">
        <v>1</v>
      </c>
      <c r="U323">
        <v>71</v>
      </c>
      <c r="V323">
        <v>119</v>
      </c>
      <c r="W323">
        <v>87</v>
      </c>
      <c r="X323">
        <v>36</v>
      </c>
      <c r="Y323">
        <v>0.24199999999999999</v>
      </c>
      <c r="Z323">
        <v>0.30399999999999999</v>
      </c>
      <c r="AA323">
        <v>0.373</v>
      </c>
    </row>
    <row r="324" spans="1:27" x14ac:dyDescent="0.2">
      <c r="A324" s="52">
        <v>2010</v>
      </c>
      <c r="B324" t="s">
        <v>161</v>
      </c>
      <c r="C324" t="s">
        <v>38</v>
      </c>
      <c r="D324">
        <v>162</v>
      </c>
      <c r="E324">
        <v>5434</v>
      </c>
      <c r="F324" s="1">
        <v>665</v>
      </c>
      <c r="G324">
        <v>1338</v>
      </c>
      <c r="H324">
        <f t="shared" si="11"/>
        <v>946</v>
      </c>
      <c r="I324">
        <v>236</v>
      </c>
      <c r="J324">
        <v>24</v>
      </c>
      <c r="K324">
        <v>132</v>
      </c>
      <c r="L324">
        <v>538</v>
      </c>
      <c r="M324">
        <v>50</v>
      </c>
      <c r="N324">
        <f t="shared" si="10"/>
        <v>3508</v>
      </c>
      <c r="O324">
        <v>630</v>
      </c>
      <c r="P324">
        <v>67</v>
      </c>
      <c r="Q324">
        <v>1183</v>
      </c>
      <c r="R324">
        <v>79</v>
      </c>
      <c r="S324">
        <v>46</v>
      </c>
      <c r="T324">
        <v>1</v>
      </c>
      <c r="U324">
        <v>63</v>
      </c>
      <c r="V324">
        <v>106</v>
      </c>
      <c r="W324">
        <v>124</v>
      </c>
      <c r="X324">
        <v>50</v>
      </c>
      <c r="Y324">
        <v>0.246</v>
      </c>
      <c r="Z324">
        <v>0.317</v>
      </c>
      <c r="AA324">
        <v>0.371</v>
      </c>
    </row>
    <row r="325" spans="1:27" x14ac:dyDescent="0.2">
      <c r="A325" s="52">
        <v>2010</v>
      </c>
      <c r="B325" t="s">
        <v>87</v>
      </c>
      <c r="C325" t="s">
        <v>163</v>
      </c>
      <c r="D325">
        <v>162</v>
      </c>
      <c r="E325">
        <v>5409</v>
      </c>
      <c r="F325" s="1">
        <v>513</v>
      </c>
      <c r="G325">
        <v>1274</v>
      </c>
      <c r="H325">
        <f t="shared" si="11"/>
        <v>930</v>
      </c>
      <c r="I325">
        <v>227</v>
      </c>
      <c r="J325">
        <v>16</v>
      </c>
      <c r="K325">
        <v>101</v>
      </c>
      <c r="L325">
        <v>459</v>
      </c>
      <c r="M325">
        <v>39</v>
      </c>
      <c r="N325">
        <f t="shared" si="10"/>
        <v>3637</v>
      </c>
      <c r="O325">
        <v>485</v>
      </c>
      <c r="P325">
        <v>33</v>
      </c>
      <c r="Q325">
        <v>1184</v>
      </c>
      <c r="R325">
        <v>42</v>
      </c>
      <c r="S325">
        <v>40</v>
      </c>
      <c r="T325">
        <v>0</v>
      </c>
      <c r="U325">
        <v>65</v>
      </c>
      <c r="V325">
        <v>110</v>
      </c>
      <c r="W325">
        <v>142</v>
      </c>
      <c r="X325">
        <v>39</v>
      </c>
      <c r="Y325">
        <v>0.23599999999999999</v>
      </c>
      <c r="Z325">
        <v>0.29799999999999999</v>
      </c>
      <c r="AA325">
        <v>0.33900000000000002</v>
      </c>
    </row>
    <row r="326" spans="1:27" x14ac:dyDescent="0.2">
      <c r="A326" s="52">
        <v>2010</v>
      </c>
      <c r="B326" t="s">
        <v>21</v>
      </c>
      <c r="C326" t="s">
        <v>38</v>
      </c>
      <c r="D326">
        <v>162</v>
      </c>
      <c r="E326">
        <v>5488</v>
      </c>
      <c r="F326" s="1">
        <v>697</v>
      </c>
      <c r="G326">
        <v>1411</v>
      </c>
      <c r="H326">
        <f t="shared" si="11"/>
        <v>935</v>
      </c>
      <c r="I326">
        <v>284</v>
      </c>
      <c r="J326">
        <v>30</v>
      </c>
      <c r="K326">
        <v>162</v>
      </c>
      <c r="L326">
        <v>487</v>
      </c>
      <c r="M326">
        <v>50</v>
      </c>
      <c r="N326">
        <f t="shared" si="10"/>
        <v>3540</v>
      </c>
      <c r="O326">
        <v>660</v>
      </c>
      <c r="P326">
        <v>53</v>
      </c>
      <c r="Q326">
        <v>1099</v>
      </c>
      <c r="R326">
        <v>76</v>
      </c>
      <c r="S326">
        <v>41</v>
      </c>
      <c r="T326">
        <v>1</v>
      </c>
      <c r="U326">
        <v>75</v>
      </c>
      <c r="V326">
        <v>158</v>
      </c>
      <c r="W326">
        <v>55</v>
      </c>
      <c r="X326">
        <v>32</v>
      </c>
      <c r="Y326">
        <v>0.25700000000000001</v>
      </c>
      <c r="Z326">
        <v>0.32100000000000001</v>
      </c>
      <c r="AA326">
        <v>0.40799999999999997</v>
      </c>
    </row>
    <row r="327" spans="1:27" x14ac:dyDescent="0.2">
      <c r="A327" s="52">
        <v>2010</v>
      </c>
      <c r="B327" t="s">
        <v>156</v>
      </c>
      <c r="C327" t="s">
        <v>38</v>
      </c>
      <c r="D327">
        <v>162</v>
      </c>
      <c r="E327">
        <v>5542</v>
      </c>
      <c r="F327" s="1">
        <v>736</v>
      </c>
      <c r="G327">
        <v>1456</v>
      </c>
      <c r="H327">
        <f t="shared" si="11"/>
        <v>1003</v>
      </c>
      <c r="I327">
        <v>285</v>
      </c>
      <c r="J327">
        <v>18</v>
      </c>
      <c r="K327">
        <v>150</v>
      </c>
      <c r="L327">
        <v>541</v>
      </c>
      <c r="M327">
        <v>50</v>
      </c>
      <c r="N327">
        <f t="shared" si="10"/>
        <v>3495</v>
      </c>
      <c r="O327">
        <v>689</v>
      </c>
      <c r="P327">
        <v>78</v>
      </c>
      <c r="Q327">
        <v>1027</v>
      </c>
      <c r="R327">
        <v>66</v>
      </c>
      <c r="S327">
        <v>40</v>
      </c>
      <c r="T327">
        <v>2</v>
      </c>
      <c r="U327">
        <v>72</v>
      </c>
      <c r="V327">
        <v>124</v>
      </c>
      <c r="W327">
        <v>79</v>
      </c>
      <c r="X327">
        <v>41</v>
      </c>
      <c r="Y327">
        <v>0.26300000000000001</v>
      </c>
      <c r="Z327">
        <v>0.33200000000000002</v>
      </c>
      <c r="AA327">
        <v>0.40200000000000002</v>
      </c>
    </row>
    <row r="328" spans="1:27" x14ac:dyDescent="0.2">
      <c r="A328" s="52">
        <v>2010</v>
      </c>
      <c r="B328" t="s">
        <v>165</v>
      </c>
      <c r="C328" t="s">
        <v>163</v>
      </c>
      <c r="D328">
        <v>162</v>
      </c>
      <c r="E328">
        <v>5439</v>
      </c>
      <c r="F328" s="1">
        <v>802</v>
      </c>
      <c r="G328">
        <v>1343</v>
      </c>
      <c r="H328">
        <f t="shared" si="11"/>
        <v>851</v>
      </c>
      <c r="I328">
        <v>295</v>
      </c>
      <c r="J328">
        <v>37</v>
      </c>
      <c r="K328">
        <v>160</v>
      </c>
      <c r="L328">
        <v>672</v>
      </c>
      <c r="M328">
        <v>57</v>
      </c>
      <c r="N328">
        <f t="shared" si="10"/>
        <v>3367</v>
      </c>
      <c r="O328">
        <v>769</v>
      </c>
      <c r="P328">
        <v>30</v>
      </c>
      <c r="Q328">
        <v>1292</v>
      </c>
      <c r="R328">
        <v>39</v>
      </c>
      <c r="S328">
        <v>57</v>
      </c>
      <c r="T328">
        <v>6</v>
      </c>
      <c r="U328">
        <v>78</v>
      </c>
      <c r="V328">
        <v>92</v>
      </c>
      <c r="W328">
        <v>172</v>
      </c>
      <c r="X328">
        <v>47</v>
      </c>
      <c r="Y328">
        <v>0.247</v>
      </c>
      <c r="Z328">
        <v>0.33300000000000002</v>
      </c>
      <c r="AA328">
        <v>0.40300000000000002</v>
      </c>
    </row>
    <row r="329" spans="1:27" x14ac:dyDescent="0.2">
      <c r="A329" s="52">
        <v>2010</v>
      </c>
      <c r="B329" t="s">
        <v>95</v>
      </c>
      <c r="C329" t="s">
        <v>163</v>
      </c>
      <c r="D329">
        <v>162</v>
      </c>
      <c r="E329">
        <v>5635</v>
      </c>
      <c r="F329" s="1">
        <v>787</v>
      </c>
      <c r="G329">
        <v>1556</v>
      </c>
      <c r="H329">
        <f t="shared" si="11"/>
        <v>1101</v>
      </c>
      <c r="I329">
        <v>268</v>
      </c>
      <c r="J329">
        <v>25</v>
      </c>
      <c r="K329">
        <v>162</v>
      </c>
      <c r="L329">
        <v>511</v>
      </c>
      <c r="M329">
        <v>45</v>
      </c>
      <c r="N329">
        <f t="shared" si="10"/>
        <v>3523</v>
      </c>
      <c r="O329">
        <v>740</v>
      </c>
      <c r="P329">
        <v>37</v>
      </c>
      <c r="Q329">
        <v>986</v>
      </c>
      <c r="R329">
        <v>53</v>
      </c>
      <c r="S329">
        <v>54</v>
      </c>
      <c r="T329">
        <v>4</v>
      </c>
      <c r="U329">
        <v>73</v>
      </c>
      <c r="V329">
        <v>129</v>
      </c>
      <c r="W329">
        <v>123</v>
      </c>
      <c r="X329">
        <v>48</v>
      </c>
      <c r="Y329">
        <v>0.27600000000000002</v>
      </c>
      <c r="Z329">
        <v>0.33800000000000002</v>
      </c>
      <c r="AA329">
        <v>0.41899999999999998</v>
      </c>
    </row>
    <row r="330" spans="1:27" x14ac:dyDescent="0.2">
      <c r="A330" s="52">
        <v>2010</v>
      </c>
      <c r="B330" t="s">
        <v>97</v>
      </c>
      <c r="C330" t="s">
        <v>163</v>
      </c>
      <c r="D330">
        <v>162</v>
      </c>
      <c r="E330">
        <v>5495</v>
      </c>
      <c r="F330" s="1">
        <v>755</v>
      </c>
      <c r="G330">
        <v>1364</v>
      </c>
      <c r="H330">
        <f t="shared" si="11"/>
        <v>767</v>
      </c>
      <c r="I330">
        <v>319</v>
      </c>
      <c r="J330">
        <v>21</v>
      </c>
      <c r="K330">
        <v>257</v>
      </c>
      <c r="L330">
        <v>471</v>
      </c>
      <c r="M330">
        <v>55</v>
      </c>
      <c r="N330">
        <f t="shared" si="10"/>
        <v>3605</v>
      </c>
      <c r="O330">
        <v>732</v>
      </c>
      <c r="P330">
        <v>25</v>
      </c>
      <c r="Q330">
        <v>1164</v>
      </c>
      <c r="R330">
        <v>16</v>
      </c>
      <c r="S330">
        <v>34</v>
      </c>
      <c r="T330">
        <v>1</v>
      </c>
      <c r="U330">
        <v>59</v>
      </c>
      <c r="V330">
        <v>114</v>
      </c>
      <c r="W330">
        <v>58</v>
      </c>
      <c r="X330">
        <v>20</v>
      </c>
      <c r="Y330">
        <v>0.248</v>
      </c>
      <c r="Z330">
        <v>0.312</v>
      </c>
      <c r="AA330">
        <v>0.45400000000000001</v>
      </c>
    </row>
    <row r="331" spans="1:27" x14ac:dyDescent="0.2">
      <c r="A331" s="52">
        <v>2010</v>
      </c>
      <c r="B331" t="s">
        <v>101</v>
      </c>
      <c r="C331" t="s">
        <v>38</v>
      </c>
      <c r="D331">
        <v>162</v>
      </c>
      <c r="E331">
        <v>5418</v>
      </c>
      <c r="F331" s="1">
        <v>655</v>
      </c>
      <c r="G331">
        <v>1355</v>
      </c>
      <c r="H331">
        <f t="shared" si="11"/>
        <v>925</v>
      </c>
      <c r="I331">
        <v>250</v>
      </c>
      <c r="J331">
        <v>31</v>
      </c>
      <c r="K331">
        <v>149</v>
      </c>
      <c r="L331">
        <v>503</v>
      </c>
      <c r="M331">
        <v>60</v>
      </c>
      <c r="N331">
        <f t="shared" si="10"/>
        <v>3500</v>
      </c>
      <c r="O331">
        <v>634</v>
      </c>
      <c r="P331">
        <v>36</v>
      </c>
      <c r="Q331">
        <v>1220</v>
      </c>
      <c r="R331">
        <v>71</v>
      </c>
      <c r="S331">
        <v>47</v>
      </c>
      <c r="T331">
        <v>1</v>
      </c>
      <c r="U331">
        <v>59</v>
      </c>
      <c r="V331">
        <v>125</v>
      </c>
      <c r="W331">
        <v>110</v>
      </c>
      <c r="X331">
        <v>41</v>
      </c>
      <c r="Y331">
        <v>0.25</v>
      </c>
      <c r="Z331">
        <v>0.318</v>
      </c>
      <c r="AA331">
        <v>0.39</v>
      </c>
    </row>
    <row r="332" spans="1:27" x14ac:dyDescent="0.2">
      <c r="A332" s="52">
        <v>2011</v>
      </c>
      <c r="B332" t="s">
        <v>37</v>
      </c>
      <c r="C332" t="s">
        <v>163</v>
      </c>
      <c r="D332">
        <v>162</v>
      </c>
      <c r="E332">
        <v>5513</v>
      </c>
      <c r="F332" s="1">
        <v>667</v>
      </c>
      <c r="G332">
        <v>1394</v>
      </c>
      <c r="H332">
        <f t="shared" si="11"/>
        <v>916</v>
      </c>
      <c r="I332">
        <v>289</v>
      </c>
      <c r="J332">
        <v>34</v>
      </c>
      <c r="K332">
        <v>155</v>
      </c>
      <c r="L332">
        <v>442</v>
      </c>
      <c r="M332">
        <v>51</v>
      </c>
      <c r="N332">
        <f t="shared" si="10"/>
        <v>3626</v>
      </c>
      <c r="O332">
        <v>629</v>
      </c>
      <c r="P332">
        <v>33</v>
      </c>
      <c r="Q332">
        <v>1086</v>
      </c>
      <c r="R332">
        <v>50</v>
      </c>
      <c r="S332">
        <v>32</v>
      </c>
      <c r="T332">
        <v>0</v>
      </c>
      <c r="U332">
        <v>72</v>
      </c>
      <c r="V332">
        <v>126</v>
      </c>
      <c r="W332">
        <v>135</v>
      </c>
      <c r="X332">
        <v>52</v>
      </c>
      <c r="Y332">
        <v>0.253</v>
      </c>
      <c r="Z332">
        <v>0.313</v>
      </c>
      <c r="AA332">
        <v>0.40200000000000002</v>
      </c>
    </row>
    <row r="333" spans="1:27" x14ac:dyDescent="0.2">
      <c r="A333" s="52">
        <v>2011</v>
      </c>
      <c r="B333" t="s">
        <v>40</v>
      </c>
      <c r="C333" t="s">
        <v>38</v>
      </c>
      <c r="D333">
        <v>162</v>
      </c>
      <c r="E333">
        <v>5421</v>
      </c>
      <c r="F333" s="1">
        <v>731</v>
      </c>
      <c r="G333">
        <v>1357</v>
      </c>
      <c r="H333">
        <f t="shared" si="11"/>
        <v>855</v>
      </c>
      <c r="I333">
        <v>293</v>
      </c>
      <c r="J333">
        <v>37</v>
      </c>
      <c r="K333">
        <v>172</v>
      </c>
      <c r="L333">
        <v>531</v>
      </c>
      <c r="M333">
        <v>61</v>
      </c>
      <c r="N333">
        <f t="shared" si="10"/>
        <v>3472</v>
      </c>
      <c r="O333">
        <v>702</v>
      </c>
      <c r="P333">
        <v>55</v>
      </c>
      <c r="Q333">
        <v>1249</v>
      </c>
      <c r="R333">
        <v>50</v>
      </c>
      <c r="S333">
        <v>33</v>
      </c>
      <c r="T333">
        <v>0</v>
      </c>
      <c r="U333">
        <v>47</v>
      </c>
      <c r="V333">
        <v>82</v>
      </c>
      <c r="W333">
        <v>133</v>
      </c>
      <c r="X333">
        <v>55</v>
      </c>
      <c r="Y333">
        <v>0.25</v>
      </c>
      <c r="Z333">
        <v>0.32200000000000001</v>
      </c>
      <c r="AA333">
        <v>0.41299999999999998</v>
      </c>
    </row>
    <row r="334" spans="1:27" x14ac:dyDescent="0.2">
      <c r="A334" s="52">
        <v>2011</v>
      </c>
      <c r="B334" t="s">
        <v>42</v>
      </c>
      <c r="C334" t="s">
        <v>38</v>
      </c>
      <c r="D334">
        <v>162</v>
      </c>
      <c r="E334">
        <v>5528</v>
      </c>
      <c r="F334" s="1">
        <v>641</v>
      </c>
      <c r="G334">
        <v>1345</v>
      </c>
      <c r="H334">
        <f t="shared" si="11"/>
        <v>912</v>
      </c>
      <c r="I334">
        <v>244</v>
      </c>
      <c r="J334">
        <v>16</v>
      </c>
      <c r="K334">
        <v>173</v>
      </c>
      <c r="L334">
        <v>504</v>
      </c>
      <c r="M334">
        <v>28</v>
      </c>
      <c r="N334">
        <f t="shared" si="10"/>
        <v>3651</v>
      </c>
      <c r="O334">
        <v>606</v>
      </c>
      <c r="P334">
        <v>45</v>
      </c>
      <c r="Q334">
        <v>1260</v>
      </c>
      <c r="R334">
        <v>75</v>
      </c>
      <c r="S334">
        <v>30</v>
      </c>
      <c r="T334">
        <v>4</v>
      </c>
      <c r="U334">
        <v>75</v>
      </c>
      <c r="V334">
        <v>113</v>
      </c>
      <c r="W334">
        <v>77</v>
      </c>
      <c r="X334">
        <v>44</v>
      </c>
      <c r="Y334">
        <v>0.24299999999999999</v>
      </c>
      <c r="Z334">
        <v>0.308</v>
      </c>
      <c r="AA334">
        <v>0.38700000000000001</v>
      </c>
    </row>
    <row r="335" spans="1:27" x14ac:dyDescent="0.2">
      <c r="A335" s="52">
        <v>2011</v>
      </c>
      <c r="B335" t="s">
        <v>45</v>
      </c>
      <c r="C335" t="s">
        <v>163</v>
      </c>
      <c r="D335">
        <v>162</v>
      </c>
      <c r="E335">
        <v>5585</v>
      </c>
      <c r="F335" s="1">
        <v>708</v>
      </c>
      <c r="G335">
        <v>1434</v>
      </c>
      <c r="H335">
        <f t="shared" si="11"/>
        <v>957</v>
      </c>
      <c r="I335">
        <v>273</v>
      </c>
      <c r="J335">
        <v>13</v>
      </c>
      <c r="K335">
        <v>191</v>
      </c>
      <c r="L335">
        <v>452</v>
      </c>
      <c r="M335">
        <v>52</v>
      </c>
      <c r="N335">
        <f t="shared" si="10"/>
        <v>3647</v>
      </c>
      <c r="O335">
        <v>684</v>
      </c>
      <c r="P335">
        <v>24</v>
      </c>
      <c r="Q335">
        <v>1120</v>
      </c>
      <c r="R335">
        <v>24</v>
      </c>
      <c r="S335">
        <v>43</v>
      </c>
      <c r="T335">
        <v>0</v>
      </c>
      <c r="U335">
        <v>68</v>
      </c>
      <c r="V335">
        <v>154</v>
      </c>
      <c r="W335">
        <v>81</v>
      </c>
      <c r="X335">
        <v>25</v>
      </c>
      <c r="Y335">
        <v>0.25700000000000001</v>
      </c>
      <c r="Z335">
        <v>0.316</v>
      </c>
      <c r="AA335">
        <v>0.41299999999999998</v>
      </c>
    </row>
    <row r="336" spans="1:27" x14ac:dyDescent="0.2">
      <c r="A336" s="52">
        <v>2011</v>
      </c>
      <c r="B336" t="s">
        <v>47</v>
      </c>
      <c r="C336" t="s">
        <v>163</v>
      </c>
      <c r="D336">
        <v>162</v>
      </c>
      <c r="E336">
        <v>5710</v>
      </c>
      <c r="F336" s="1">
        <v>875</v>
      </c>
      <c r="G336">
        <v>1600</v>
      </c>
      <c r="H336">
        <f t="shared" si="11"/>
        <v>1010</v>
      </c>
      <c r="I336">
        <v>352</v>
      </c>
      <c r="J336">
        <v>35</v>
      </c>
      <c r="K336">
        <v>203</v>
      </c>
      <c r="L336">
        <v>578</v>
      </c>
      <c r="M336">
        <v>50</v>
      </c>
      <c r="N336">
        <f t="shared" si="10"/>
        <v>3482</v>
      </c>
      <c r="O336">
        <v>842</v>
      </c>
      <c r="P336">
        <v>52</v>
      </c>
      <c r="Q336">
        <v>1108</v>
      </c>
      <c r="R336">
        <v>22</v>
      </c>
      <c r="S336">
        <v>50</v>
      </c>
      <c r="T336">
        <v>4</v>
      </c>
      <c r="U336">
        <v>71</v>
      </c>
      <c r="V336">
        <v>136</v>
      </c>
      <c r="W336">
        <v>102</v>
      </c>
      <c r="X336">
        <v>42</v>
      </c>
      <c r="Y336">
        <v>0.28000000000000003</v>
      </c>
      <c r="Z336">
        <v>0.34899999999999998</v>
      </c>
      <c r="AA336">
        <v>0.46100000000000002</v>
      </c>
    </row>
    <row r="337" spans="1:27" x14ac:dyDescent="0.2">
      <c r="A337" s="52">
        <v>2011</v>
      </c>
      <c r="B337" t="s">
        <v>157</v>
      </c>
      <c r="C337" t="s">
        <v>38</v>
      </c>
      <c r="D337">
        <v>162</v>
      </c>
      <c r="E337">
        <v>5549</v>
      </c>
      <c r="F337" s="1">
        <v>654</v>
      </c>
      <c r="G337">
        <v>1423</v>
      </c>
      <c r="H337">
        <f t="shared" si="11"/>
        <v>954</v>
      </c>
      <c r="I337">
        <v>285</v>
      </c>
      <c r="J337">
        <v>36</v>
      </c>
      <c r="K337">
        <v>148</v>
      </c>
      <c r="L337">
        <v>425</v>
      </c>
      <c r="M337">
        <v>59</v>
      </c>
      <c r="N337">
        <f t="shared" si="10"/>
        <v>3642</v>
      </c>
      <c r="O337">
        <v>610</v>
      </c>
      <c r="P337">
        <v>35</v>
      </c>
      <c r="Q337">
        <v>1202</v>
      </c>
      <c r="R337">
        <v>60</v>
      </c>
      <c r="S337">
        <v>35</v>
      </c>
      <c r="T337">
        <v>2</v>
      </c>
      <c r="U337">
        <v>84</v>
      </c>
      <c r="V337">
        <v>123</v>
      </c>
      <c r="W337">
        <v>69</v>
      </c>
      <c r="X337">
        <v>23</v>
      </c>
      <c r="Y337">
        <v>0.25600000000000001</v>
      </c>
      <c r="Z337">
        <v>0.314</v>
      </c>
      <c r="AA337">
        <v>0.40100000000000002</v>
      </c>
    </row>
    <row r="338" spans="1:27" x14ac:dyDescent="0.2">
      <c r="A338" s="52">
        <v>2011</v>
      </c>
      <c r="B338" t="s">
        <v>157</v>
      </c>
      <c r="C338" t="s">
        <v>163</v>
      </c>
      <c r="D338">
        <v>162</v>
      </c>
      <c r="E338">
        <v>5502</v>
      </c>
      <c r="F338" s="1">
        <v>654</v>
      </c>
      <c r="G338">
        <v>1387</v>
      </c>
      <c r="H338">
        <f t="shared" si="11"/>
        <v>965</v>
      </c>
      <c r="I338">
        <v>252</v>
      </c>
      <c r="J338">
        <v>16</v>
      </c>
      <c r="K338">
        <v>154</v>
      </c>
      <c r="L338">
        <v>475</v>
      </c>
      <c r="M338">
        <v>84</v>
      </c>
      <c r="N338">
        <f t="shared" si="10"/>
        <v>3556</v>
      </c>
      <c r="O338">
        <v>625</v>
      </c>
      <c r="P338">
        <v>31</v>
      </c>
      <c r="Q338">
        <v>989</v>
      </c>
      <c r="R338">
        <v>52</v>
      </c>
      <c r="S338">
        <v>46</v>
      </c>
      <c r="T338">
        <v>0</v>
      </c>
      <c r="U338">
        <v>66</v>
      </c>
      <c r="V338">
        <v>125</v>
      </c>
      <c r="W338">
        <v>81</v>
      </c>
      <c r="X338">
        <v>53</v>
      </c>
      <c r="Y338">
        <v>0.252</v>
      </c>
      <c r="Z338">
        <v>0.31900000000000001</v>
      </c>
      <c r="AA338">
        <v>0.38800000000000001</v>
      </c>
    </row>
    <row r="339" spans="1:27" x14ac:dyDescent="0.2">
      <c r="A339" s="52">
        <v>2011</v>
      </c>
      <c r="B339" t="s">
        <v>53</v>
      </c>
      <c r="C339" t="s">
        <v>38</v>
      </c>
      <c r="D339">
        <v>162</v>
      </c>
      <c r="E339">
        <v>5612</v>
      </c>
      <c r="F339" s="1">
        <v>735</v>
      </c>
      <c r="G339">
        <v>1438</v>
      </c>
      <c r="H339">
        <f t="shared" si="11"/>
        <v>972</v>
      </c>
      <c r="I339">
        <v>264</v>
      </c>
      <c r="J339">
        <v>19</v>
      </c>
      <c r="K339">
        <v>183</v>
      </c>
      <c r="L339">
        <v>535</v>
      </c>
      <c r="M339">
        <v>63</v>
      </c>
      <c r="N339">
        <f t="shared" si="10"/>
        <v>3576</v>
      </c>
      <c r="O339">
        <v>697</v>
      </c>
      <c r="P339">
        <v>52</v>
      </c>
      <c r="Q339">
        <v>1250</v>
      </c>
      <c r="R339">
        <v>78</v>
      </c>
      <c r="S339">
        <v>40</v>
      </c>
      <c r="T339">
        <v>1</v>
      </c>
      <c r="U339">
        <v>89</v>
      </c>
      <c r="V339">
        <v>98</v>
      </c>
      <c r="W339">
        <v>97</v>
      </c>
      <c r="X339">
        <v>50</v>
      </c>
      <c r="Y339">
        <v>0.25600000000000001</v>
      </c>
      <c r="Z339">
        <v>0.32600000000000001</v>
      </c>
      <c r="AA339">
        <v>0.40799999999999997</v>
      </c>
    </row>
    <row r="340" spans="1:27" x14ac:dyDescent="0.2">
      <c r="A340" s="52">
        <v>2011</v>
      </c>
      <c r="B340" t="s">
        <v>55</v>
      </c>
      <c r="C340" t="s">
        <v>163</v>
      </c>
      <c r="D340">
        <v>162</v>
      </c>
      <c r="E340">
        <v>5509</v>
      </c>
      <c r="F340" s="1">
        <v>704</v>
      </c>
      <c r="G340">
        <v>1380</v>
      </c>
      <c r="H340">
        <f t="shared" si="11"/>
        <v>910</v>
      </c>
      <c r="I340">
        <v>290</v>
      </c>
      <c r="J340">
        <v>26</v>
      </c>
      <c r="K340">
        <v>154</v>
      </c>
      <c r="L340">
        <v>494</v>
      </c>
      <c r="M340">
        <v>65</v>
      </c>
      <c r="N340">
        <f t="shared" si="10"/>
        <v>3570</v>
      </c>
      <c r="O340">
        <v>671</v>
      </c>
      <c r="P340">
        <v>30</v>
      </c>
      <c r="Q340">
        <v>1269</v>
      </c>
      <c r="R340">
        <v>31</v>
      </c>
      <c r="S340">
        <v>43</v>
      </c>
      <c r="T340">
        <v>0</v>
      </c>
      <c r="U340">
        <v>42</v>
      </c>
      <c r="V340">
        <v>111</v>
      </c>
      <c r="W340">
        <v>89</v>
      </c>
      <c r="X340">
        <v>42</v>
      </c>
      <c r="Y340">
        <v>0.25</v>
      </c>
      <c r="Z340">
        <v>0.317</v>
      </c>
      <c r="AA340">
        <v>0.39600000000000002</v>
      </c>
    </row>
    <row r="341" spans="1:27" x14ac:dyDescent="0.2">
      <c r="A341" s="52">
        <v>2011</v>
      </c>
      <c r="B341" t="s">
        <v>57</v>
      </c>
      <c r="C341" t="s">
        <v>38</v>
      </c>
      <c r="D341">
        <v>162</v>
      </c>
      <c r="E341">
        <v>5544</v>
      </c>
      <c r="F341" s="1">
        <v>735</v>
      </c>
      <c r="G341">
        <v>1429</v>
      </c>
      <c r="H341">
        <f t="shared" si="11"/>
        <v>952</v>
      </c>
      <c r="I341">
        <v>274</v>
      </c>
      <c r="J341">
        <v>40</v>
      </c>
      <c r="K341">
        <v>163</v>
      </c>
      <c r="L341">
        <v>555</v>
      </c>
      <c r="M341">
        <v>57</v>
      </c>
      <c r="N341">
        <f t="shared" si="10"/>
        <v>3503</v>
      </c>
      <c r="O341">
        <v>697</v>
      </c>
      <c r="P341">
        <v>54</v>
      </c>
      <c r="Q341">
        <v>1201</v>
      </c>
      <c r="R341">
        <v>75</v>
      </c>
      <c r="S341">
        <v>44</v>
      </c>
      <c r="T341">
        <v>0</v>
      </c>
      <c r="U341">
        <v>72</v>
      </c>
      <c r="V341">
        <v>112</v>
      </c>
      <c r="W341">
        <v>118</v>
      </c>
      <c r="X341">
        <v>42</v>
      </c>
      <c r="Y341">
        <v>0.25800000000000001</v>
      </c>
      <c r="Z341">
        <v>0.32900000000000001</v>
      </c>
      <c r="AA341">
        <v>0.41</v>
      </c>
    </row>
    <row r="342" spans="1:27" x14ac:dyDescent="0.2">
      <c r="A342" s="52">
        <v>2011</v>
      </c>
      <c r="B342" t="s">
        <v>59</v>
      </c>
      <c r="C342" t="s">
        <v>163</v>
      </c>
      <c r="D342">
        <v>162</v>
      </c>
      <c r="E342">
        <v>5563</v>
      </c>
      <c r="F342" s="1">
        <v>787</v>
      </c>
      <c r="G342">
        <v>1540</v>
      </c>
      <c r="H342">
        <f t="shared" si="11"/>
        <v>1040</v>
      </c>
      <c r="I342">
        <v>297</v>
      </c>
      <c r="J342">
        <v>34</v>
      </c>
      <c r="K342">
        <v>169</v>
      </c>
      <c r="L342">
        <v>521</v>
      </c>
      <c r="M342">
        <v>39</v>
      </c>
      <c r="N342">
        <f t="shared" si="10"/>
        <v>3463</v>
      </c>
      <c r="O342">
        <v>750</v>
      </c>
      <c r="P342">
        <v>47</v>
      </c>
      <c r="Q342">
        <v>1143</v>
      </c>
      <c r="R342">
        <v>50</v>
      </c>
      <c r="S342">
        <v>58</v>
      </c>
      <c r="T342">
        <v>0</v>
      </c>
      <c r="U342">
        <v>74</v>
      </c>
      <c r="V342">
        <v>142</v>
      </c>
      <c r="W342">
        <v>49</v>
      </c>
      <c r="X342">
        <v>20</v>
      </c>
      <c r="Y342">
        <v>0.27700000000000002</v>
      </c>
      <c r="Z342">
        <v>0.34</v>
      </c>
      <c r="AA342">
        <v>0.434</v>
      </c>
    </row>
    <row r="343" spans="1:27" x14ac:dyDescent="0.2">
      <c r="A343" s="52">
        <v>2011</v>
      </c>
      <c r="B343" t="s">
        <v>160</v>
      </c>
      <c r="C343" t="s">
        <v>38</v>
      </c>
      <c r="D343">
        <v>162</v>
      </c>
      <c r="E343">
        <v>5508</v>
      </c>
      <c r="F343" s="1">
        <v>625</v>
      </c>
      <c r="G343">
        <v>1358</v>
      </c>
      <c r="H343">
        <f t="shared" si="11"/>
        <v>905</v>
      </c>
      <c r="I343">
        <v>274</v>
      </c>
      <c r="J343">
        <v>30</v>
      </c>
      <c r="K343">
        <v>149</v>
      </c>
      <c r="L343">
        <v>542</v>
      </c>
      <c r="M343">
        <v>51</v>
      </c>
      <c r="N343">
        <f t="shared" si="10"/>
        <v>3557</v>
      </c>
      <c r="O343">
        <v>596</v>
      </c>
      <c r="P343">
        <v>38</v>
      </c>
      <c r="Q343">
        <v>1244</v>
      </c>
      <c r="R343">
        <v>89</v>
      </c>
      <c r="S343">
        <v>42</v>
      </c>
      <c r="T343">
        <v>0</v>
      </c>
      <c r="U343">
        <v>67</v>
      </c>
      <c r="V343">
        <v>111</v>
      </c>
      <c r="W343">
        <v>95</v>
      </c>
      <c r="X343">
        <v>41</v>
      </c>
      <c r="Y343">
        <v>0.247</v>
      </c>
      <c r="Z343">
        <v>0.318</v>
      </c>
      <c r="AA343">
        <v>0.38800000000000001</v>
      </c>
    </row>
    <row r="344" spans="1:27" x14ac:dyDescent="0.2">
      <c r="A344" s="52">
        <v>2011</v>
      </c>
      <c r="B344" t="s">
        <v>63</v>
      </c>
      <c r="C344" t="s">
        <v>38</v>
      </c>
      <c r="D344">
        <v>162</v>
      </c>
      <c r="E344">
        <v>5598</v>
      </c>
      <c r="F344" s="1">
        <v>615</v>
      </c>
      <c r="G344">
        <v>1442</v>
      </c>
      <c r="H344">
        <f t="shared" si="11"/>
        <v>1010</v>
      </c>
      <c r="I344">
        <v>309</v>
      </c>
      <c r="J344">
        <v>28</v>
      </c>
      <c r="K344">
        <v>95</v>
      </c>
      <c r="L344">
        <v>401</v>
      </c>
      <c r="M344">
        <v>46</v>
      </c>
      <c r="N344">
        <f t="shared" si="10"/>
        <v>3709</v>
      </c>
      <c r="O344">
        <v>579</v>
      </c>
      <c r="P344">
        <v>34</v>
      </c>
      <c r="Q344">
        <v>1164</v>
      </c>
      <c r="R344">
        <v>66</v>
      </c>
      <c r="S344">
        <v>37</v>
      </c>
      <c r="T344">
        <v>2</v>
      </c>
      <c r="U344">
        <v>71</v>
      </c>
      <c r="V344">
        <v>111</v>
      </c>
      <c r="W344">
        <v>118</v>
      </c>
      <c r="X344">
        <v>33</v>
      </c>
      <c r="Y344">
        <v>0.25800000000000001</v>
      </c>
      <c r="Z344">
        <v>0.311</v>
      </c>
      <c r="AA344">
        <v>0.374</v>
      </c>
    </row>
    <row r="345" spans="1:27" x14ac:dyDescent="0.2">
      <c r="A345" s="52">
        <v>2011</v>
      </c>
      <c r="B345" t="s">
        <v>164</v>
      </c>
      <c r="C345" t="s">
        <v>163</v>
      </c>
      <c r="D345">
        <v>162</v>
      </c>
      <c r="E345">
        <v>5672</v>
      </c>
      <c r="F345" s="1">
        <v>730</v>
      </c>
      <c r="G345">
        <v>1560</v>
      </c>
      <c r="H345">
        <f t="shared" si="11"/>
        <v>1065</v>
      </c>
      <c r="I345">
        <v>325</v>
      </c>
      <c r="J345">
        <v>41</v>
      </c>
      <c r="K345">
        <v>129</v>
      </c>
      <c r="L345">
        <v>442</v>
      </c>
      <c r="M345">
        <v>39</v>
      </c>
      <c r="N345">
        <f t="shared" si="10"/>
        <v>3631</v>
      </c>
      <c r="O345">
        <v>705</v>
      </c>
      <c r="P345">
        <v>37</v>
      </c>
      <c r="Q345">
        <v>1006</v>
      </c>
      <c r="R345">
        <v>55</v>
      </c>
      <c r="S345">
        <v>57</v>
      </c>
      <c r="T345">
        <v>2</v>
      </c>
      <c r="U345">
        <v>81</v>
      </c>
      <c r="V345">
        <v>121</v>
      </c>
      <c r="W345">
        <v>153</v>
      </c>
      <c r="X345">
        <v>58</v>
      </c>
      <c r="Y345">
        <v>0.27500000000000002</v>
      </c>
      <c r="Z345">
        <v>0.32900000000000001</v>
      </c>
      <c r="AA345">
        <v>0.41499999999999998</v>
      </c>
    </row>
    <row r="346" spans="1:27" x14ac:dyDescent="0.2">
      <c r="A346" s="52">
        <v>2011</v>
      </c>
      <c r="B346" t="s">
        <v>159</v>
      </c>
      <c r="C346" t="s">
        <v>38</v>
      </c>
      <c r="D346">
        <v>161</v>
      </c>
      <c r="E346">
        <v>5436</v>
      </c>
      <c r="F346" s="1">
        <v>644</v>
      </c>
      <c r="G346">
        <v>1395</v>
      </c>
      <c r="H346">
        <f t="shared" si="11"/>
        <v>1013</v>
      </c>
      <c r="I346">
        <v>237</v>
      </c>
      <c r="J346">
        <v>28</v>
      </c>
      <c r="K346">
        <v>117</v>
      </c>
      <c r="L346">
        <v>498</v>
      </c>
      <c r="M346">
        <v>45</v>
      </c>
      <c r="N346">
        <f t="shared" si="10"/>
        <v>3498</v>
      </c>
      <c r="O346">
        <v>613</v>
      </c>
      <c r="P346">
        <v>61</v>
      </c>
      <c r="Q346">
        <v>1087</v>
      </c>
      <c r="R346">
        <v>71</v>
      </c>
      <c r="S346">
        <v>43</v>
      </c>
      <c r="T346">
        <v>1</v>
      </c>
      <c r="U346">
        <v>64</v>
      </c>
      <c r="V346">
        <v>101</v>
      </c>
      <c r="W346">
        <v>126</v>
      </c>
      <c r="X346">
        <v>40</v>
      </c>
      <c r="Y346">
        <v>0.25700000000000001</v>
      </c>
      <c r="Z346">
        <v>0.32200000000000001</v>
      </c>
      <c r="AA346">
        <v>0.375</v>
      </c>
    </row>
    <row r="347" spans="1:27" x14ac:dyDescent="0.2">
      <c r="A347" s="52">
        <v>2011</v>
      </c>
      <c r="B347" t="s">
        <v>69</v>
      </c>
      <c r="C347" t="s">
        <v>38</v>
      </c>
      <c r="D347">
        <v>162</v>
      </c>
      <c r="E347">
        <v>5447</v>
      </c>
      <c r="F347" s="1">
        <v>721</v>
      </c>
      <c r="G347">
        <v>1422</v>
      </c>
      <c r="H347">
        <f t="shared" si="11"/>
        <v>930</v>
      </c>
      <c r="I347">
        <v>276</v>
      </c>
      <c r="J347">
        <v>31</v>
      </c>
      <c r="K347">
        <v>185</v>
      </c>
      <c r="L347">
        <v>481</v>
      </c>
      <c r="M347">
        <v>56</v>
      </c>
      <c r="N347">
        <f t="shared" si="10"/>
        <v>3488</v>
      </c>
      <c r="O347">
        <v>693</v>
      </c>
      <c r="P347">
        <v>53</v>
      </c>
      <c r="Q347">
        <v>1083</v>
      </c>
      <c r="R347">
        <v>85</v>
      </c>
      <c r="S347">
        <v>44</v>
      </c>
      <c r="T347">
        <v>0</v>
      </c>
      <c r="U347">
        <v>76</v>
      </c>
      <c r="V347">
        <v>114</v>
      </c>
      <c r="W347">
        <v>94</v>
      </c>
      <c r="X347">
        <v>31</v>
      </c>
      <c r="Y347">
        <v>0.26100000000000001</v>
      </c>
      <c r="Z347">
        <v>0.32500000000000001</v>
      </c>
      <c r="AA347">
        <v>0.42499999999999999</v>
      </c>
    </row>
    <row r="348" spans="1:27" x14ac:dyDescent="0.2">
      <c r="A348" s="52">
        <v>2011</v>
      </c>
      <c r="B348" t="s">
        <v>71</v>
      </c>
      <c r="C348" t="s">
        <v>163</v>
      </c>
      <c r="D348">
        <v>162</v>
      </c>
      <c r="E348">
        <v>5487</v>
      </c>
      <c r="F348" s="1">
        <v>619</v>
      </c>
      <c r="G348">
        <v>1357</v>
      </c>
      <c r="H348">
        <f t="shared" si="11"/>
        <v>970</v>
      </c>
      <c r="I348">
        <v>259</v>
      </c>
      <c r="J348">
        <v>25</v>
      </c>
      <c r="K348">
        <v>103</v>
      </c>
      <c r="L348">
        <v>440</v>
      </c>
      <c r="M348">
        <v>37</v>
      </c>
      <c r="N348">
        <f t="shared" si="10"/>
        <v>3653</v>
      </c>
      <c r="O348">
        <v>572</v>
      </c>
      <c r="P348">
        <v>24</v>
      </c>
      <c r="Q348">
        <v>1048</v>
      </c>
      <c r="R348">
        <v>31</v>
      </c>
      <c r="S348">
        <v>25</v>
      </c>
      <c r="T348">
        <v>0</v>
      </c>
      <c r="U348">
        <v>72</v>
      </c>
      <c r="V348">
        <v>115</v>
      </c>
      <c r="W348">
        <v>92</v>
      </c>
      <c r="X348">
        <v>39</v>
      </c>
      <c r="Y348">
        <v>0.247</v>
      </c>
      <c r="Z348">
        <v>0.30599999999999999</v>
      </c>
      <c r="AA348">
        <v>0.36</v>
      </c>
    </row>
    <row r="349" spans="1:27" x14ac:dyDescent="0.2">
      <c r="A349" s="52">
        <v>2011</v>
      </c>
      <c r="B349" t="s">
        <v>158</v>
      </c>
      <c r="C349" t="s">
        <v>38</v>
      </c>
      <c r="D349">
        <v>162</v>
      </c>
      <c r="E349">
        <v>5600</v>
      </c>
      <c r="F349" s="1">
        <v>718</v>
      </c>
      <c r="G349">
        <v>1477</v>
      </c>
      <c r="H349">
        <f t="shared" si="11"/>
        <v>1021</v>
      </c>
      <c r="I349">
        <v>309</v>
      </c>
      <c r="J349">
        <v>39</v>
      </c>
      <c r="K349">
        <v>108</v>
      </c>
      <c r="L349">
        <v>571</v>
      </c>
      <c r="M349">
        <v>51</v>
      </c>
      <c r="N349">
        <f t="shared" si="10"/>
        <v>3501</v>
      </c>
      <c r="O349">
        <v>676</v>
      </c>
      <c r="P349">
        <v>56</v>
      </c>
      <c r="Q349">
        <v>1085</v>
      </c>
      <c r="R349">
        <v>65</v>
      </c>
      <c r="S349">
        <v>48</v>
      </c>
      <c r="T349">
        <v>0</v>
      </c>
      <c r="U349">
        <v>68</v>
      </c>
      <c r="V349">
        <v>112</v>
      </c>
      <c r="W349">
        <v>130</v>
      </c>
      <c r="X349">
        <v>35</v>
      </c>
      <c r="Y349">
        <v>0.26400000000000001</v>
      </c>
      <c r="Z349">
        <v>0.33500000000000002</v>
      </c>
      <c r="AA349">
        <v>0.39100000000000001</v>
      </c>
    </row>
    <row r="350" spans="1:27" x14ac:dyDescent="0.2">
      <c r="A350" s="52">
        <v>2011</v>
      </c>
      <c r="B350" t="s">
        <v>158</v>
      </c>
      <c r="C350" t="s">
        <v>163</v>
      </c>
      <c r="D350">
        <v>162</v>
      </c>
      <c r="E350">
        <v>5518</v>
      </c>
      <c r="F350" s="1">
        <v>867</v>
      </c>
      <c r="G350">
        <v>1452</v>
      </c>
      <c r="H350">
        <f t="shared" si="11"/>
        <v>930</v>
      </c>
      <c r="I350">
        <v>267</v>
      </c>
      <c r="J350">
        <v>33</v>
      </c>
      <c r="K350">
        <v>222</v>
      </c>
      <c r="L350">
        <v>627</v>
      </c>
      <c r="M350">
        <v>74</v>
      </c>
      <c r="N350">
        <f t="shared" si="10"/>
        <v>3365</v>
      </c>
      <c r="O350">
        <v>836</v>
      </c>
      <c r="P350">
        <v>34</v>
      </c>
      <c r="Q350">
        <v>1138</v>
      </c>
      <c r="R350">
        <v>36</v>
      </c>
      <c r="S350">
        <v>51</v>
      </c>
      <c r="T350">
        <v>0</v>
      </c>
      <c r="U350">
        <v>63</v>
      </c>
      <c r="V350">
        <v>146</v>
      </c>
      <c r="W350">
        <v>147</v>
      </c>
      <c r="X350">
        <v>46</v>
      </c>
      <c r="Y350">
        <v>0.26300000000000001</v>
      </c>
      <c r="Z350">
        <v>0.34300000000000003</v>
      </c>
      <c r="AA350">
        <v>0.44400000000000001</v>
      </c>
    </row>
    <row r="351" spans="1:27" x14ac:dyDescent="0.2">
      <c r="A351" s="52">
        <v>2011</v>
      </c>
      <c r="B351" t="s">
        <v>79</v>
      </c>
      <c r="C351" t="s">
        <v>163</v>
      </c>
      <c r="D351">
        <v>162</v>
      </c>
      <c r="E351">
        <v>5452</v>
      </c>
      <c r="F351" s="1">
        <v>645</v>
      </c>
      <c r="G351">
        <v>1330</v>
      </c>
      <c r="H351">
        <f t="shared" si="11"/>
        <v>907</v>
      </c>
      <c r="I351">
        <v>280</v>
      </c>
      <c r="J351">
        <v>29</v>
      </c>
      <c r="K351">
        <v>114</v>
      </c>
      <c r="L351">
        <v>509</v>
      </c>
      <c r="M351">
        <v>50</v>
      </c>
      <c r="N351">
        <f t="shared" si="10"/>
        <v>3563</v>
      </c>
      <c r="O351">
        <v>612</v>
      </c>
      <c r="P351">
        <v>20</v>
      </c>
      <c r="Q351">
        <v>1094</v>
      </c>
      <c r="R351">
        <v>34</v>
      </c>
      <c r="S351">
        <v>57</v>
      </c>
      <c r="T351">
        <v>2</v>
      </c>
      <c r="U351">
        <v>67</v>
      </c>
      <c r="V351">
        <v>119</v>
      </c>
      <c r="W351">
        <v>117</v>
      </c>
      <c r="X351">
        <v>43</v>
      </c>
      <c r="Y351">
        <v>0.24399999999999999</v>
      </c>
      <c r="Z351">
        <v>0.311</v>
      </c>
      <c r="AA351">
        <v>0.36899999999999999</v>
      </c>
    </row>
    <row r="352" spans="1:27" x14ac:dyDescent="0.2">
      <c r="A352" s="52">
        <v>2011</v>
      </c>
      <c r="B352" t="s">
        <v>81</v>
      </c>
      <c r="C352" t="s">
        <v>38</v>
      </c>
      <c r="D352">
        <v>162</v>
      </c>
      <c r="E352">
        <v>5579</v>
      </c>
      <c r="F352" s="1">
        <v>713</v>
      </c>
      <c r="G352">
        <v>1409</v>
      </c>
      <c r="H352">
        <f t="shared" si="11"/>
        <v>960</v>
      </c>
      <c r="I352">
        <v>258</v>
      </c>
      <c r="J352">
        <v>38</v>
      </c>
      <c r="K352">
        <v>153</v>
      </c>
      <c r="L352">
        <v>539</v>
      </c>
      <c r="M352">
        <v>56</v>
      </c>
      <c r="N352">
        <f t="shared" si="10"/>
        <v>3575</v>
      </c>
      <c r="O352">
        <v>693</v>
      </c>
      <c r="P352">
        <v>52</v>
      </c>
      <c r="Q352">
        <v>1024</v>
      </c>
      <c r="R352">
        <v>65</v>
      </c>
      <c r="S352">
        <v>38</v>
      </c>
      <c r="T352">
        <v>2</v>
      </c>
      <c r="U352">
        <v>78</v>
      </c>
      <c r="V352">
        <v>108</v>
      </c>
      <c r="W352">
        <v>96</v>
      </c>
      <c r="X352">
        <v>24</v>
      </c>
      <c r="Y352">
        <v>0.253</v>
      </c>
      <c r="Z352">
        <v>0.32300000000000001</v>
      </c>
      <c r="AA352">
        <v>0.39500000000000002</v>
      </c>
    </row>
    <row r="353" spans="1:27" x14ac:dyDescent="0.2">
      <c r="A353" s="52">
        <v>2011</v>
      </c>
      <c r="B353" t="s">
        <v>83</v>
      </c>
      <c r="C353" t="s">
        <v>38</v>
      </c>
      <c r="D353">
        <v>162</v>
      </c>
      <c r="E353">
        <v>5421</v>
      </c>
      <c r="F353" s="1">
        <v>610</v>
      </c>
      <c r="G353">
        <v>1325</v>
      </c>
      <c r="H353">
        <f t="shared" si="11"/>
        <v>906</v>
      </c>
      <c r="I353">
        <v>277</v>
      </c>
      <c r="J353">
        <v>35</v>
      </c>
      <c r="K353">
        <v>107</v>
      </c>
      <c r="L353">
        <v>489</v>
      </c>
      <c r="M353">
        <v>34</v>
      </c>
      <c r="N353">
        <f t="shared" si="10"/>
        <v>3573</v>
      </c>
      <c r="O353">
        <v>580</v>
      </c>
      <c r="P353">
        <v>31</v>
      </c>
      <c r="Q353">
        <v>1308</v>
      </c>
      <c r="R353">
        <v>75</v>
      </c>
      <c r="S353">
        <v>44</v>
      </c>
      <c r="T353">
        <v>1</v>
      </c>
      <c r="U353">
        <v>66</v>
      </c>
      <c r="V353">
        <v>123</v>
      </c>
      <c r="W353">
        <v>108</v>
      </c>
      <c r="X353">
        <v>52</v>
      </c>
      <c r="Y353">
        <v>0.24399999999999999</v>
      </c>
      <c r="Z353">
        <v>0.309</v>
      </c>
      <c r="AA353">
        <v>0.36799999999999999</v>
      </c>
    </row>
    <row r="354" spans="1:27" x14ac:dyDescent="0.2">
      <c r="A354" s="52">
        <v>2011</v>
      </c>
      <c r="B354" t="s">
        <v>161</v>
      </c>
      <c r="C354" t="s">
        <v>38</v>
      </c>
      <c r="D354">
        <v>162</v>
      </c>
      <c r="E354">
        <v>5417</v>
      </c>
      <c r="F354" s="1">
        <v>593</v>
      </c>
      <c r="G354">
        <v>1284</v>
      </c>
      <c r="H354">
        <f t="shared" si="11"/>
        <v>904</v>
      </c>
      <c r="I354">
        <v>247</v>
      </c>
      <c r="J354">
        <v>42</v>
      </c>
      <c r="K354">
        <v>91</v>
      </c>
      <c r="L354">
        <v>501</v>
      </c>
      <c r="M354">
        <v>48</v>
      </c>
      <c r="N354">
        <f t="shared" si="10"/>
        <v>3584</v>
      </c>
      <c r="O354">
        <v>563</v>
      </c>
      <c r="P354">
        <v>42</v>
      </c>
      <c r="Q354">
        <v>1320</v>
      </c>
      <c r="R354">
        <v>55</v>
      </c>
      <c r="S354">
        <v>47</v>
      </c>
      <c r="T354">
        <v>6</v>
      </c>
      <c r="U354">
        <v>67</v>
      </c>
      <c r="V354">
        <v>105</v>
      </c>
      <c r="W354">
        <v>170</v>
      </c>
      <c r="X354">
        <v>44</v>
      </c>
      <c r="Y354">
        <v>0.23699999999999999</v>
      </c>
      <c r="Z354">
        <v>0.30499999999999999</v>
      </c>
      <c r="AA354">
        <v>0.34899999999999998</v>
      </c>
    </row>
    <row r="355" spans="1:27" x14ac:dyDescent="0.2">
      <c r="A355" s="52">
        <v>2011</v>
      </c>
      <c r="B355" t="s">
        <v>87</v>
      </c>
      <c r="C355" t="s">
        <v>163</v>
      </c>
      <c r="D355">
        <v>162</v>
      </c>
      <c r="E355">
        <v>5421</v>
      </c>
      <c r="F355" s="1">
        <v>556</v>
      </c>
      <c r="G355">
        <v>1263</v>
      </c>
      <c r="H355">
        <f t="shared" si="11"/>
        <v>879</v>
      </c>
      <c r="I355">
        <v>253</v>
      </c>
      <c r="J355">
        <v>22</v>
      </c>
      <c r="K355">
        <v>109</v>
      </c>
      <c r="L355">
        <v>435</v>
      </c>
      <c r="M355">
        <v>37</v>
      </c>
      <c r="N355">
        <f t="shared" si="10"/>
        <v>3686</v>
      </c>
      <c r="O355">
        <v>534</v>
      </c>
      <c r="P355">
        <v>33</v>
      </c>
      <c r="Q355">
        <v>1280</v>
      </c>
      <c r="R355">
        <v>38</v>
      </c>
      <c r="S355">
        <v>41</v>
      </c>
      <c r="T355">
        <v>0</v>
      </c>
      <c r="U355">
        <v>69</v>
      </c>
      <c r="V355">
        <v>82</v>
      </c>
      <c r="W355">
        <v>125</v>
      </c>
      <c r="X355">
        <v>40</v>
      </c>
      <c r="Y355">
        <v>0.23300000000000001</v>
      </c>
      <c r="Z355">
        <v>0.29199999999999998</v>
      </c>
      <c r="AA355">
        <v>0.34799999999999998</v>
      </c>
    </row>
    <row r="356" spans="1:27" x14ac:dyDescent="0.2">
      <c r="A356" s="52">
        <v>2011</v>
      </c>
      <c r="B356" t="s">
        <v>21</v>
      </c>
      <c r="C356" t="s">
        <v>38</v>
      </c>
      <c r="D356">
        <v>162</v>
      </c>
      <c r="E356">
        <v>5486</v>
      </c>
      <c r="F356" s="1">
        <v>570</v>
      </c>
      <c r="G356">
        <v>1327</v>
      </c>
      <c r="H356">
        <f t="shared" si="11"/>
        <v>900</v>
      </c>
      <c r="I356">
        <v>282</v>
      </c>
      <c r="J356">
        <v>24</v>
      </c>
      <c r="K356">
        <v>121</v>
      </c>
      <c r="L356">
        <v>448</v>
      </c>
      <c r="M356">
        <v>52</v>
      </c>
      <c r="N356">
        <f t="shared" si="10"/>
        <v>3659</v>
      </c>
      <c r="O356">
        <v>534</v>
      </c>
      <c r="P356">
        <v>47</v>
      </c>
      <c r="Q356">
        <v>1122</v>
      </c>
      <c r="R356">
        <v>62</v>
      </c>
      <c r="S356">
        <v>43</v>
      </c>
      <c r="T356">
        <v>0</v>
      </c>
      <c r="U356">
        <v>74</v>
      </c>
      <c r="V356">
        <v>117</v>
      </c>
      <c r="W356">
        <v>85</v>
      </c>
      <c r="X356">
        <v>51</v>
      </c>
      <c r="Y356">
        <v>0.24199999999999999</v>
      </c>
      <c r="Z356">
        <v>0.30299999999999999</v>
      </c>
      <c r="AA356">
        <v>0.36799999999999999</v>
      </c>
    </row>
    <row r="357" spans="1:27" x14ac:dyDescent="0.2">
      <c r="A357" s="52">
        <v>2011</v>
      </c>
      <c r="B357" t="s">
        <v>156</v>
      </c>
      <c r="C357" t="s">
        <v>38</v>
      </c>
      <c r="D357">
        <v>162</v>
      </c>
      <c r="E357">
        <v>5532</v>
      </c>
      <c r="F357" s="1">
        <v>762</v>
      </c>
      <c r="G357">
        <v>1513</v>
      </c>
      <c r="H357">
        <f t="shared" si="11"/>
        <v>1021</v>
      </c>
      <c r="I357">
        <v>308</v>
      </c>
      <c r="J357">
        <v>22</v>
      </c>
      <c r="K357">
        <v>162</v>
      </c>
      <c r="L357">
        <v>542</v>
      </c>
      <c r="M357">
        <v>44</v>
      </c>
      <c r="N357">
        <f t="shared" si="10"/>
        <v>3433</v>
      </c>
      <c r="O357">
        <v>726</v>
      </c>
      <c r="P357">
        <v>64</v>
      </c>
      <c r="Q357">
        <v>978</v>
      </c>
      <c r="R357">
        <v>84</v>
      </c>
      <c r="S357">
        <v>40</v>
      </c>
      <c r="T357">
        <v>0</v>
      </c>
      <c r="U357">
        <v>56</v>
      </c>
      <c r="V357">
        <v>169</v>
      </c>
      <c r="W357">
        <v>57</v>
      </c>
      <c r="X357">
        <v>39</v>
      </c>
      <c r="Y357">
        <v>0.27300000000000002</v>
      </c>
      <c r="Z357">
        <v>0.34100000000000003</v>
      </c>
      <c r="AA357">
        <v>0.42499999999999999</v>
      </c>
    </row>
    <row r="358" spans="1:27" x14ac:dyDescent="0.2">
      <c r="A358" s="52">
        <v>2011</v>
      </c>
      <c r="B358" t="s">
        <v>165</v>
      </c>
      <c r="C358" t="s">
        <v>163</v>
      </c>
      <c r="D358">
        <v>162</v>
      </c>
      <c r="E358">
        <v>5436</v>
      </c>
      <c r="F358" s="1">
        <v>707</v>
      </c>
      <c r="G358">
        <v>1324</v>
      </c>
      <c r="H358">
        <f t="shared" si="11"/>
        <v>842</v>
      </c>
      <c r="I358">
        <v>273</v>
      </c>
      <c r="J358">
        <v>37</v>
      </c>
      <c r="K358">
        <v>172</v>
      </c>
      <c r="L358">
        <v>571</v>
      </c>
      <c r="M358">
        <v>73</v>
      </c>
      <c r="N358">
        <f t="shared" si="10"/>
        <v>3468</v>
      </c>
      <c r="O358">
        <v>674</v>
      </c>
      <c r="P358">
        <v>31</v>
      </c>
      <c r="Q358">
        <v>1193</v>
      </c>
      <c r="R358">
        <v>37</v>
      </c>
      <c r="S358">
        <v>35</v>
      </c>
      <c r="T358">
        <v>0</v>
      </c>
      <c r="U358">
        <v>73</v>
      </c>
      <c r="V358">
        <v>101</v>
      </c>
      <c r="W358">
        <v>155</v>
      </c>
      <c r="X358">
        <v>62</v>
      </c>
      <c r="Y358">
        <v>0.24399999999999999</v>
      </c>
      <c r="Z358">
        <v>0.32200000000000001</v>
      </c>
      <c r="AA358">
        <v>0.40200000000000002</v>
      </c>
    </row>
    <row r="359" spans="1:27" x14ac:dyDescent="0.2">
      <c r="A359" s="52">
        <v>2011</v>
      </c>
      <c r="B359" t="s">
        <v>95</v>
      </c>
      <c r="C359" t="s">
        <v>163</v>
      </c>
      <c r="D359">
        <v>162</v>
      </c>
      <c r="E359">
        <v>5659</v>
      </c>
      <c r="F359" s="1">
        <v>855</v>
      </c>
      <c r="G359">
        <v>1599</v>
      </c>
      <c r="H359">
        <f t="shared" si="11"/>
        <v>1047</v>
      </c>
      <c r="I359">
        <v>310</v>
      </c>
      <c r="J359">
        <v>32</v>
      </c>
      <c r="K359">
        <v>210</v>
      </c>
      <c r="L359">
        <v>475</v>
      </c>
      <c r="M359">
        <v>39</v>
      </c>
      <c r="N359">
        <f t="shared" si="10"/>
        <v>3546</v>
      </c>
      <c r="O359">
        <v>807</v>
      </c>
      <c r="P359">
        <v>35</v>
      </c>
      <c r="Q359">
        <v>930</v>
      </c>
      <c r="R359">
        <v>39</v>
      </c>
      <c r="S359">
        <v>49</v>
      </c>
      <c r="T359">
        <v>0</v>
      </c>
      <c r="U359">
        <v>89</v>
      </c>
      <c r="V359">
        <v>135</v>
      </c>
      <c r="W359">
        <v>143</v>
      </c>
      <c r="X359">
        <v>45</v>
      </c>
      <c r="Y359">
        <v>0.28299999999999997</v>
      </c>
      <c r="Z359">
        <v>0.34</v>
      </c>
      <c r="AA359">
        <v>0.46</v>
      </c>
    </row>
    <row r="360" spans="1:27" x14ac:dyDescent="0.2">
      <c r="A360" s="52">
        <v>2011</v>
      </c>
      <c r="B360" t="s">
        <v>97</v>
      </c>
      <c r="C360" t="s">
        <v>163</v>
      </c>
      <c r="D360">
        <v>162</v>
      </c>
      <c r="E360">
        <v>5559</v>
      </c>
      <c r="F360" s="1">
        <v>743</v>
      </c>
      <c r="G360">
        <v>1384</v>
      </c>
      <c r="H360">
        <f t="shared" si="11"/>
        <v>879</v>
      </c>
      <c r="I360">
        <v>285</v>
      </c>
      <c r="J360">
        <v>34</v>
      </c>
      <c r="K360">
        <v>186</v>
      </c>
      <c r="L360">
        <v>525</v>
      </c>
      <c r="M360">
        <v>48</v>
      </c>
      <c r="N360">
        <f t="shared" si="10"/>
        <v>3602</v>
      </c>
      <c r="O360">
        <v>704</v>
      </c>
      <c r="P360">
        <v>41</v>
      </c>
      <c r="Q360">
        <v>1184</v>
      </c>
      <c r="R360">
        <v>31</v>
      </c>
      <c r="S360">
        <v>47</v>
      </c>
      <c r="T360">
        <v>0</v>
      </c>
      <c r="U360">
        <v>78</v>
      </c>
      <c r="V360">
        <v>108</v>
      </c>
      <c r="W360">
        <v>131</v>
      </c>
      <c r="X360">
        <v>52</v>
      </c>
      <c r="Y360">
        <v>0.249</v>
      </c>
      <c r="Z360">
        <v>0.317</v>
      </c>
      <c r="AA360">
        <v>0.41299999999999998</v>
      </c>
    </row>
    <row r="361" spans="1:27" x14ac:dyDescent="0.2">
      <c r="A361" s="52">
        <v>2011</v>
      </c>
      <c r="B361" t="s">
        <v>101</v>
      </c>
      <c r="C361" t="s">
        <v>38</v>
      </c>
      <c r="D361">
        <v>161</v>
      </c>
      <c r="E361">
        <v>5441</v>
      </c>
      <c r="F361" s="1">
        <v>624</v>
      </c>
      <c r="G361">
        <v>1319</v>
      </c>
      <c r="H361">
        <f t="shared" si="11"/>
        <v>886</v>
      </c>
      <c r="I361">
        <v>257</v>
      </c>
      <c r="J361">
        <v>22</v>
      </c>
      <c r="K361">
        <v>154</v>
      </c>
      <c r="L361">
        <v>470</v>
      </c>
      <c r="M361">
        <v>65</v>
      </c>
      <c r="N361">
        <f t="shared" si="10"/>
        <v>3587</v>
      </c>
      <c r="O361">
        <v>594</v>
      </c>
      <c r="P361">
        <v>40</v>
      </c>
      <c r="Q361">
        <v>1323</v>
      </c>
      <c r="R361">
        <v>82</v>
      </c>
      <c r="S361">
        <v>32</v>
      </c>
      <c r="T361">
        <v>0</v>
      </c>
      <c r="U361">
        <v>70</v>
      </c>
      <c r="V361">
        <v>103</v>
      </c>
      <c r="W361">
        <v>106</v>
      </c>
      <c r="X361">
        <v>38</v>
      </c>
      <c r="Y361">
        <v>0.24199999999999999</v>
      </c>
      <c r="Z361">
        <v>0.309</v>
      </c>
      <c r="AA361">
        <v>0.38300000000000001</v>
      </c>
    </row>
    <row r="362" spans="1:27" x14ac:dyDescent="0.2">
      <c r="A362" s="52">
        <v>2012</v>
      </c>
      <c r="B362" t="s">
        <v>37</v>
      </c>
      <c r="C362" t="s">
        <v>163</v>
      </c>
      <c r="D362">
        <v>162</v>
      </c>
      <c r="E362">
        <v>5536</v>
      </c>
      <c r="F362" s="1">
        <v>767</v>
      </c>
      <c r="G362">
        <v>1518</v>
      </c>
      <c r="H362">
        <f t="shared" si="11"/>
        <v>1036</v>
      </c>
      <c r="I362">
        <v>273</v>
      </c>
      <c r="J362">
        <v>22</v>
      </c>
      <c r="K362">
        <v>187</v>
      </c>
      <c r="L362">
        <v>449</v>
      </c>
      <c r="M362">
        <v>47</v>
      </c>
      <c r="N362">
        <f t="shared" si="10"/>
        <v>3522</v>
      </c>
      <c r="O362">
        <v>732</v>
      </c>
      <c r="P362">
        <v>29</v>
      </c>
      <c r="Q362">
        <v>1113</v>
      </c>
      <c r="R362">
        <v>47</v>
      </c>
      <c r="S362">
        <v>41</v>
      </c>
      <c r="T362">
        <v>1</v>
      </c>
      <c r="U362">
        <v>68</v>
      </c>
      <c r="V362">
        <v>138</v>
      </c>
      <c r="W362">
        <v>134</v>
      </c>
      <c r="X362">
        <v>33</v>
      </c>
      <c r="Y362">
        <v>0.27400000000000002</v>
      </c>
      <c r="Z362">
        <v>0.33200000000000002</v>
      </c>
      <c r="AA362">
        <v>0.433</v>
      </c>
    </row>
    <row r="363" spans="1:27" x14ac:dyDescent="0.2">
      <c r="A363" s="52">
        <v>2012</v>
      </c>
      <c r="B363" t="s">
        <v>40</v>
      </c>
      <c r="C363" t="s">
        <v>38</v>
      </c>
      <c r="D363">
        <v>162</v>
      </c>
      <c r="E363">
        <v>5462</v>
      </c>
      <c r="F363" s="1">
        <v>734</v>
      </c>
      <c r="G363">
        <v>1416</v>
      </c>
      <c r="H363">
        <f t="shared" si="11"/>
        <v>911</v>
      </c>
      <c r="I363">
        <v>307</v>
      </c>
      <c r="J363">
        <v>33</v>
      </c>
      <c r="K363">
        <v>165</v>
      </c>
      <c r="L363">
        <v>539</v>
      </c>
      <c r="M363">
        <v>41</v>
      </c>
      <c r="N363">
        <f t="shared" si="10"/>
        <v>3466</v>
      </c>
      <c r="O363">
        <v>710</v>
      </c>
      <c r="P363">
        <v>47</v>
      </c>
      <c r="Q363">
        <v>1266</v>
      </c>
      <c r="R363">
        <v>61</v>
      </c>
      <c r="S363">
        <v>45</v>
      </c>
      <c r="T363">
        <v>2</v>
      </c>
      <c r="U363">
        <v>64</v>
      </c>
      <c r="V363">
        <v>108</v>
      </c>
      <c r="W363">
        <v>93</v>
      </c>
      <c r="X363">
        <v>51</v>
      </c>
      <c r="Y363">
        <v>0.25900000000000001</v>
      </c>
      <c r="Z363">
        <v>0.32800000000000001</v>
      </c>
      <c r="AA363">
        <v>0.41799999999999998</v>
      </c>
    </row>
    <row r="364" spans="1:27" x14ac:dyDescent="0.2">
      <c r="A364" s="52">
        <v>2012</v>
      </c>
      <c r="B364" t="s">
        <v>42</v>
      </c>
      <c r="C364" t="s">
        <v>38</v>
      </c>
      <c r="D364">
        <v>162</v>
      </c>
      <c r="E364">
        <v>5425</v>
      </c>
      <c r="F364" s="1">
        <v>700</v>
      </c>
      <c r="G364">
        <v>1341</v>
      </c>
      <c r="H364">
        <f t="shared" si="11"/>
        <v>899</v>
      </c>
      <c r="I364">
        <v>263</v>
      </c>
      <c r="J364">
        <v>30</v>
      </c>
      <c r="K364">
        <v>149</v>
      </c>
      <c r="L364">
        <v>567</v>
      </c>
      <c r="M364">
        <v>34</v>
      </c>
      <c r="N364">
        <f t="shared" si="10"/>
        <v>3483</v>
      </c>
      <c r="O364">
        <v>660</v>
      </c>
      <c r="P364">
        <v>37</v>
      </c>
      <c r="Q364">
        <v>1289</v>
      </c>
      <c r="R364">
        <v>53</v>
      </c>
      <c r="S364">
        <v>46</v>
      </c>
      <c r="T364">
        <v>1</v>
      </c>
      <c r="U364">
        <v>64</v>
      </c>
      <c r="V364">
        <v>108</v>
      </c>
      <c r="W364">
        <v>101</v>
      </c>
      <c r="X364">
        <v>32</v>
      </c>
      <c r="Y364">
        <v>0.247</v>
      </c>
      <c r="Z364">
        <v>0.32</v>
      </c>
      <c r="AA364">
        <v>0.38900000000000001</v>
      </c>
    </row>
    <row r="365" spans="1:27" x14ac:dyDescent="0.2">
      <c r="A365" s="52">
        <v>2012</v>
      </c>
      <c r="B365" t="s">
        <v>45</v>
      </c>
      <c r="C365" t="s">
        <v>163</v>
      </c>
      <c r="D365">
        <v>162</v>
      </c>
      <c r="E365">
        <v>5560</v>
      </c>
      <c r="F365" s="1">
        <v>712</v>
      </c>
      <c r="G365">
        <v>1375</v>
      </c>
      <c r="H365">
        <f t="shared" si="11"/>
        <v>875</v>
      </c>
      <c r="I365">
        <v>270</v>
      </c>
      <c r="J365">
        <v>16</v>
      </c>
      <c r="K365">
        <v>214</v>
      </c>
      <c r="L365">
        <v>480</v>
      </c>
      <c r="M365">
        <v>50</v>
      </c>
      <c r="N365">
        <f t="shared" si="10"/>
        <v>3655</v>
      </c>
      <c r="O365">
        <v>677</v>
      </c>
      <c r="P365">
        <v>24</v>
      </c>
      <c r="Q365">
        <v>1315</v>
      </c>
      <c r="R365">
        <v>38</v>
      </c>
      <c r="S365">
        <v>30</v>
      </c>
      <c r="T365">
        <v>2</v>
      </c>
      <c r="U365">
        <v>56</v>
      </c>
      <c r="V365">
        <v>152</v>
      </c>
      <c r="W365">
        <v>58</v>
      </c>
      <c r="X365">
        <v>29</v>
      </c>
      <c r="Y365">
        <v>0.247</v>
      </c>
      <c r="Z365">
        <v>0.311</v>
      </c>
      <c r="AA365">
        <v>0.41699999999999998</v>
      </c>
    </row>
    <row r="366" spans="1:27" x14ac:dyDescent="0.2">
      <c r="A366" s="52">
        <v>2012</v>
      </c>
      <c r="B366" t="s">
        <v>47</v>
      </c>
      <c r="C366" t="s">
        <v>163</v>
      </c>
      <c r="D366">
        <v>162</v>
      </c>
      <c r="E366">
        <v>5604</v>
      </c>
      <c r="F366" s="1">
        <v>734</v>
      </c>
      <c r="G366">
        <v>1459</v>
      </c>
      <c r="H366">
        <f t="shared" si="11"/>
        <v>939</v>
      </c>
      <c r="I366">
        <v>339</v>
      </c>
      <c r="J366">
        <v>16</v>
      </c>
      <c r="K366">
        <v>165</v>
      </c>
      <c r="L366">
        <v>428</v>
      </c>
      <c r="M366">
        <v>45</v>
      </c>
      <c r="N366">
        <f t="shared" si="10"/>
        <v>3672</v>
      </c>
      <c r="O366">
        <v>695</v>
      </c>
      <c r="P366">
        <v>27</v>
      </c>
      <c r="Q366">
        <v>1197</v>
      </c>
      <c r="R366">
        <v>34</v>
      </c>
      <c r="S366">
        <v>55</v>
      </c>
      <c r="T366">
        <v>0</v>
      </c>
      <c r="U366">
        <v>62</v>
      </c>
      <c r="V366">
        <v>105</v>
      </c>
      <c r="W366">
        <v>97</v>
      </c>
      <c r="X366">
        <v>31</v>
      </c>
      <c r="Y366">
        <v>0.26</v>
      </c>
      <c r="Z366">
        <v>0.315</v>
      </c>
      <c r="AA366">
        <v>0.41499999999999998</v>
      </c>
    </row>
    <row r="367" spans="1:27" x14ac:dyDescent="0.2">
      <c r="A367" s="52">
        <v>2012</v>
      </c>
      <c r="B367" t="s">
        <v>157</v>
      </c>
      <c r="C367" t="s">
        <v>38</v>
      </c>
      <c r="D367">
        <v>162</v>
      </c>
      <c r="E367">
        <v>5411</v>
      </c>
      <c r="F367" s="1">
        <v>613</v>
      </c>
      <c r="G367">
        <v>1297</v>
      </c>
      <c r="H367">
        <f t="shared" si="11"/>
        <v>859</v>
      </c>
      <c r="I367">
        <v>265</v>
      </c>
      <c r="J367">
        <v>36</v>
      </c>
      <c r="K367">
        <v>137</v>
      </c>
      <c r="L367">
        <v>447</v>
      </c>
      <c r="M367">
        <v>43</v>
      </c>
      <c r="N367">
        <f t="shared" si="10"/>
        <v>3624</v>
      </c>
      <c r="O367">
        <v>570</v>
      </c>
      <c r="P367">
        <v>29</v>
      </c>
      <c r="Q367">
        <v>1235</v>
      </c>
      <c r="R367">
        <v>42</v>
      </c>
      <c r="S367">
        <v>24</v>
      </c>
      <c r="T367">
        <v>0</v>
      </c>
      <c r="U367">
        <v>90</v>
      </c>
      <c r="V367">
        <v>125</v>
      </c>
      <c r="W367">
        <v>94</v>
      </c>
      <c r="X367">
        <v>45</v>
      </c>
      <c r="Y367">
        <v>0.24</v>
      </c>
      <c r="Z367">
        <v>0.30199999999999999</v>
      </c>
      <c r="AA367">
        <v>0.378</v>
      </c>
    </row>
    <row r="368" spans="1:27" x14ac:dyDescent="0.2">
      <c r="A368" s="52">
        <v>2012</v>
      </c>
      <c r="B368" t="s">
        <v>157</v>
      </c>
      <c r="C368" t="s">
        <v>163</v>
      </c>
      <c r="D368">
        <v>162</v>
      </c>
      <c r="E368">
        <v>5518</v>
      </c>
      <c r="F368" s="1">
        <v>748</v>
      </c>
      <c r="G368">
        <v>1409</v>
      </c>
      <c r="H368">
        <f t="shared" si="11"/>
        <v>941</v>
      </c>
      <c r="I368">
        <v>228</v>
      </c>
      <c r="J368">
        <v>29</v>
      </c>
      <c r="K368">
        <v>211</v>
      </c>
      <c r="L368">
        <v>461</v>
      </c>
      <c r="M368">
        <v>65</v>
      </c>
      <c r="N368">
        <f t="shared" si="10"/>
        <v>3583</v>
      </c>
      <c r="O368">
        <v>726</v>
      </c>
      <c r="P368">
        <v>24</v>
      </c>
      <c r="Q368">
        <v>1203</v>
      </c>
      <c r="R368">
        <v>31</v>
      </c>
      <c r="S368">
        <v>36</v>
      </c>
      <c r="T368">
        <v>0</v>
      </c>
      <c r="U368">
        <v>62</v>
      </c>
      <c r="V368">
        <v>112</v>
      </c>
      <c r="W368">
        <v>109</v>
      </c>
      <c r="X368">
        <v>43</v>
      </c>
      <c r="Y368">
        <v>0.255</v>
      </c>
      <c r="Z368">
        <v>0.318</v>
      </c>
      <c r="AA368">
        <v>0.42199999999999999</v>
      </c>
    </row>
    <row r="369" spans="1:27" x14ac:dyDescent="0.2">
      <c r="A369" s="52">
        <v>2012</v>
      </c>
      <c r="B369" t="s">
        <v>53</v>
      </c>
      <c r="C369" t="s">
        <v>38</v>
      </c>
      <c r="D369">
        <v>162</v>
      </c>
      <c r="E369">
        <v>5477</v>
      </c>
      <c r="F369" s="1">
        <v>669</v>
      </c>
      <c r="G369">
        <v>1377</v>
      </c>
      <c r="H369">
        <f t="shared" si="11"/>
        <v>879</v>
      </c>
      <c r="I369">
        <v>296</v>
      </c>
      <c r="J369">
        <v>30</v>
      </c>
      <c r="K369">
        <v>172</v>
      </c>
      <c r="L369">
        <v>481</v>
      </c>
      <c r="M369">
        <v>47</v>
      </c>
      <c r="N369">
        <f t="shared" si="10"/>
        <v>3572</v>
      </c>
      <c r="O369">
        <v>636</v>
      </c>
      <c r="P369">
        <v>54</v>
      </c>
      <c r="Q369">
        <v>1266</v>
      </c>
      <c r="R369">
        <v>73</v>
      </c>
      <c r="S369">
        <v>37</v>
      </c>
      <c r="T369">
        <v>0</v>
      </c>
      <c r="U369">
        <v>73</v>
      </c>
      <c r="V369">
        <v>100</v>
      </c>
      <c r="W369">
        <v>87</v>
      </c>
      <c r="X369">
        <v>27</v>
      </c>
      <c r="Y369">
        <v>0.251</v>
      </c>
      <c r="Z369">
        <v>0.315</v>
      </c>
      <c r="AA369">
        <v>0.41099999999999998</v>
      </c>
    </row>
    <row r="370" spans="1:27" x14ac:dyDescent="0.2">
      <c r="A370" s="52">
        <v>2012</v>
      </c>
      <c r="B370" t="s">
        <v>55</v>
      </c>
      <c r="C370" t="s">
        <v>163</v>
      </c>
      <c r="D370">
        <v>162</v>
      </c>
      <c r="E370">
        <v>5525</v>
      </c>
      <c r="F370" s="1">
        <v>667</v>
      </c>
      <c r="G370">
        <v>1385</v>
      </c>
      <c r="H370">
        <f t="shared" si="11"/>
        <v>959</v>
      </c>
      <c r="I370">
        <v>266</v>
      </c>
      <c r="J370">
        <v>24</v>
      </c>
      <c r="K370">
        <v>136</v>
      </c>
      <c r="L370">
        <v>555</v>
      </c>
      <c r="M370">
        <v>59</v>
      </c>
      <c r="N370">
        <f t="shared" si="10"/>
        <v>3526</v>
      </c>
      <c r="O370">
        <v>635</v>
      </c>
      <c r="P370">
        <v>28</v>
      </c>
      <c r="Q370">
        <v>1087</v>
      </c>
      <c r="R370">
        <v>17</v>
      </c>
      <c r="S370">
        <v>39</v>
      </c>
      <c r="T370">
        <v>0</v>
      </c>
      <c r="U370">
        <v>64</v>
      </c>
      <c r="V370">
        <v>141</v>
      </c>
      <c r="W370">
        <v>110</v>
      </c>
      <c r="X370">
        <v>44</v>
      </c>
      <c r="Y370">
        <v>0.251</v>
      </c>
      <c r="Z370">
        <v>0.32400000000000001</v>
      </c>
      <c r="AA370">
        <v>0.38100000000000001</v>
      </c>
    </row>
    <row r="371" spans="1:27" x14ac:dyDescent="0.2">
      <c r="A371" s="52">
        <v>2012</v>
      </c>
      <c r="B371" t="s">
        <v>57</v>
      </c>
      <c r="C371" t="s">
        <v>38</v>
      </c>
      <c r="D371">
        <v>162</v>
      </c>
      <c r="E371">
        <v>5577</v>
      </c>
      <c r="F371" s="1">
        <v>758</v>
      </c>
      <c r="G371">
        <v>1526</v>
      </c>
      <c r="H371">
        <f t="shared" si="11"/>
        <v>1002</v>
      </c>
      <c r="I371">
        <v>306</v>
      </c>
      <c r="J371">
        <v>52</v>
      </c>
      <c r="K371">
        <v>166</v>
      </c>
      <c r="L371">
        <v>450</v>
      </c>
      <c r="M371">
        <v>36</v>
      </c>
      <c r="N371">
        <f t="shared" si="10"/>
        <v>3565</v>
      </c>
      <c r="O371">
        <v>716</v>
      </c>
      <c r="P371">
        <v>34</v>
      </c>
      <c r="Q371">
        <v>1213</v>
      </c>
      <c r="R371">
        <v>74</v>
      </c>
      <c r="S371">
        <v>39</v>
      </c>
      <c r="T371">
        <v>7</v>
      </c>
      <c r="U371">
        <v>75</v>
      </c>
      <c r="V371">
        <v>132</v>
      </c>
      <c r="W371">
        <v>100</v>
      </c>
      <c r="X371">
        <v>40</v>
      </c>
      <c r="Y371">
        <v>0.27400000000000002</v>
      </c>
      <c r="Z371">
        <v>0.33</v>
      </c>
      <c r="AA371">
        <v>0.436</v>
      </c>
    </row>
    <row r="372" spans="1:27" x14ac:dyDescent="0.2">
      <c r="A372" s="52">
        <v>2012</v>
      </c>
      <c r="B372" t="s">
        <v>59</v>
      </c>
      <c r="C372" t="s">
        <v>163</v>
      </c>
      <c r="D372">
        <v>162</v>
      </c>
      <c r="E372">
        <v>5476</v>
      </c>
      <c r="F372" s="1">
        <v>726</v>
      </c>
      <c r="G372">
        <v>1467</v>
      </c>
      <c r="H372">
        <f t="shared" si="11"/>
        <v>986</v>
      </c>
      <c r="I372">
        <v>279</v>
      </c>
      <c r="J372">
        <v>39</v>
      </c>
      <c r="K372">
        <v>163</v>
      </c>
      <c r="L372">
        <v>511</v>
      </c>
      <c r="M372">
        <v>57</v>
      </c>
      <c r="N372">
        <f t="shared" si="10"/>
        <v>3441</v>
      </c>
      <c r="O372">
        <v>698</v>
      </c>
      <c r="P372">
        <v>46</v>
      </c>
      <c r="Q372">
        <v>1103</v>
      </c>
      <c r="R372">
        <v>36</v>
      </c>
      <c r="S372">
        <v>39</v>
      </c>
      <c r="T372">
        <v>0</v>
      </c>
      <c r="U372">
        <v>52</v>
      </c>
      <c r="V372">
        <v>156</v>
      </c>
      <c r="W372">
        <v>59</v>
      </c>
      <c r="X372">
        <v>23</v>
      </c>
      <c r="Y372">
        <v>0.26800000000000002</v>
      </c>
      <c r="Z372">
        <v>0.33500000000000002</v>
      </c>
      <c r="AA372">
        <v>0.42199999999999999</v>
      </c>
    </row>
    <row r="373" spans="1:27" x14ac:dyDescent="0.2">
      <c r="A373" s="52">
        <v>2012</v>
      </c>
      <c r="B373" t="s">
        <v>63</v>
      </c>
      <c r="C373" t="s">
        <v>38</v>
      </c>
      <c r="D373">
        <v>162</v>
      </c>
      <c r="E373">
        <v>5407</v>
      </c>
      <c r="F373" s="1">
        <v>583</v>
      </c>
      <c r="G373">
        <v>1276</v>
      </c>
      <c r="H373">
        <f t="shared" si="11"/>
        <v>864</v>
      </c>
      <c r="I373">
        <v>238</v>
      </c>
      <c r="J373">
        <v>28</v>
      </c>
      <c r="K373">
        <v>146</v>
      </c>
      <c r="L373">
        <v>463</v>
      </c>
      <c r="M373">
        <v>58</v>
      </c>
      <c r="N373">
        <f t="shared" si="10"/>
        <v>3610</v>
      </c>
      <c r="O373">
        <v>545</v>
      </c>
      <c r="P373">
        <v>19</v>
      </c>
      <c r="Q373">
        <v>1365</v>
      </c>
      <c r="R373">
        <v>54</v>
      </c>
      <c r="S373">
        <v>30</v>
      </c>
      <c r="T373">
        <v>2</v>
      </c>
      <c r="U373">
        <v>77</v>
      </c>
      <c r="V373">
        <v>114</v>
      </c>
      <c r="W373">
        <v>105</v>
      </c>
      <c r="X373">
        <v>46</v>
      </c>
      <c r="Y373">
        <v>0.23599999999999999</v>
      </c>
      <c r="Z373">
        <v>0.30199999999999999</v>
      </c>
      <c r="AA373">
        <v>0.371</v>
      </c>
    </row>
    <row r="374" spans="1:27" x14ac:dyDescent="0.2">
      <c r="A374" s="52">
        <v>2012</v>
      </c>
      <c r="B374" t="s">
        <v>164</v>
      </c>
      <c r="C374" t="s">
        <v>163</v>
      </c>
      <c r="D374">
        <v>162</v>
      </c>
      <c r="E374">
        <v>5636</v>
      </c>
      <c r="F374" s="1">
        <v>676</v>
      </c>
      <c r="G374">
        <v>1492</v>
      </c>
      <c r="H374">
        <f t="shared" si="11"/>
        <v>1029</v>
      </c>
      <c r="I374">
        <v>295</v>
      </c>
      <c r="J374">
        <v>37</v>
      </c>
      <c r="K374">
        <v>131</v>
      </c>
      <c r="L374">
        <v>404</v>
      </c>
      <c r="M374">
        <v>42</v>
      </c>
      <c r="N374">
        <f t="shared" si="10"/>
        <v>3698</v>
      </c>
      <c r="O374">
        <v>643</v>
      </c>
      <c r="P374">
        <v>35</v>
      </c>
      <c r="Q374">
        <v>1032</v>
      </c>
      <c r="R374">
        <v>26</v>
      </c>
      <c r="S374">
        <v>41</v>
      </c>
      <c r="T374">
        <v>0</v>
      </c>
      <c r="U374">
        <v>49</v>
      </c>
      <c r="V374">
        <v>130</v>
      </c>
      <c r="W374">
        <v>132</v>
      </c>
      <c r="X374">
        <v>38</v>
      </c>
      <c r="Y374">
        <v>0.26500000000000001</v>
      </c>
      <c r="Z374">
        <v>0.317</v>
      </c>
      <c r="AA374">
        <v>0.4</v>
      </c>
    </row>
    <row r="375" spans="1:27" x14ac:dyDescent="0.2">
      <c r="A375" s="52">
        <v>2012</v>
      </c>
      <c r="B375" t="s">
        <v>159</v>
      </c>
      <c r="C375" t="s">
        <v>38</v>
      </c>
      <c r="D375">
        <v>162</v>
      </c>
      <c r="E375">
        <v>5438</v>
      </c>
      <c r="F375" s="1">
        <v>637</v>
      </c>
      <c r="G375">
        <v>1369</v>
      </c>
      <c r="H375">
        <f t="shared" si="11"/>
        <v>961</v>
      </c>
      <c r="I375">
        <v>269</v>
      </c>
      <c r="J375">
        <v>23</v>
      </c>
      <c r="K375">
        <v>116</v>
      </c>
      <c r="L375">
        <v>481</v>
      </c>
      <c r="M375">
        <v>52</v>
      </c>
      <c r="N375">
        <f t="shared" si="10"/>
        <v>3536</v>
      </c>
      <c r="O375">
        <v>607</v>
      </c>
      <c r="P375">
        <v>49</v>
      </c>
      <c r="Q375">
        <v>1156</v>
      </c>
      <c r="R375">
        <v>82</v>
      </c>
      <c r="S375">
        <v>38</v>
      </c>
      <c r="T375">
        <v>0</v>
      </c>
      <c r="U375">
        <v>73</v>
      </c>
      <c r="V375">
        <v>139</v>
      </c>
      <c r="W375">
        <v>104</v>
      </c>
      <c r="X375">
        <v>44</v>
      </c>
      <c r="Y375">
        <v>0.252</v>
      </c>
      <c r="Z375">
        <v>0.317</v>
      </c>
      <c r="AA375">
        <v>0.374</v>
      </c>
    </row>
    <row r="376" spans="1:27" x14ac:dyDescent="0.2">
      <c r="A376" s="52">
        <v>2012</v>
      </c>
      <c r="B376" t="s">
        <v>104</v>
      </c>
      <c r="C376" t="s">
        <v>38</v>
      </c>
      <c r="D376">
        <v>162</v>
      </c>
      <c r="E376">
        <v>5437</v>
      </c>
      <c r="F376" s="1">
        <v>609</v>
      </c>
      <c r="G376">
        <v>1327</v>
      </c>
      <c r="H376">
        <f t="shared" si="11"/>
        <v>890</v>
      </c>
      <c r="I376">
        <v>261</v>
      </c>
      <c r="J376">
        <v>39</v>
      </c>
      <c r="K376">
        <v>137</v>
      </c>
      <c r="L376">
        <v>484</v>
      </c>
      <c r="M376">
        <v>35</v>
      </c>
      <c r="N376">
        <f t="shared" si="10"/>
        <v>3591</v>
      </c>
      <c r="O376">
        <v>576</v>
      </c>
      <c r="P376">
        <v>46</v>
      </c>
      <c r="Q376">
        <v>1228</v>
      </c>
      <c r="R376">
        <v>60</v>
      </c>
      <c r="S376">
        <v>40</v>
      </c>
      <c r="T376">
        <v>1</v>
      </c>
      <c r="U376">
        <v>68</v>
      </c>
      <c r="V376">
        <v>114</v>
      </c>
      <c r="W376">
        <v>149</v>
      </c>
      <c r="X376">
        <v>41</v>
      </c>
      <c r="Y376">
        <v>0.24399999999999999</v>
      </c>
      <c r="Z376">
        <v>0.308</v>
      </c>
      <c r="AA376">
        <v>0.38200000000000001</v>
      </c>
    </row>
    <row r="377" spans="1:27" x14ac:dyDescent="0.2">
      <c r="A377" s="52">
        <v>2012</v>
      </c>
      <c r="B377" t="s">
        <v>69</v>
      </c>
      <c r="C377" t="s">
        <v>38</v>
      </c>
      <c r="D377">
        <v>162</v>
      </c>
      <c r="E377">
        <v>5557</v>
      </c>
      <c r="F377" s="1">
        <v>776</v>
      </c>
      <c r="G377">
        <v>1442</v>
      </c>
      <c r="H377">
        <f t="shared" si="11"/>
        <v>901</v>
      </c>
      <c r="I377">
        <v>300</v>
      </c>
      <c r="J377">
        <v>39</v>
      </c>
      <c r="K377">
        <v>202</v>
      </c>
      <c r="L377">
        <v>466</v>
      </c>
      <c r="M377">
        <v>90</v>
      </c>
      <c r="N377">
        <f t="shared" si="10"/>
        <v>3559</v>
      </c>
      <c r="O377">
        <v>741</v>
      </c>
      <c r="P377">
        <v>35</v>
      </c>
      <c r="Q377">
        <v>1240</v>
      </c>
      <c r="R377">
        <v>76</v>
      </c>
      <c r="S377">
        <v>35</v>
      </c>
      <c r="T377">
        <v>0</v>
      </c>
      <c r="U377">
        <v>77</v>
      </c>
      <c r="V377">
        <v>111</v>
      </c>
      <c r="W377">
        <v>158</v>
      </c>
      <c r="X377">
        <v>39</v>
      </c>
      <c r="Y377">
        <v>0.25900000000000001</v>
      </c>
      <c r="Z377">
        <v>0.32500000000000001</v>
      </c>
      <c r="AA377">
        <v>0.437</v>
      </c>
    </row>
    <row r="378" spans="1:27" x14ac:dyDescent="0.2">
      <c r="A378" s="52">
        <v>2012</v>
      </c>
      <c r="B378" t="s">
        <v>71</v>
      </c>
      <c r="C378" t="s">
        <v>163</v>
      </c>
      <c r="D378">
        <v>162</v>
      </c>
      <c r="E378">
        <v>5562</v>
      </c>
      <c r="F378" s="1">
        <v>701</v>
      </c>
      <c r="G378">
        <v>1448</v>
      </c>
      <c r="H378">
        <f t="shared" si="11"/>
        <v>1017</v>
      </c>
      <c r="I378">
        <v>270</v>
      </c>
      <c r="J378">
        <v>30</v>
      </c>
      <c r="K378">
        <v>131</v>
      </c>
      <c r="L378">
        <v>505</v>
      </c>
      <c r="M378">
        <v>53</v>
      </c>
      <c r="N378">
        <f t="shared" si="10"/>
        <v>3556</v>
      </c>
      <c r="O378">
        <v>666</v>
      </c>
      <c r="P378">
        <v>28</v>
      </c>
      <c r="Q378">
        <v>1069</v>
      </c>
      <c r="R378">
        <v>33</v>
      </c>
      <c r="S378">
        <v>56</v>
      </c>
      <c r="T378">
        <v>0</v>
      </c>
      <c r="U378">
        <v>77</v>
      </c>
      <c r="V378">
        <v>149</v>
      </c>
      <c r="W378">
        <v>135</v>
      </c>
      <c r="X378">
        <v>37</v>
      </c>
      <c r="Y378">
        <v>0.26</v>
      </c>
      <c r="Z378">
        <v>0.32500000000000001</v>
      </c>
      <c r="AA378">
        <v>0.39</v>
      </c>
    </row>
    <row r="379" spans="1:27" x14ac:dyDescent="0.2">
      <c r="A379" s="52">
        <v>2012</v>
      </c>
      <c r="B379" t="s">
        <v>158</v>
      </c>
      <c r="C379" t="s">
        <v>38</v>
      </c>
      <c r="D379">
        <v>162</v>
      </c>
      <c r="E379">
        <v>5450</v>
      </c>
      <c r="F379" s="1">
        <v>650</v>
      </c>
      <c r="G379">
        <v>1357</v>
      </c>
      <c r="H379">
        <f t="shared" si="11"/>
        <v>911</v>
      </c>
      <c r="I379">
        <v>286</v>
      </c>
      <c r="J379">
        <v>21</v>
      </c>
      <c r="K379">
        <v>139</v>
      </c>
      <c r="L379">
        <v>503</v>
      </c>
      <c r="M379">
        <v>42</v>
      </c>
      <c r="N379">
        <f t="shared" si="10"/>
        <v>3548</v>
      </c>
      <c r="O379">
        <v>625</v>
      </c>
      <c r="P379">
        <v>43</v>
      </c>
      <c r="Q379">
        <v>1250</v>
      </c>
      <c r="R379">
        <v>64</v>
      </c>
      <c r="S379">
        <v>30</v>
      </c>
      <c r="T379">
        <v>2</v>
      </c>
      <c r="U379">
        <v>65</v>
      </c>
      <c r="V379">
        <v>118</v>
      </c>
      <c r="W379">
        <v>79</v>
      </c>
      <c r="X379">
        <v>38</v>
      </c>
      <c r="Y379">
        <v>0.249</v>
      </c>
      <c r="Z379">
        <v>0.316</v>
      </c>
      <c r="AA379">
        <v>0.38600000000000001</v>
      </c>
    </row>
    <row r="380" spans="1:27" x14ac:dyDescent="0.2">
      <c r="A380" s="52">
        <v>2012</v>
      </c>
      <c r="B380" t="s">
        <v>158</v>
      </c>
      <c r="C380" t="s">
        <v>163</v>
      </c>
      <c r="D380">
        <v>162</v>
      </c>
      <c r="E380">
        <v>5524</v>
      </c>
      <c r="F380" s="1">
        <v>804</v>
      </c>
      <c r="G380">
        <v>1462</v>
      </c>
      <c r="H380">
        <f t="shared" si="11"/>
        <v>924</v>
      </c>
      <c r="I380">
        <v>280</v>
      </c>
      <c r="J380">
        <v>13</v>
      </c>
      <c r="K380">
        <v>245</v>
      </c>
      <c r="L380">
        <v>565</v>
      </c>
      <c r="M380">
        <v>62</v>
      </c>
      <c r="N380">
        <f t="shared" si="10"/>
        <v>3435</v>
      </c>
      <c r="O380">
        <v>774</v>
      </c>
      <c r="P380">
        <v>31</v>
      </c>
      <c r="Q380">
        <v>1176</v>
      </c>
      <c r="R380">
        <v>31</v>
      </c>
      <c r="S380">
        <v>49</v>
      </c>
      <c r="T380">
        <v>0</v>
      </c>
      <c r="U380">
        <v>62</v>
      </c>
      <c r="V380">
        <v>136</v>
      </c>
      <c r="W380">
        <v>93</v>
      </c>
      <c r="X380">
        <v>27</v>
      </c>
      <c r="Y380">
        <v>0.26500000000000001</v>
      </c>
      <c r="Z380">
        <v>0.33700000000000002</v>
      </c>
      <c r="AA380">
        <v>0.45300000000000001</v>
      </c>
    </row>
    <row r="381" spans="1:27" x14ac:dyDescent="0.2">
      <c r="A381" s="52">
        <v>2012</v>
      </c>
      <c r="B381" t="s">
        <v>79</v>
      </c>
      <c r="C381" t="s">
        <v>163</v>
      </c>
      <c r="D381">
        <v>162</v>
      </c>
      <c r="E381">
        <v>5527</v>
      </c>
      <c r="F381" s="1">
        <v>713</v>
      </c>
      <c r="G381">
        <v>1315</v>
      </c>
      <c r="H381">
        <f t="shared" si="11"/>
        <v>821</v>
      </c>
      <c r="I381">
        <v>267</v>
      </c>
      <c r="J381">
        <v>32</v>
      </c>
      <c r="K381">
        <v>195</v>
      </c>
      <c r="L381">
        <v>550</v>
      </c>
      <c r="M381">
        <v>45</v>
      </c>
      <c r="N381">
        <f t="shared" si="10"/>
        <v>3617</v>
      </c>
      <c r="O381">
        <v>676</v>
      </c>
      <c r="P381">
        <v>29</v>
      </c>
      <c r="Q381">
        <v>1387</v>
      </c>
      <c r="R381">
        <v>27</v>
      </c>
      <c r="S381">
        <v>34</v>
      </c>
      <c r="T381">
        <v>0</v>
      </c>
      <c r="U381">
        <v>57</v>
      </c>
      <c r="V381">
        <v>97</v>
      </c>
      <c r="W381">
        <v>122</v>
      </c>
      <c r="X381">
        <v>32</v>
      </c>
      <c r="Y381">
        <v>0.23799999999999999</v>
      </c>
      <c r="Z381">
        <v>0.31</v>
      </c>
      <c r="AA381">
        <v>0.40400000000000003</v>
      </c>
    </row>
    <row r="382" spans="1:27" x14ac:dyDescent="0.2">
      <c r="A382" s="52">
        <v>2012</v>
      </c>
      <c r="B382" t="s">
        <v>81</v>
      </c>
      <c r="C382" t="s">
        <v>38</v>
      </c>
      <c r="D382">
        <v>162</v>
      </c>
      <c r="E382">
        <v>5544</v>
      </c>
      <c r="F382" s="1">
        <v>684</v>
      </c>
      <c r="G382">
        <v>1414</v>
      </c>
      <c r="H382">
        <f t="shared" si="11"/>
        <v>957</v>
      </c>
      <c r="I382">
        <v>271</v>
      </c>
      <c r="J382">
        <v>28</v>
      </c>
      <c r="K382">
        <v>158</v>
      </c>
      <c r="L382">
        <v>454</v>
      </c>
      <c r="M382">
        <v>63</v>
      </c>
      <c r="N382">
        <f t="shared" si="10"/>
        <v>3613</v>
      </c>
      <c r="O382">
        <v>659</v>
      </c>
      <c r="P382">
        <v>41</v>
      </c>
      <c r="Q382">
        <v>1094</v>
      </c>
      <c r="R382">
        <v>72</v>
      </c>
      <c r="S382">
        <v>39</v>
      </c>
      <c r="T382">
        <v>0</v>
      </c>
      <c r="U382">
        <v>64</v>
      </c>
      <c r="V382">
        <v>114</v>
      </c>
      <c r="W382">
        <v>116</v>
      </c>
      <c r="X382">
        <v>23</v>
      </c>
      <c r="Y382">
        <v>0.255</v>
      </c>
      <c r="Z382">
        <v>0.317</v>
      </c>
      <c r="AA382">
        <v>0.4</v>
      </c>
    </row>
    <row r="383" spans="1:27" x14ac:dyDescent="0.2">
      <c r="A383" s="52">
        <v>2012</v>
      </c>
      <c r="B383" t="s">
        <v>83</v>
      </c>
      <c r="C383" t="s">
        <v>38</v>
      </c>
      <c r="D383">
        <v>162</v>
      </c>
      <c r="E383">
        <v>5412</v>
      </c>
      <c r="F383" s="1">
        <v>651</v>
      </c>
      <c r="G383">
        <v>1313</v>
      </c>
      <c r="H383">
        <f t="shared" si="11"/>
        <v>865</v>
      </c>
      <c r="I383">
        <v>241</v>
      </c>
      <c r="J383">
        <v>37</v>
      </c>
      <c r="K383">
        <v>170</v>
      </c>
      <c r="L383">
        <v>444</v>
      </c>
      <c r="M383">
        <v>51</v>
      </c>
      <c r="N383">
        <f t="shared" si="10"/>
        <v>3604</v>
      </c>
      <c r="O383">
        <v>620</v>
      </c>
      <c r="P383">
        <v>32</v>
      </c>
      <c r="Q383">
        <v>1354</v>
      </c>
      <c r="R383">
        <v>62</v>
      </c>
      <c r="S383">
        <v>45</v>
      </c>
      <c r="T383">
        <v>0</v>
      </c>
      <c r="U383">
        <v>79</v>
      </c>
      <c r="V383">
        <v>98</v>
      </c>
      <c r="W383">
        <v>73</v>
      </c>
      <c r="X383">
        <v>52</v>
      </c>
      <c r="Y383">
        <v>0.24299999999999999</v>
      </c>
      <c r="Z383">
        <v>0.30399999999999999</v>
      </c>
      <c r="AA383">
        <v>0.39500000000000002</v>
      </c>
    </row>
    <row r="384" spans="1:27" x14ac:dyDescent="0.2">
      <c r="A384" s="52">
        <v>2012</v>
      </c>
      <c r="B384" t="s">
        <v>161</v>
      </c>
      <c r="C384" t="s">
        <v>38</v>
      </c>
      <c r="D384">
        <v>162</v>
      </c>
      <c r="E384">
        <v>5422</v>
      </c>
      <c r="F384" s="1">
        <v>651</v>
      </c>
      <c r="G384">
        <v>1339</v>
      </c>
      <c r="H384">
        <f t="shared" si="11"/>
        <v>903</v>
      </c>
      <c r="I384">
        <v>272</v>
      </c>
      <c r="J384">
        <v>43</v>
      </c>
      <c r="K384">
        <v>121</v>
      </c>
      <c r="L384">
        <v>539</v>
      </c>
      <c r="M384">
        <v>54</v>
      </c>
      <c r="N384">
        <f t="shared" si="10"/>
        <v>3490</v>
      </c>
      <c r="O384">
        <v>610</v>
      </c>
      <c r="P384">
        <v>36</v>
      </c>
      <c r="Q384">
        <v>1238</v>
      </c>
      <c r="R384">
        <v>63</v>
      </c>
      <c r="S384">
        <v>34</v>
      </c>
      <c r="T384">
        <v>0</v>
      </c>
      <c r="U384">
        <v>70</v>
      </c>
      <c r="V384">
        <v>100</v>
      </c>
      <c r="W384">
        <v>155</v>
      </c>
      <c r="X384">
        <v>46</v>
      </c>
      <c r="Y384">
        <v>0.247</v>
      </c>
      <c r="Z384">
        <v>0.31900000000000001</v>
      </c>
      <c r="AA384">
        <v>0.38</v>
      </c>
    </row>
    <row r="385" spans="1:27" x14ac:dyDescent="0.2">
      <c r="A385" s="52">
        <v>2012</v>
      </c>
      <c r="B385" t="s">
        <v>87</v>
      </c>
      <c r="C385" t="s">
        <v>163</v>
      </c>
      <c r="D385">
        <v>162</v>
      </c>
      <c r="E385">
        <v>5494</v>
      </c>
      <c r="F385" s="1">
        <v>619</v>
      </c>
      <c r="G385">
        <v>1285</v>
      </c>
      <c r="H385">
        <f t="shared" si="11"/>
        <v>868</v>
      </c>
      <c r="I385">
        <v>241</v>
      </c>
      <c r="J385">
        <v>27</v>
      </c>
      <c r="K385">
        <v>149</v>
      </c>
      <c r="L385">
        <v>466</v>
      </c>
      <c r="M385">
        <v>30</v>
      </c>
      <c r="N385">
        <f t="shared" si="10"/>
        <v>3713</v>
      </c>
      <c r="O385">
        <v>584</v>
      </c>
      <c r="P385">
        <v>21</v>
      </c>
      <c r="Q385">
        <v>1259</v>
      </c>
      <c r="R385">
        <v>32</v>
      </c>
      <c r="S385">
        <v>35</v>
      </c>
      <c r="T385">
        <v>0</v>
      </c>
      <c r="U385">
        <v>68</v>
      </c>
      <c r="V385">
        <v>95</v>
      </c>
      <c r="W385">
        <v>104</v>
      </c>
      <c r="X385">
        <v>35</v>
      </c>
      <c r="Y385">
        <v>0.23400000000000001</v>
      </c>
      <c r="Z385">
        <v>0.29599999999999999</v>
      </c>
      <c r="AA385">
        <v>0.36899999999999999</v>
      </c>
    </row>
    <row r="386" spans="1:27" x14ac:dyDescent="0.2">
      <c r="A386" s="52">
        <v>2012</v>
      </c>
      <c r="B386" t="s">
        <v>21</v>
      </c>
      <c r="C386" t="s">
        <v>38</v>
      </c>
      <c r="D386">
        <v>162</v>
      </c>
      <c r="E386">
        <v>5558</v>
      </c>
      <c r="F386" s="1">
        <v>718</v>
      </c>
      <c r="G386">
        <v>1495</v>
      </c>
      <c r="H386">
        <f t="shared" si="11"/>
        <v>1048</v>
      </c>
      <c r="I386">
        <v>287</v>
      </c>
      <c r="J386">
        <v>57</v>
      </c>
      <c r="K386">
        <v>103</v>
      </c>
      <c r="L386">
        <v>483</v>
      </c>
      <c r="M386">
        <v>29</v>
      </c>
      <c r="N386">
        <f t="shared" ref="N386:N449" si="12">E386-(G386+L386+M386)</f>
        <v>3551</v>
      </c>
      <c r="O386">
        <v>675</v>
      </c>
      <c r="P386">
        <v>44</v>
      </c>
      <c r="Q386">
        <v>1097</v>
      </c>
      <c r="R386">
        <v>69</v>
      </c>
      <c r="S386">
        <v>61</v>
      </c>
      <c r="T386">
        <v>0</v>
      </c>
      <c r="U386">
        <v>75</v>
      </c>
      <c r="V386">
        <v>114</v>
      </c>
      <c r="W386">
        <v>118</v>
      </c>
      <c r="X386">
        <v>39</v>
      </c>
      <c r="Y386">
        <v>0.26900000000000002</v>
      </c>
      <c r="Z386">
        <v>0.32700000000000001</v>
      </c>
      <c r="AA386">
        <v>0.39700000000000002</v>
      </c>
    </row>
    <row r="387" spans="1:27" x14ac:dyDescent="0.2">
      <c r="A387" s="52">
        <v>2012</v>
      </c>
      <c r="B387" t="s">
        <v>156</v>
      </c>
      <c r="C387" t="s">
        <v>38</v>
      </c>
      <c r="D387">
        <v>162</v>
      </c>
      <c r="E387">
        <v>5622</v>
      </c>
      <c r="F387" s="1">
        <v>765</v>
      </c>
      <c r="G387">
        <v>1526</v>
      </c>
      <c r="H387">
        <f t="shared" ref="H387:H450" si="13">G387-(I387+J387+K387)</f>
        <v>1040</v>
      </c>
      <c r="I387">
        <v>290</v>
      </c>
      <c r="J387">
        <v>37</v>
      </c>
      <c r="K387">
        <v>159</v>
      </c>
      <c r="L387">
        <v>533</v>
      </c>
      <c r="M387">
        <v>53</v>
      </c>
      <c r="N387">
        <f t="shared" si="12"/>
        <v>3510</v>
      </c>
      <c r="O387">
        <v>732</v>
      </c>
      <c r="P387">
        <v>45</v>
      </c>
      <c r="Q387">
        <v>1192</v>
      </c>
      <c r="R387">
        <v>69</v>
      </c>
      <c r="S387">
        <v>49</v>
      </c>
      <c r="T387">
        <v>0</v>
      </c>
      <c r="U387">
        <v>73</v>
      </c>
      <c r="V387">
        <v>135</v>
      </c>
      <c r="W387">
        <v>91</v>
      </c>
      <c r="X387">
        <v>37</v>
      </c>
      <c r="Y387">
        <v>0.27100000000000002</v>
      </c>
      <c r="Z387">
        <v>0.33800000000000002</v>
      </c>
      <c r="AA387">
        <v>0.42099999999999999</v>
      </c>
    </row>
    <row r="388" spans="1:27" x14ac:dyDescent="0.2">
      <c r="A388" s="52">
        <v>2012</v>
      </c>
      <c r="B388" t="s">
        <v>165</v>
      </c>
      <c r="C388" t="s">
        <v>163</v>
      </c>
      <c r="D388">
        <v>162</v>
      </c>
      <c r="E388">
        <v>5398</v>
      </c>
      <c r="F388" s="1">
        <v>697</v>
      </c>
      <c r="G388">
        <v>1293</v>
      </c>
      <c r="H388">
        <f t="shared" si="13"/>
        <v>838</v>
      </c>
      <c r="I388">
        <v>250</v>
      </c>
      <c r="J388">
        <v>30</v>
      </c>
      <c r="K388">
        <v>175</v>
      </c>
      <c r="L388">
        <v>571</v>
      </c>
      <c r="M388">
        <v>58</v>
      </c>
      <c r="N388">
        <f t="shared" si="12"/>
        <v>3476</v>
      </c>
      <c r="O388">
        <v>665</v>
      </c>
      <c r="P388">
        <v>26</v>
      </c>
      <c r="Q388">
        <v>1323</v>
      </c>
      <c r="R388">
        <v>34</v>
      </c>
      <c r="S388">
        <v>42</v>
      </c>
      <c r="T388">
        <v>2</v>
      </c>
      <c r="U388">
        <v>58</v>
      </c>
      <c r="V388">
        <v>133</v>
      </c>
      <c r="W388">
        <v>134</v>
      </c>
      <c r="X388">
        <v>44</v>
      </c>
      <c r="Y388">
        <v>0.24</v>
      </c>
      <c r="Z388">
        <v>0.317</v>
      </c>
      <c r="AA388">
        <v>0.39400000000000002</v>
      </c>
    </row>
    <row r="389" spans="1:27" x14ac:dyDescent="0.2">
      <c r="A389" s="52">
        <v>2012</v>
      </c>
      <c r="B389" t="s">
        <v>95</v>
      </c>
      <c r="C389" t="s">
        <v>163</v>
      </c>
      <c r="D389">
        <v>162</v>
      </c>
      <c r="E389">
        <v>5590</v>
      </c>
      <c r="F389" s="1">
        <v>808</v>
      </c>
      <c r="G389">
        <v>1526</v>
      </c>
      <c r="H389">
        <f t="shared" si="13"/>
        <v>991</v>
      </c>
      <c r="I389">
        <v>303</v>
      </c>
      <c r="J389">
        <v>32</v>
      </c>
      <c r="K389">
        <v>200</v>
      </c>
      <c r="L389">
        <v>478</v>
      </c>
      <c r="M389">
        <v>57</v>
      </c>
      <c r="N389">
        <f t="shared" si="12"/>
        <v>3529</v>
      </c>
      <c r="O389">
        <v>780</v>
      </c>
      <c r="P389">
        <v>44</v>
      </c>
      <c r="Q389">
        <v>1103</v>
      </c>
      <c r="R389">
        <v>36</v>
      </c>
      <c r="S389">
        <v>53</v>
      </c>
      <c r="T389">
        <v>2</v>
      </c>
      <c r="U389">
        <v>82</v>
      </c>
      <c r="V389">
        <v>121</v>
      </c>
      <c r="W389">
        <v>91</v>
      </c>
      <c r="X389">
        <v>44</v>
      </c>
      <c r="Y389">
        <v>0.27300000000000002</v>
      </c>
      <c r="Z389">
        <v>0.33400000000000002</v>
      </c>
      <c r="AA389">
        <v>0.44600000000000001</v>
      </c>
    </row>
    <row r="390" spans="1:27" x14ac:dyDescent="0.2">
      <c r="A390" s="52">
        <v>2012</v>
      </c>
      <c r="B390" t="s">
        <v>97</v>
      </c>
      <c r="C390" t="s">
        <v>163</v>
      </c>
      <c r="D390">
        <v>162</v>
      </c>
      <c r="E390">
        <v>5487</v>
      </c>
      <c r="F390" s="1">
        <v>716</v>
      </c>
      <c r="G390">
        <v>1346</v>
      </c>
      <c r="H390">
        <f t="shared" si="13"/>
        <v>879</v>
      </c>
      <c r="I390">
        <v>247</v>
      </c>
      <c r="J390">
        <v>22</v>
      </c>
      <c r="K390">
        <v>198</v>
      </c>
      <c r="L390">
        <v>473</v>
      </c>
      <c r="M390">
        <v>55</v>
      </c>
      <c r="N390">
        <f t="shared" si="12"/>
        <v>3613</v>
      </c>
      <c r="O390">
        <v>677</v>
      </c>
      <c r="P390">
        <v>29</v>
      </c>
      <c r="Q390">
        <v>1251</v>
      </c>
      <c r="R390">
        <v>33</v>
      </c>
      <c r="S390">
        <v>45</v>
      </c>
      <c r="T390">
        <v>1</v>
      </c>
      <c r="U390">
        <v>76</v>
      </c>
      <c r="V390">
        <v>109</v>
      </c>
      <c r="W390">
        <v>123</v>
      </c>
      <c r="X390">
        <v>41</v>
      </c>
      <c r="Y390">
        <v>0.245</v>
      </c>
      <c r="Z390">
        <v>0.309</v>
      </c>
      <c r="AA390">
        <v>0.40699999999999997</v>
      </c>
    </row>
    <row r="391" spans="1:27" x14ac:dyDescent="0.2">
      <c r="A391" s="52">
        <v>2012</v>
      </c>
      <c r="B391" t="s">
        <v>101</v>
      </c>
      <c r="C391" t="s">
        <v>38</v>
      </c>
      <c r="D391">
        <v>162</v>
      </c>
      <c r="E391">
        <v>5615</v>
      </c>
      <c r="F391" s="1">
        <v>731</v>
      </c>
      <c r="G391">
        <v>1468</v>
      </c>
      <c r="H391">
        <f t="shared" si="13"/>
        <v>948</v>
      </c>
      <c r="I391">
        <v>301</v>
      </c>
      <c r="J391">
        <v>25</v>
      </c>
      <c r="K391">
        <v>194</v>
      </c>
      <c r="L391">
        <v>479</v>
      </c>
      <c r="M391">
        <v>41</v>
      </c>
      <c r="N391">
        <f t="shared" si="12"/>
        <v>3627</v>
      </c>
      <c r="O391">
        <v>688</v>
      </c>
      <c r="P391">
        <v>43</v>
      </c>
      <c r="Q391">
        <v>1325</v>
      </c>
      <c r="R391">
        <v>50</v>
      </c>
      <c r="S391">
        <v>36</v>
      </c>
      <c r="T391">
        <v>0</v>
      </c>
      <c r="U391">
        <v>66</v>
      </c>
      <c r="V391">
        <v>110</v>
      </c>
      <c r="W391">
        <v>105</v>
      </c>
      <c r="X391">
        <v>35</v>
      </c>
      <c r="Y391">
        <v>0.26100000000000001</v>
      </c>
      <c r="Z391">
        <v>0.32200000000000001</v>
      </c>
      <c r="AA391">
        <v>0.42799999999999999</v>
      </c>
    </row>
    <row r="392" spans="1:27" x14ac:dyDescent="0.2">
      <c r="A392" s="52">
        <v>2013</v>
      </c>
      <c r="B392" t="s">
        <v>37</v>
      </c>
      <c r="C392" t="s">
        <v>163</v>
      </c>
      <c r="D392">
        <v>162</v>
      </c>
      <c r="E392">
        <v>5588</v>
      </c>
      <c r="F392" s="1">
        <v>733</v>
      </c>
      <c r="G392">
        <v>1476</v>
      </c>
      <c r="H392">
        <f t="shared" si="13"/>
        <v>1003</v>
      </c>
      <c r="I392">
        <v>270</v>
      </c>
      <c r="J392">
        <v>39</v>
      </c>
      <c r="K392">
        <v>164</v>
      </c>
      <c r="L392">
        <v>523</v>
      </c>
      <c r="M392">
        <v>48</v>
      </c>
      <c r="N392">
        <f t="shared" si="12"/>
        <v>3541</v>
      </c>
      <c r="O392">
        <v>696</v>
      </c>
      <c r="P392">
        <v>40</v>
      </c>
      <c r="Q392">
        <v>1221</v>
      </c>
      <c r="R392">
        <v>37</v>
      </c>
      <c r="S392">
        <v>64</v>
      </c>
      <c r="T392">
        <v>0</v>
      </c>
      <c r="U392">
        <v>70</v>
      </c>
      <c r="V392">
        <v>150</v>
      </c>
      <c r="W392">
        <v>82</v>
      </c>
      <c r="X392">
        <v>34</v>
      </c>
      <c r="Y392">
        <v>0.26400000000000001</v>
      </c>
      <c r="Z392">
        <v>0.32900000000000001</v>
      </c>
      <c r="AA392">
        <v>0.41399999999999998</v>
      </c>
    </row>
    <row r="393" spans="1:27" x14ac:dyDescent="0.2">
      <c r="A393" s="52">
        <v>2013</v>
      </c>
      <c r="B393" t="s">
        <v>40</v>
      </c>
      <c r="C393" t="s">
        <v>38</v>
      </c>
      <c r="D393">
        <v>162</v>
      </c>
      <c r="E393">
        <v>5676</v>
      </c>
      <c r="F393" s="1">
        <v>685</v>
      </c>
      <c r="G393">
        <v>1468</v>
      </c>
      <c r="H393">
        <f t="shared" si="13"/>
        <v>1005</v>
      </c>
      <c r="I393">
        <v>302</v>
      </c>
      <c r="J393">
        <v>31</v>
      </c>
      <c r="K393">
        <v>130</v>
      </c>
      <c r="L393">
        <v>519</v>
      </c>
      <c r="M393">
        <v>43</v>
      </c>
      <c r="N393">
        <f t="shared" si="12"/>
        <v>3646</v>
      </c>
      <c r="O393">
        <v>647</v>
      </c>
      <c r="P393">
        <v>51</v>
      </c>
      <c r="Q393">
        <v>1142</v>
      </c>
      <c r="R393">
        <v>50</v>
      </c>
      <c r="S393">
        <v>43</v>
      </c>
      <c r="T393">
        <v>3</v>
      </c>
      <c r="U393">
        <v>56</v>
      </c>
      <c r="V393">
        <v>160</v>
      </c>
      <c r="W393">
        <v>62</v>
      </c>
      <c r="X393">
        <v>41</v>
      </c>
      <c r="Y393">
        <v>0.25900000000000001</v>
      </c>
      <c r="Z393">
        <v>0.32300000000000001</v>
      </c>
      <c r="AA393">
        <v>0.39100000000000001</v>
      </c>
    </row>
    <row r="394" spans="1:27" x14ac:dyDescent="0.2">
      <c r="A394" s="52">
        <v>2013</v>
      </c>
      <c r="B394" t="s">
        <v>42</v>
      </c>
      <c r="C394" t="s">
        <v>38</v>
      </c>
      <c r="D394">
        <v>162</v>
      </c>
      <c r="E394">
        <v>5441</v>
      </c>
      <c r="F394" s="1">
        <v>688</v>
      </c>
      <c r="G394">
        <v>1354</v>
      </c>
      <c r="H394">
        <f t="shared" si="13"/>
        <v>905</v>
      </c>
      <c r="I394">
        <v>247</v>
      </c>
      <c r="J394">
        <v>21</v>
      </c>
      <c r="K394">
        <v>181</v>
      </c>
      <c r="L394">
        <v>542</v>
      </c>
      <c r="M394">
        <v>55</v>
      </c>
      <c r="N394">
        <f t="shared" si="12"/>
        <v>3490</v>
      </c>
      <c r="O394">
        <v>656</v>
      </c>
      <c r="P394">
        <v>36</v>
      </c>
      <c r="Q394">
        <v>1384</v>
      </c>
      <c r="R394">
        <v>58</v>
      </c>
      <c r="S394">
        <v>35</v>
      </c>
      <c r="T394">
        <v>2</v>
      </c>
      <c r="U394">
        <v>67</v>
      </c>
      <c r="V394">
        <v>119</v>
      </c>
      <c r="W394">
        <v>64</v>
      </c>
      <c r="X394">
        <v>31</v>
      </c>
      <c r="Y394">
        <v>0.249</v>
      </c>
      <c r="Z394">
        <v>0.32100000000000001</v>
      </c>
      <c r="AA394">
        <v>0.40200000000000002</v>
      </c>
    </row>
    <row r="395" spans="1:27" x14ac:dyDescent="0.2">
      <c r="A395" s="52">
        <v>2013</v>
      </c>
      <c r="B395" t="s">
        <v>45</v>
      </c>
      <c r="C395" t="s">
        <v>163</v>
      </c>
      <c r="D395">
        <v>162</v>
      </c>
      <c r="E395">
        <v>5620</v>
      </c>
      <c r="F395" s="1">
        <v>745</v>
      </c>
      <c r="G395">
        <v>1460</v>
      </c>
      <c r="H395">
        <f t="shared" si="13"/>
        <v>936</v>
      </c>
      <c r="I395">
        <v>298</v>
      </c>
      <c r="J395">
        <v>14</v>
      </c>
      <c r="K395">
        <v>212</v>
      </c>
      <c r="L395">
        <v>416</v>
      </c>
      <c r="M395">
        <v>36</v>
      </c>
      <c r="N395">
        <f t="shared" si="12"/>
        <v>3708</v>
      </c>
      <c r="O395">
        <v>719</v>
      </c>
      <c r="P395">
        <v>36</v>
      </c>
      <c r="Q395">
        <v>1125</v>
      </c>
      <c r="R395">
        <v>27</v>
      </c>
      <c r="S395">
        <v>45</v>
      </c>
      <c r="T395">
        <v>0</v>
      </c>
      <c r="U395">
        <v>60</v>
      </c>
      <c r="V395">
        <v>105</v>
      </c>
      <c r="W395">
        <v>79</v>
      </c>
      <c r="X395">
        <v>29</v>
      </c>
      <c r="Y395">
        <v>0.26</v>
      </c>
      <c r="Z395">
        <v>0.313</v>
      </c>
      <c r="AA395">
        <v>0.43099999999999999</v>
      </c>
    </row>
    <row r="396" spans="1:27" x14ac:dyDescent="0.2">
      <c r="A396" s="52">
        <v>2013</v>
      </c>
      <c r="B396" t="s">
        <v>47</v>
      </c>
      <c r="C396" t="s">
        <v>163</v>
      </c>
      <c r="D396">
        <v>162</v>
      </c>
      <c r="E396">
        <v>5651</v>
      </c>
      <c r="F396" s="1">
        <v>853</v>
      </c>
      <c r="G396">
        <v>1566</v>
      </c>
      <c r="H396">
        <f t="shared" si="13"/>
        <v>996</v>
      </c>
      <c r="I396">
        <v>363</v>
      </c>
      <c r="J396">
        <v>29</v>
      </c>
      <c r="K396">
        <v>178</v>
      </c>
      <c r="L396">
        <v>581</v>
      </c>
      <c r="M396">
        <v>72</v>
      </c>
      <c r="N396">
        <f t="shared" si="12"/>
        <v>3432</v>
      </c>
      <c r="O396">
        <v>819</v>
      </c>
      <c r="P396">
        <v>51</v>
      </c>
      <c r="Q396">
        <v>1308</v>
      </c>
      <c r="R396">
        <v>24</v>
      </c>
      <c r="S396">
        <v>50</v>
      </c>
      <c r="T396">
        <v>4</v>
      </c>
      <c r="U396">
        <v>57</v>
      </c>
      <c r="V396">
        <v>137</v>
      </c>
      <c r="W396">
        <v>123</v>
      </c>
      <c r="X396">
        <v>19</v>
      </c>
      <c r="Y396">
        <v>0.27700000000000002</v>
      </c>
      <c r="Z396">
        <v>0.34899999999999998</v>
      </c>
      <c r="AA396">
        <v>0.44600000000000001</v>
      </c>
    </row>
    <row r="397" spans="1:27" x14ac:dyDescent="0.2">
      <c r="A397" s="52">
        <v>2013</v>
      </c>
      <c r="B397" t="s">
        <v>157</v>
      </c>
      <c r="C397" t="s">
        <v>38</v>
      </c>
      <c r="D397">
        <v>162</v>
      </c>
      <c r="E397">
        <v>5498</v>
      </c>
      <c r="F397" s="1">
        <v>602</v>
      </c>
      <c r="G397">
        <v>1307</v>
      </c>
      <c r="H397">
        <f t="shared" si="13"/>
        <v>820</v>
      </c>
      <c r="I397">
        <v>297</v>
      </c>
      <c r="J397">
        <v>18</v>
      </c>
      <c r="K397">
        <v>172</v>
      </c>
      <c r="L397">
        <v>439</v>
      </c>
      <c r="M397">
        <v>67</v>
      </c>
      <c r="N397">
        <f t="shared" si="12"/>
        <v>3685</v>
      </c>
      <c r="O397">
        <v>576</v>
      </c>
      <c r="P397">
        <v>28</v>
      </c>
      <c r="Q397">
        <v>1230</v>
      </c>
      <c r="R397">
        <v>43</v>
      </c>
      <c r="S397">
        <v>30</v>
      </c>
      <c r="T397">
        <v>2</v>
      </c>
      <c r="U397">
        <v>79</v>
      </c>
      <c r="V397">
        <v>120</v>
      </c>
      <c r="W397">
        <v>63</v>
      </c>
      <c r="X397">
        <v>32</v>
      </c>
      <c r="Y397">
        <v>0.23799999999999999</v>
      </c>
      <c r="Z397">
        <v>0.3</v>
      </c>
      <c r="AA397">
        <v>0.39200000000000002</v>
      </c>
    </row>
    <row r="398" spans="1:27" x14ac:dyDescent="0.2">
      <c r="A398" s="52">
        <v>2013</v>
      </c>
      <c r="B398" t="s">
        <v>157</v>
      </c>
      <c r="C398" t="s">
        <v>163</v>
      </c>
      <c r="D398">
        <v>162</v>
      </c>
      <c r="E398">
        <v>5563</v>
      </c>
      <c r="F398" s="1">
        <v>598</v>
      </c>
      <c r="G398">
        <v>1385</v>
      </c>
      <c r="H398">
        <f t="shared" si="13"/>
        <v>981</v>
      </c>
      <c r="I398">
        <v>237</v>
      </c>
      <c r="J398">
        <v>19</v>
      </c>
      <c r="K398">
        <v>148</v>
      </c>
      <c r="L398">
        <v>411</v>
      </c>
      <c r="M398">
        <v>34</v>
      </c>
      <c r="N398">
        <f t="shared" si="12"/>
        <v>3733</v>
      </c>
      <c r="O398">
        <v>574</v>
      </c>
      <c r="P398">
        <v>23</v>
      </c>
      <c r="Q398">
        <v>1207</v>
      </c>
      <c r="R398">
        <v>19</v>
      </c>
      <c r="S398">
        <v>48</v>
      </c>
      <c r="T398">
        <v>2</v>
      </c>
      <c r="U398">
        <v>53</v>
      </c>
      <c r="V398">
        <v>124</v>
      </c>
      <c r="W398">
        <v>105</v>
      </c>
      <c r="X398">
        <v>42</v>
      </c>
      <c r="Y398">
        <v>0.249</v>
      </c>
      <c r="Z398">
        <v>0.30199999999999999</v>
      </c>
      <c r="AA398">
        <v>0.378</v>
      </c>
    </row>
    <row r="399" spans="1:27" x14ac:dyDescent="0.2">
      <c r="A399" s="52">
        <v>2013</v>
      </c>
      <c r="B399" t="s">
        <v>53</v>
      </c>
      <c r="C399" t="s">
        <v>38</v>
      </c>
      <c r="D399">
        <v>162</v>
      </c>
      <c r="E399">
        <v>5499</v>
      </c>
      <c r="F399" s="1">
        <v>698</v>
      </c>
      <c r="G399">
        <v>1370</v>
      </c>
      <c r="H399">
        <f t="shared" si="13"/>
        <v>921</v>
      </c>
      <c r="I399">
        <v>274</v>
      </c>
      <c r="J399">
        <v>20</v>
      </c>
      <c r="K399">
        <v>155</v>
      </c>
      <c r="L399">
        <v>585</v>
      </c>
      <c r="M399">
        <v>76</v>
      </c>
      <c r="N399">
        <f t="shared" si="12"/>
        <v>3468</v>
      </c>
      <c r="O399">
        <v>664</v>
      </c>
      <c r="P399">
        <v>65</v>
      </c>
      <c r="Q399">
        <v>1245</v>
      </c>
      <c r="R399">
        <v>85</v>
      </c>
      <c r="S399">
        <v>46</v>
      </c>
      <c r="T399">
        <v>2</v>
      </c>
      <c r="U399">
        <v>73</v>
      </c>
      <c r="V399">
        <v>129</v>
      </c>
      <c r="W399">
        <v>67</v>
      </c>
      <c r="X399">
        <v>35</v>
      </c>
      <c r="Y399">
        <v>0.249</v>
      </c>
      <c r="Z399">
        <v>0.32700000000000001</v>
      </c>
      <c r="AA399">
        <v>0.39100000000000001</v>
      </c>
    </row>
    <row r="400" spans="1:27" x14ac:dyDescent="0.2">
      <c r="A400" s="52">
        <v>2013</v>
      </c>
      <c r="B400" t="s">
        <v>55</v>
      </c>
      <c r="C400" t="s">
        <v>163</v>
      </c>
      <c r="D400">
        <v>162</v>
      </c>
      <c r="E400">
        <v>5465</v>
      </c>
      <c r="F400" s="1">
        <v>745</v>
      </c>
      <c r="G400">
        <v>1391</v>
      </c>
      <c r="H400">
        <f t="shared" si="13"/>
        <v>907</v>
      </c>
      <c r="I400">
        <v>290</v>
      </c>
      <c r="J400">
        <v>23</v>
      </c>
      <c r="K400">
        <v>171</v>
      </c>
      <c r="L400">
        <v>562</v>
      </c>
      <c r="M400">
        <v>51</v>
      </c>
      <c r="N400">
        <f t="shared" si="12"/>
        <v>3461</v>
      </c>
      <c r="O400">
        <v>711</v>
      </c>
      <c r="P400">
        <v>19</v>
      </c>
      <c r="Q400">
        <v>1283</v>
      </c>
      <c r="R400">
        <v>31</v>
      </c>
      <c r="S400">
        <v>56</v>
      </c>
      <c r="T400">
        <v>0</v>
      </c>
      <c r="U400">
        <v>57</v>
      </c>
      <c r="V400">
        <v>106</v>
      </c>
      <c r="W400">
        <v>117</v>
      </c>
      <c r="X400">
        <v>36</v>
      </c>
      <c r="Y400">
        <v>0.255</v>
      </c>
      <c r="Z400">
        <v>0.32700000000000001</v>
      </c>
      <c r="AA400">
        <v>0.41</v>
      </c>
    </row>
    <row r="401" spans="1:27" x14ac:dyDescent="0.2">
      <c r="A401" s="52">
        <v>2013</v>
      </c>
      <c r="B401" t="s">
        <v>57</v>
      </c>
      <c r="C401" t="s">
        <v>38</v>
      </c>
      <c r="D401">
        <v>162</v>
      </c>
      <c r="E401">
        <v>5599</v>
      </c>
      <c r="F401" s="1">
        <v>706</v>
      </c>
      <c r="G401">
        <v>1511</v>
      </c>
      <c r="H401">
        <f t="shared" si="13"/>
        <v>1033</v>
      </c>
      <c r="I401">
        <v>283</v>
      </c>
      <c r="J401">
        <v>36</v>
      </c>
      <c r="K401">
        <v>159</v>
      </c>
      <c r="L401">
        <v>427</v>
      </c>
      <c r="M401">
        <v>26</v>
      </c>
      <c r="N401">
        <f t="shared" si="12"/>
        <v>3635</v>
      </c>
      <c r="O401">
        <v>673</v>
      </c>
      <c r="P401">
        <v>26</v>
      </c>
      <c r="Q401">
        <v>1204</v>
      </c>
      <c r="R401">
        <v>65</v>
      </c>
      <c r="S401">
        <v>35</v>
      </c>
      <c r="T401">
        <v>0</v>
      </c>
      <c r="U401">
        <v>57</v>
      </c>
      <c r="V401">
        <v>111</v>
      </c>
      <c r="W401">
        <v>112</v>
      </c>
      <c r="X401">
        <v>32</v>
      </c>
      <c r="Y401">
        <v>0.27</v>
      </c>
      <c r="Z401">
        <v>0.32300000000000001</v>
      </c>
      <c r="AA401">
        <v>0.41799999999999998</v>
      </c>
    </row>
    <row r="402" spans="1:27" x14ac:dyDescent="0.2">
      <c r="A402" s="52">
        <v>2013</v>
      </c>
      <c r="B402" t="s">
        <v>59</v>
      </c>
      <c r="C402" t="s">
        <v>163</v>
      </c>
      <c r="D402">
        <v>162</v>
      </c>
      <c r="E402">
        <v>5735</v>
      </c>
      <c r="F402" s="1">
        <v>796</v>
      </c>
      <c r="G402">
        <v>1625</v>
      </c>
      <c r="H402">
        <f t="shared" si="13"/>
        <v>1134</v>
      </c>
      <c r="I402">
        <v>292</v>
      </c>
      <c r="J402">
        <v>23</v>
      </c>
      <c r="K402">
        <v>176</v>
      </c>
      <c r="L402">
        <v>531</v>
      </c>
      <c r="M402">
        <v>43</v>
      </c>
      <c r="N402">
        <f t="shared" si="12"/>
        <v>3536</v>
      </c>
      <c r="O402">
        <v>767</v>
      </c>
      <c r="P402">
        <v>40</v>
      </c>
      <c r="Q402">
        <v>1073</v>
      </c>
      <c r="R402">
        <v>32</v>
      </c>
      <c r="S402">
        <v>47</v>
      </c>
      <c r="T402">
        <v>0</v>
      </c>
      <c r="U402">
        <v>60</v>
      </c>
      <c r="V402">
        <v>146</v>
      </c>
      <c r="W402">
        <v>35</v>
      </c>
      <c r="X402">
        <v>20</v>
      </c>
      <c r="Y402">
        <v>0.28299999999999997</v>
      </c>
      <c r="Z402">
        <v>0.34599999999999997</v>
      </c>
      <c r="AA402">
        <v>0.434</v>
      </c>
    </row>
    <row r="403" spans="1:27" x14ac:dyDescent="0.2">
      <c r="A403" s="52">
        <v>2013</v>
      </c>
      <c r="B403" t="s">
        <v>63</v>
      </c>
      <c r="C403" t="s">
        <v>163</v>
      </c>
      <c r="D403">
        <v>162</v>
      </c>
      <c r="E403">
        <v>5457</v>
      </c>
      <c r="F403" s="1">
        <v>610</v>
      </c>
      <c r="G403">
        <v>1307</v>
      </c>
      <c r="H403">
        <f t="shared" si="13"/>
        <v>877</v>
      </c>
      <c r="I403">
        <v>266</v>
      </c>
      <c r="J403">
        <v>16</v>
      </c>
      <c r="K403">
        <v>148</v>
      </c>
      <c r="L403">
        <v>426</v>
      </c>
      <c r="M403">
        <v>52</v>
      </c>
      <c r="N403">
        <f t="shared" si="12"/>
        <v>3672</v>
      </c>
      <c r="O403">
        <v>566</v>
      </c>
      <c r="P403">
        <v>17</v>
      </c>
      <c r="Q403">
        <v>1535</v>
      </c>
      <c r="R403">
        <v>46</v>
      </c>
      <c r="S403">
        <v>38</v>
      </c>
      <c r="T403">
        <v>1</v>
      </c>
      <c r="U403">
        <v>63</v>
      </c>
      <c r="V403">
        <v>110</v>
      </c>
      <c r="W403">
        <v>110</v>
      </c>
      <c r="X403">
        <v>61</v>
      </c>
      <c r="Y403">
        <v>0.24</v>
      </c>
      <c r="Z403">
        <v>0.29899999999999999</v>
      </c>
      <c r="AA403">
        <v>0.375</v>
      </c>
    </row>
    <row r="404" spans="1:27" x14ac:dyDescent="0.2">
      <c r="A404" s="52">
        <v>2013</v>
      </c>
      <c r="B404" t="s">
        <v>164</v>
      </c>
      <c r="C404" t="s">
        <v>163</v>
      </c>
      <c r="D404">
        <v>162</v>
      </c>
      <c r="E404">
        <v>5549</v>
      </c>
      <c r="F404" s="1">
        <v>648</v>
      </c>
      <c r="G404">
        <v>1443</v>
      </c>
      <c r="H404">
        <f t="shared" si="13"/>
        <v>1043</v>
      </c>
      <c r="I404">
        <v>254</v>
      </c>
      <c r="J404">
        <v>34</v>
      </c>
      <c r="K404">
        <v>112</v>
      </c>
      <c r="L404">
        <v>422</v>
      </c>
      <c r="M404">
        <v>42</v>
      </c>
      <c r="N404">
        <f t="shared" si="12"/>
        <v>3642</v>
      </c>
      <c r="O404">
        <v>620</v>
      </c>
      <c r="P404">
        <v>38</v>
      </c>
      <c r="Q404">
        <v>1048</v>
      </c>
      <c r="R404">
        <v>37</v>
      </c>
      <c r="S404">
        <v>42</v>
      </c>
      <c r="T404">
        <v>1</v>
      </c>
      <c r="U404">
        <v>59</v>
      </c>
      <c r="V404">
        <v>131</v>
      </c>
      <c r="W404">
        <v>153</v>
      </c>
      <c r="X404">
        <v>32</v>
      </c>
      <c r="Y404">
        <v>0.26</v>
      </c>
      <c r="Z404">
        <v>0.315</v>
      </c>
      <c r="AA404">
        <v>0.379</v>
      </c>
    </row>
    <row r="405" spans="1:27" x14ac:dyDescent="0.2">
      <c r="A405" s="52">
        <v>2013</v>
      </c>
      <c r="B405" t="s">
        <v>159</v>
      </c>
      <c r="C405" t="s">
        <v>38</v>
      </c>
      <c r="D405">
        <v>162</v>
      </c>
      <c r="E405">
        <v>5491</v>
      </c>
      <c r="F405" s="1">
        <v>649</v>
      </c>
      <c r="G405">
        <v>1447</v>
      </c>
      <c r="H405">
        <f t="shared" si="13"/>
        <v>1011</v>
      </c>
      <c r="I405">
        <v>281</v>
      </c>
      <c r="J405">
        <v>17</v>
      </c>
      <c r="K405">
        <v>138</v>
      </c>
      <c r="L405">
        <v>476</v>
      </c>
      <c r="M405">
        <v>57</v>
      </c>
      <c r="N405">
        <f t="shared" si="12"/>
        <v>3511</v>
      </c>
      <c r="O405">
        <v>618</v>
      </c>
      <c r="P405">
        <v>45</v>
      </c>
      <c r="Q405">
        <v>1146</v>
      </c>
      <c r="R405">
        <v>71</v>
      </c>
      <c r="S405">
        <v>48</v>
      </c>
      <c r="T405">
        <v>2</v>
      </c>
      <c r="U405">
        <v>62</v>
      </c>
      <c r="V405">
        <v>130</v>
      </c>
      <c r="W405">
        <v>78</v>
      </c>
      <c r="X405">
        <v>28</v>
      </c>
      <c r="Y405">
        <v>0.26400000000000001</v>
      </c>
      <c r="Z405">
        <v>0.32600000000000001</v>
      </c>
      <c r="AA405">
        <v>0.39600000000000002</v>
      </c>
    </row>
    <row r="406" spans="1:27" x14ac:dyDescent="0.2">
      <c r="A406" s="52">
        <v>2013</v>
      </c>
      <c r="B406" t="s">
        <v>104</v>
      </c>
      <c r="C406" t="s">
        <v>38</v>
      </c>
      <c r="D406">
        <v>162</v>
      </c>
      <c r="E406">
        <v>5449</v>
      </c>
      <c r="F406" s="1">
        <v>513</v>
      </c>
      <c r="G406">
        <v>1257</v>
      </c>
      <c r="H406">
        <f t="shared" si="13"/>
        <v>912</v>
      </c>
      <c r="I406">
        <v>219</v>
      </c>
      <c r="J406">
        <v>31</v>
      </c>
      <c r="K406">
        <v>95</v>
      </c>
      <c r="L406">
        <v>432</v>
      </c>
      <c r="M406">
        <v>56</v>
      </c>
      <c r="N406">
        <f t="shared" si="12"/>
        <v>3704</v>
      </c>
      <c r="O406">
        <v>485</v>
      </c>
      <c r="P406">
        <v>31</v>
      </c>
      <c r="Q406">
        <v>1232</v>
      </c>
      <c r="R406">
        <v>57</v>
      </c>
      <c r="S406">
        <v>26</v>
      </c>
      <c r="T406">
        <v>1</v>
      </c>
      <c r="U406">
        <v>55</v>
      </c>
      <c r="V406">
        <v>131</v>
      </c>
      <c r="W406">
        <v>78</v>
      </c>
      <c r="X406">
        <v>29</v>
      </c>
      <c r="Y406">
        <v>0.23100000000000001</v>
      </c>
      <c r="Z406">
        <v>0.29299999999999998</v>
      </c>
      <c r="AA406">
        <v>0.33500000000000002</v>
      </c>
    </row>
    <row r="407" spans="1:27" x14ac:dyDescent="0.2">
      <c r="A407" s="52">
        <v>2013</v>
      </c>
      <c r="B407" t="s">
        <v>69</v>
      </c>
      <c r="C407" t="s">
        <v>38</v>
      </c>
      <c r="D407">
        <v>162</v>
      </c>
      <c r="E407">
        <v>5474</v>
      </c>
      <c r="F407" s="1">
        <v>640</v>
      </c>
      <c r="G407">
        <v>1381</v>
      </c>
      <c r="H407">
        <f t="shared" si="13"/>
        <v>943</v>
      </c>
      <c r="I407">
        <v>238</v>
      </c>
      <c r="J407">
        <v>43</v>
      </c>
      <c r="K407">
        <v>157</v>
      </c>
      <c r="L407">
        <v>407</v>
      </c>
      <c r="M407">
        <v>71</v>
      </c>
      <c r="N407">
        <f t="shared" si="12"/>
        <v>3615</v>
      </c>
      <c r="O407">
        <v>610</v>
      </c>
      <c r="P407">
        <v>22</v>
      </c>
      <c r="Q407">
        <v>1183</v>
      </c>
      <c r="R407">
        <v>77</v>
      </c>
      <c r="S407">
        <v>35</v>
      </c>
      <c r="T407">
        <v>0</v>
      </c>
      <c r="U407">
        <v>70</v>
      </c>
      <c r="V407">
        <v>116</v>
      </c>
      <c r="W407">
        <v>142</v>
      </c>
      <c r="X407">
        <v>50</v>
      </c>
      <c r="Y407">
        <v>0.252</v>
      </c>
      <c r="Z407">
        <v>0.311</v>
      </c>
      <c r="AA407">
        <v>0.39800000000000002</v>
      </c>
    </row>
    <row r="408" spans="1:27" x14ac:dyDescent="0.2">
      <c r="A408" s="52">
        <v>2013</v>
      </c>
      <c r="B408" t="s">
        <v>71</v>
      </c>
      <c r="C408" t="s">
        <v>163</v>
      </c>
      <c r="D408">
        <v>162</v>
      </c>
      <c r="E408">
        <v>5564</v>
      </c>
      <c r="F408" s="1">
        <v>614</v>
      </c>
      <c r="G408">
        <v>1346</v>
      </c>
      <c r="H408">
        <f t="shared" si="13"/>
        <v>895</v>
      </c>
      <c r="I408">
        <v>285</v>
      </c>
      <c r="J408">
        <v>15</v>
      </c>
      <c r="K408">
        <v>151</v>
      </c>
      <c r="L408">
        <v>533</v>
      </c>
      <c r="M408">
        <v>52</v>
      </c>
      <c r="N408">
        <f t="shared" si="12"/>
        <v>3633</v>
      </c>
      <c r="O408">
        <v>590</v>
      </c>
      <c r="P408">
        <v>20</v>
      </c>
      <c r="Q408">
        <v>1430</v>
      </c>
      <c r="R408">
        <v>29</v>
      </c>
      <c r="S408">
        <v>32</v>
      </c>
      <c r="T408">
        <v>2</v>
      </c>
      <c r="U408">
        <v>66</v>
      </c>
      <c r="V408">
        <v>103</v>
      </c>
      <c r="W408">
        <v>52</v>
      </c>
      <c r="X408">
        <v>33</v>
      </c>
      <c r="Y408">
        <v>0.24199999999999999</v>
      </c>
      <c r="Z408">
        <v>0.312</v>
      </c>
      <c r="AA408">
        <v>0.38</v>
      </c>
    </row>
    <row r="409" spans="1:27" x14ac:dyDescent="0.2">
      <c r="A409" s="52">
        <v>2013</v>
      </c>
      <c r="B409" t="s">
        <v>158</v>
      </c>
      <c r="C409" t="s">
        <v>38</v>
      </c>
      <c r="D409">
        <v>162</v>
      </c>
      <c r="E409">
        <v>5559</v>
      </c>
      <c r="F409" s="1">
        <v>619</v>
      </c>
      <c r="G409">
        <v>1318</v>
      </c>
      <c r="H409">
        <f t="shared" si="13"/>
        <v>893</v>
      </c>
      <c r="I409">
        <v>263</v>
      </c>
      <c r="J409">
        <v>32</v>
      </c>
      <c r="K409">
        <v>130</v>
      </c>
      <c r="L409">
        <v>512</v>
      </c>
      <c r="M409">
        <v>51</v>
      </c>
      <c r="N409">
        <f t="shared" si="12"/>
        <v>3678</v>
      </c>
      <c r="O409">
        <v>593</v>
      </c>
      <c r="P409">
        <v>40</v>
      </c>
      <c r="Q409">
        <v>1384</v>
      </c>
      <c r="R409">
        <v>53</v>
      </c>
      <c r="S409">
        <v>32</v>
      </c>
      <c r="T409">
        <v>0</v>
      </c>
      <c r="U409">
        <v>56</v>
      </c>
      <c r="V409">
        <v>106</v>
      </c>
      <c r="W409">
        <v>114</v>
      </c>
      <c r="X409">
        <v>35</v>
      </c>
      <c r="Y409">
        <v>0.23699999999999999</v>
      </c>
      <c r="Z409">
        <v>0.30599999999999999</v>
      </c>
      <c r="AA409">
        <v>0.36599999999999999</v>
      </c>
    </row>
    <row r="410" spans="1:27" x14ac:dyDescent="0.2">
      <c r="A410" s="52">
        <v>2013</v>
      </c>
      <c r="B410" t="s">
        <v>158</v>
      </c>
      <c r="C410" t="s">
        <v>163</v>
      </c>
      <c r="D410">
        <v>162</v>
      </c>
      <c r="E410">
        <v>5449</v>
      </c>
      <c r="F410" s="1">
        <v>650</v>
      </c>
      <c r="G410">
        <v>1321</v>
      </c>
      <c r="H410">
        <f t="shared" si="13"/>
        <v>906</v>
      </c>
      <c r="I410">
        <v>247</v>
      </c>
      <c r="J410">
        <v>24</v>
      </c>
      <c r="K410">
        <v>144</v>
      </c>
      <c r="L410">
        <v>466</v>
      </c>
      <c r="M410">
        <v>57</v>
      </c>
      <c r="N410">
        <f t="shared" si="12"/>
        <v>3605</v>
      </c>
      <c r="O410">
        <v>614</v>
      </c>
      <c r="P410">
        <v>33</v>
      </c>
      <c r="Q410">
        <v>1214</v>
      </c>
      <c r="R410">
        <v>36</v>
      </c>
      <c r="S410">
        <v>36</v>
      </c>
      <c r="T410">
        <v>1</v>
      </c>
      <c r="U410">
        <v>63</v>
      </c>
      <c r="V410">
        <v>121</v>
      </c>
      <c r="W410">
        <v>115</v>
      </c>
      <c r="X410">
        <v>31</v>
      </c>
      <c r="Y410">
        <v>0.24199999999999999</v>
      </c>
      <c r="Z410">
        <v>0.307</v>
      </c>
      <c r="AA410">
        <v>0.376</v>
      </c>
    </row>
    <row r="411" spans="1:27" x14ac:dyDescent="0.2">
      <c r="A411" s="52">
        <v>2013</v>
      </c>
      <c r="B411" t="s">
        <v>79</v>
      </c>
      <c r="C411" t="s">
        <v>163</v>
      </c>
      <c r="D411">
        <v>162</v>
      </c>
      <c r="E411">
        <v>5521</v>
      </c>
      <c r="F411" s="1">
        <v>767</v>
      </c>
      <c r="G411">
        <v>1403</v>
      </c>
      <c r="H411">
        <f t="shared" si="13"/>
        <v>891</v>
      </c>
      <c r="I411">
        <v>301</v>
      </c>
      <c r="J411">
        <v>25</v>
      </c>
      <c r="K411">
        <v>186</v>
      </c>
      <c r="L411">
        <v>573</v>
      </c>
      <c r="M411">
        <v>45</v>
      </c>
      <c r="N411">
        <f t="shared" si="12"/>
        <v>3500</v>
      </c>
      <c r="O411">
        <v>725</v>
      </c>
      <c r="P411">
        <v>29</v>
      </c>
      <c r="Q411">
        <v>1178</v>
      </c>
      <c r="R411">
        <v>21</v>
      </c>
      <c r="S411">
        <v>49</v>
      </c>
      <c r="T411">
        <v>0</v>
      </c>
      <c r="U411">
        <v>48</v>
      </c>
      <c r="V411">
        <v>108</v>
      </c>
      <c r="W411">
        <v>74</v>
      </c>
      <c r="X411">
        <v>28</v>
      </c>
      <c r="Y411">
        <v>0.254</v>
      </c>
      <c r="Z411">
        <v>0.32700000000000001</v>
      </c>
      <c r="AA411">
        <v>0.41899999999999998</v>
      </c>
    </row>
    <row r="412" spans="1:27" x14ac:dyDescent="0.2">
      <c r="A412" s="52">
        <v>2013</v>
      </c>
      <c r="B412" t="s">
        <v>81</v>
      </c>
      <c r="C412" t="s">
        <v>38</v>
      </c>
      <c r="D412">
        <v>162</v>
      </c>
      <c r="E412">
        <v>5456</v>
      </c>
      <c r="F412" s="1">
        <v>610</v>
      </c>
      <c r="G412">
        <v>1355</v>
      </c>
      <c r="H412">
        <f t="shared" si="13"/>
        <v>928</v>
      </c>
      <c r="I412">
        <v>255</v>
      </c>
      <c r="J412">
        <v>32</v>
      </c>
      <c r="K412">
        <v>140</v>
      </c>
      <c r="L412">
        <v>417</v>
      </c>
      <c r="M412">
        <v>53</v>
      </c>
      <c r="N412">
        <f t="shared" si="12"/>
        <v>3631</v>
      </c>
      <c r="O412">
        <v>578</v>
      </c>
      <c r="P412">
        <v>41</v>
      </c>
      <c r="Q412">
        <v>1205</v>
      </c>
      <c r="R412">
        <v>57</v>
      </c>
      <c r="S412">
        <v>31</v>
      </c>
      <c r="T412">
        <v>0</v>
      </c>
      <c r="U412">
        <v>67</v>
      </c>
      <c r="V412">
        <v>131</v>
      </c>
      <c r="W412">
        <v>73</v>
      </c>
      <c r="X412">
        <v>29</v>
      </c>
      <c r="Y412">
        <v>0.248</v>
      </c>
      <c r="Z412">
        <v>0.30599999999999999</v>
      </c>
      <c r="AA412">
        <v>0.38400000000000001</v>
      </c>
    </row>
    <row r="413" spans="1:27" x14ac:dyDescent="0.2">
      <c r="A413" s="52">
        <v>2013</v>
      </c>
      <c r="B413" t="s">
        <v>83</v>
      </c>
      <c r="C413" t="s">
        <v>38</v>
      </c>
      <c r="D413">
        <v>162</v>
      </c>
      <c r="E413">
        <v>5486</v>
      </c>
      <c r="F413" s="1">
        <v>634</v>
      </c>
      <c r="G413">
        <v>1346</v>
      </c>
      <c r="H413">
        <f t="shared" si="13"/>
        <v>877</v>
      </c>
      <c r="I413">
        <v>273</v>
      </c>
      <c r="J413">
        <v>35</v>
      </c>
      <c r="K413">
        <v>161</v>
      </c>
      <c r="L413">
        <v>469</v>
      </c>
      <c r="M413">
        <v>88</v>
      </c>
      <c r="N413">
        <f t="shared" si="12"/>
        <v>3583</v>
      </c>
      <c r="O413">
        <v>603</v>
      </c>
      <c r="P413">
        <v>41</v>
      </c>
      <c r="Q413">
        <v>1330</v>
      </c>
      <c r="R413">
        <v>62</v>
      </c>
      <c r="S413">
        <v>29</v>
      </c>
      <c r="T413">
        <v>1</v>
      </c>
      <c r="U413">
        <v>63</v>
      </c>
      <c r="V413">
        <v>120</v>
      </c>
      <c r="W413">
        <v>94</v>
      </c>
      <c r="X413">
        <v>42</v>
      </c>
      <c r="Y413">
        <v>0.245</v>
      </c>
      <c r="Z413">
        <v>0.313</v>
      </c>
      <c r="AA413">
        <v>0.39600000000000002</v>
      </c>
    </row>
    <row r="414" spans="1:27" x14ac:dyDescent="0.2">
      <c r="A414" s="52">
        <v>2013</v>
      </c>
      <c r="B414" t="s">
        <v>161</v>
      </c>
      <c r="C414" t="s">
        <v>38</v>
      </c>
      <c r="D414">
        <v>162</v>
      </c>
      <c r="E414">
        <v>5517</v>
      </c>
      <c r="F414" s="1">
        <v>618</v>
      </c>
      <c r="G414">
        <v>1349</v>
      </c>
      <c r="H414">
        <f t="shared" si="13"/>
        <v>931</v>
      </c>
      <c r="I414">
        <v>246</v>
      </c>
      <c r="J414">
        <v>26</v>
      </c>
      <c r="K414">
        <v>146</v>
      </c>
      <c r="L414">
        <v>467</v>
      </c>
      <c r="M414">
        <v>52</v>
      </c>
      <c r="N414">
        <f t="shared" si="12"/>
        <v>3649</v>
      </c>
      <c r="O414">
        <v>578</v>
      </c>
      <c r="P414">
        <v>36</v>
      </c>
      <c r="Q414">
        <v>1309</v>
      </c>
      <c r="R414">
        <v>52</v>
      </c>
      <c r="S414">
        <v>34</v>
      </c>
      <c r="T414">
        <v>0</v>
      </c>
      <c r="U414">
        <v>54</v>
      </c>
      <c r="V414">
        <v>99</v>
      </c>
      <c r="W414">
        <v>118</v>
      </c>
      <c r="X414">
        <v>34</v>
      </c>
      <c r="Y414">
        <v>0.245</v>
      </c>
      <c r="Z414">
        <v>0.308</v>
      </c>
      <c r="AA414">
        <v>0.378</v>
      </c>
    </row>
    <row r="415" spans="1:27" x14ac:dyDescent="0.2">
      <c r="A415" s="52">
        <v>2013</v>
      </c>
      <c r="B415" t="s">
        <v>87</v>
      </c>
      <c r="C415" t="s">
        <v>163</v>
      </c>
      <c r="D415">
        <v>162</v>
      </c>
      <c r="E415">
        <v>5558</v>
      </c>
      <c r="F415" s="1">
        <v>624</v>
      </c>
      <c r="G415">
        <v>1318</v>
      </c>
      <c r="H415">
        <f t="shared" si="13"/>
        <v>864</v>
      </c>
      <c r="I415">
        <v>249</v>
      </c>
      <c r="J415">
        <v>17</v>
      </c>
      <c r="K415">
        <v>188</v>
      </c>
      <c r="L415">
        <v>529</v>
      </c>
      <c r="M415">
        <v>31</v>
      </c>
      <c r="N415">
        <f t="shared" si="12"/>
        <v>3680</v>
      </c>
      <c r="O415">
        <v>597</v>
      </c>
      <c r="P415">
        <v>21</v>
      </c>
      <c r="Q415">
        <v>1353</v>
      </c>
      <c r="R415">
        <v>26</v>
      </c>
      <c r="S415">
        <v>28</v>
      </c>
      <c r="T415">
        <v>0</v>
      </c>
      <c r="U415">
        <v>60</v>
      </c>
      <c r="V415">
        <v>122</v>
      </c>
      <c r="W415">
        <v>49</v>
      </c>
      <c r="X415">
        <v>23</v>
      </c>
      <c r="Y415">
        <v>0.23699999999999999</v>
      </c>
      <c r="Z415">
        <v>0.30599999999999999</v>
      </c>
      <c r="AA415">
        <v>0.39</v>
      </c>
    </row>
    <row r="416" spans="1:27" x14ac:dyDescent="0.2">
      <c r="A416" s="52">
        <v>2013</v>
      </c>
      <c r="B416" t="s">
        <v>21</v>
      </c>
      <c r="C416" t="s">
        <v>38</v>
      </c>
      <c r="D416">
        <v>162</v>
      </c>
      <c r="E416">
        <v>5552</v>
      </c>
      <c r="F416" s="1">
        <v>629</v>
      </c>
      <c r="G416">
        <v>1446</v>
      </c>
      <c r="H416">
        <f t="shared" si="13"/>
        <v>1024</v>
      </c>
      <c r="I416">
        <v>280</v>
      </c>
      <c r="J416">
        <v>35</v>
      </c>
      <c r="K416">
        <v>107</v>
      </c>
      <c r="L416">
        <v>469</v>
      </c>
      <c r="M416">
        <v>39</v>
      </c>
      <c r="N416">
        <f t="shared" si="12"/>
        <v>3598</v>
      </c>
      <c r="O416">
        <v>596</v>
      </c>
      <c r="P416">
        <v>40</v>
      </c>
      <c r="Q416">
        <v>1078</v>
      </c>
      <c r="R416">
        <v>66</v>
      </c>
      <c r="S416">
        <v>42</v>
      </c>
      <c r="T416">
        <v>0</v>
      </c>
      <c r="U416">
        <v>60</v>
      </c>
      <c r="V416">
        <v>131</v>
      </c>
      <c r="W416">
        <v>67</v>
      </c>
      <c r="X416">
        <v>26</v>
      </c>
      <c r="Y416">
        <v>0.26</v>
      </c>
      <c r="Z416">
        <v>0.32</v>
      </c>
      <c r="AA416">
        <v>0.38100000000000001</v>
      </c>
    </row>
    <row r="417" spans="1:27" x14ac:dyDescent="0.2">
      <c r="A417" s="52">
        <v>2013</v>
      </c>
      <c r="B417" t="s">
        <v>156</v>
      </c>
      <c r="C417" t="s">
        <v>38</v>
      </c>
      <c r="D417">
        <v>162</v>
      </c>
      <c r="E417">
        <v>5557</v>
      </c>
      <c r="F417" s="1">
        <v>783</v>
      </c>
      <c r="G417">
        <v>1494</v>
      </c>
      <c r="H417">
        <f t="shared" si="13"/>
        <v>1027</v>
      </c>
      <c r="I417">
        <v>322</v>
      </c>
      <c r="J417">
        <v>20</v>
      </c>
      <c r="K417">
        <v>125</v>
      </c>
      <c r="L417">
        <v>481</v>
      </c>
      <c r="M417">
        <v>64</v>
      </c>
      <c r="N417">
        <f t="shared" si="12"/>
        <v>3518</v>
      </c>
      <c r="O417">
        <v>745</v>
      </c>
      <c r="P417">
        <v>38</v>
      </c>
      <c r="Q417">
        <v>1110</v>
      </c>
      <c r="R417">
        <v>56</v>
      </c>
      <c r="S417">
        <v>44</v>
      </c>
      <c r="T417">
        <v>0</v>
      </c>
      <c r="U417">
        <v>51</v>
      </c>
      <c r="V417">
        <v>154</v>
      </c>
      <c r="W417">
        <v>45</v>
      </c>
      <c r="X417">
        <v>22</v>
      </c>
      <c r="Y417">
        <v>0.26900000000000002</v>
      </c>
      <c r="Z417">
        <v>0.33200000000000002</v>
      </c>
      <c r="AA417">
        <v>0.40100000000000002</v>
      </c>
    </row>
    <row r="418" spans="1:27" x14ac:dyDescent="0.2">
      <c r="A418" s="52">
        <v>2013</v>
      </c>
      <c r="B418" t="s">
        <v>165</v>
      </c>
      <c r="C418" t="s">
        <v>163</v>
      </c>
      <c r="D418">
        <v>163</v>
      </c>
      <c r="E418">
        <v>5538</v>
      </c>
      <c r="F418" s="1">
        <v>700</v>
      </c>
      <c r="G418">
        <v>1421</v>
      </c>
      <c r="H418">
        <f t="shared" si="13"/>
        <v>937</v>
      </c>
      <c r="I418">
        <v>296</v>
      </c>
      <c r="J418">
        <v>23</v>
      </c>
      <c r="K418">
        <v>165</v>
      </c>
      <c r="L418">
        <v>589</v>
      </c>
      <c r="M418">
        <v>36</v>
      </c>
      <c r="N418">
        <f t="shared" si="12"/>
        <v>3492</v>
      </c>
      <c r="O418">
        <v>670</v>
      </c>
      <c r="P418">
        <v>31</v>
      </c>
      <c r="Q418">
        <v>1171</v>
      </c>
      <c r="R418">
        <v>24</v>
      </c>
      <c r="S418">
        <v>55</v>
      </c>
      <c r="T418">
        <v>0</v>
      </c>
      <c r="U418">
        <v>40</v>
      </c>
      <c r="V418">
        <v>140</v>
      </c>
      <c r="W418">
        <v>73</v>
      </c>
      <c r="X418">
        <v>38</v>
      </c>
      <c r="Y418">
        <v>0.25700000000000001</v>
      </c>
      <c r="Z418">
        <v>0.32900000000000001</v>
      </c>
      <c r="AA418">
        <v>0.40799999999999997</v>
      </c>
    </row>
    <row r="419" spans="1:27" x14ac:dyDescent="0.2">
      <c r="A419" s="52">
        <v>2013</v>
      </c>
      <c r="B419" t="s">
        <v>95</v>
      </c>
      <c r="C419" t="s">
        <v>163</v>
      </c>
      <c r="D419">
        <v>163</v>
      </c>
      <c r="E419">
        <v>5585</v>
      </c>
      <c r="F419" s="1">
        <v>730</v>
      </c>
      <c r="G419">
        <v>1465</v>
      </c>
      <c r="H419">
        <f t="shared" si="13"/>
        <v>1004</v>
      </c>
      <c r="I419">
        <v>262</v>
      </c>
      <c r="J419">
        <v>23</v>
      </c>
      <c r="K419">
        <v>176</v>
      </c>
      <c r="L419">
        <v>462</v>
      </c>
      <c r="M419">
        <v>61</v>
      </c>
      <c r="N419">
        <f t="shared" si="12"/>
        <v>3597</v>
      </c>
      <c r="O419">
        <v>691</v>
      </c>
      <c r="P419">
        <v>26</v>
      </c>
      <c r="Q419">
        <v>1067</v>
      </c>
      <c r="R419">
        <v>45</v>
      </c>
      <c r="S419">
        <v>42</v>
      </c>
      <c r="T419">
        <v>1</v>
      </c>
      <c r="U419">
        <v>77</v>
      </c>
      <c r="V419">
        <v>124</v>
      </c>
      <c r="W419">
        <v>149</v>
      </c>
      <c r="X419">
        <v>46</v>
      </c>
      <c r="Y419">
        <v>0.26200000000000001</v>
      </c>
      <c r="Z419">
        <v>0.32300000000000001</v>
      </c>
      <c r="AA419">
        <v>0.41199999999999998</v>
      </c>
    </row>
    <row r="420" spans="1:27" x14ac:dyDescent="0.2">
      <c r="A420" s="52">
        <v>2013</v>
      </c>
      <c r="B420" t="s">
        <v>97</v>
      </c>
      <c r="C420" t="s">
        <v>163</v>
      </c>
      <c r="D420">
        <v>162</v>
      </c>
      <c r="E420">
        <v>5537</v>
      </c>
      <c r="F420" s="1">
        <v>712</v>
      </c>
      <c r="G420">
        <v>1398</v>
      </c>
      <c r="H420">
        <f t="shared" si="13"/>
        <v>916</v>
      </c>
      <c r="I420">
        <v>273</v>
      </c>
      <c r="J420">
        <v>24</v>
      </c>
      <c r="K420">
        <v>185</v>
      </c>
      <c r="L420">
        <v>510</v>
      </c>
      <c r="M420">
        <v>38</v>
      </c>
      <c r="N420">
        <f t="shared" si="12"/>
        <v>3591</v>
      </c>
      <c r="O420">
        <v>669</v>
      </c>
      <c r="P420">
        <v>19</v>
      </c>
      <c r="Q420">
        <v>1123</v>
      </c>
      <c r="R420">
        <v>29</v>
      </c>
      <c r="S420">
        <v>38</v>
      </c>
      <c r="T420">
        <v>0</v>
      </c>
      <c r="U420">
        <v>60</v>
      </c>
      <c r="V420">
        <v>133</v>
      </c>
      <c r="W420">
        <v>112</v>
      </c>
      <c r="X420">
        <v>41</v>
      </c>
      <c r="Y420">
        <v>0.252</v>
      </c>
      <c r="Z420">
        <v>0.318</v>
      </c>
      <c r="AA420">
        <v>0.41099999999999998</v>
      </c>
    </row>
    <row r="421" spans="1:27" x14ac:dyDescent="0.2">
      <c r="A421" s="52">
        <v>2013</v>
      </c>
      <c r="B421" t="s">
        <v>101</v>
      </c>
      <c r="C421" t="s">
        <v>38</v>
      </c>
      <c r="D421">
        <v>162</v>
      </c>
      <c r="E421">
        <v>5436</v>
      </c>
      <c r="F421" s="1">
        <v>656</v>
      </c>
      <c r="G421">
        <v>1365</v>
      </c>
      <c r="H421">
        <f t="shared" si="13"/>
        <v>918</v>
      </c>
      <c r="I421">
        <v>259</v>
      </c>
      <c r="J421">
        <v>27</v>
      </c>
      <c r="K421">
        <v>161</v>
      </c>
      <c r="L421">
        <v>464</v>
      </c>
      <c r="M421">
        <v>40</v>
      </c>
      <c r="N421">
        <f t="shared" si="12"/>
        <v>3567</v>
      </c>
      <c r="O421">
        <v>621</v>
      </c>
      <c r="P421">
        <v>35</v>
      </c>
      <c r="Q421">
        <v>1192</v>
      </c>
      <c r="R421">
        <v>68</v>
      </c>
      <c r="S421">
        <v>39</v>
      </c>
      <c r="T421">
        <v>0</v>
      </c>
      <c r="U421">
        <v>54</v>
      </c>
      <c r="V421">
        <v>115</v>
      </c>
      <c r="W421">
        <v>88</v>
      </c>
      <c r="X421">
        <v>28</v>
      </c>
      <c r="Y421">
        <v>0.251</v>
      </c>
      <c r="Z421">
        <v>0.313</v>
      </c>
      <c r="AA421">
        <v>0.39800000000000002</v>
      </c>
    </row>
    <row r="422" spans="1:27" x14ac:dyDescent="0.2">
      <c r="A422" s="52">
        <v>2014</v>
      </c>
      <c r="B422" t="s">
        <v>37</v>
      </c>
      <c r="C422" t="s">
        <v>163</v>
      </c>
      <c r="D422">
        <v>162</v>
      </c>
      <c r="E422">
        <v>5652</v>
      </c>
      <c r="F422" s="1">
        <v>773</v>
      </c>
      <c r="G422">
        <v>1464</v>
      </c>
      <c r="H422">
        <f t="shared" si="13"/>
        <v>974</v>
      </c>
      <c r="I422">
        <v>304</v>
      </c>
      <c r="J422">
        <v>31</v>
      </c>
      <c r="K422">
        <v>155</v>
      </c>
      <c r="L422">
        <v>492</v>
      </c>
      <c r="M422">
        <v>60</v>
      </c>
      <c r="N422">
        <f t="shared" si="12"/>
        <v>3636</v>
      </c>
      <c r="O422">
        <v>729</v>
      </c>
      <c r="P422">
        <v>42</v>
      </c>
      <c r="Q422">
        <v>1266</v>
      </c>
      <c r="R422">
        <v>26</v>
      </c>
      <c r="S422">
        <v>54</v>
      </c>
      <c r="T422">
        <v>1</v>
      </c>
      <c r="U422">
        <v>86</v>
      </c>
      <c r="V422">
        <v>112</v>
      </c>
      <c r="W422">
        <v>81</v>
      </c>
      <c r="X422">
        <v>39</v>
      </c>
      <c r="Y422">
        <v>0.25900000000000001</v>
      </c>
      <c r="Z422">
        <v>0.32200000000000001</v>
      </c>
      <c r="AA422">
        <v>0.40600000000000003</v>
      </c>
    </row>
    <row r="423" spans="1:27" x14ac:dyDescent="0.2">
      <c r="A423" s="52">
        <v>2014</v>
      </c>
      <c r="B423" t="s">
        <v>40</v>
      </c>
      <c r="C423" t="s">
        <v>38</v>
      </c>
      <c r="D423">
        <v>162</v>
      </c>
      <c r="E423">
        <v>5552</v>
      </c>
      <c r="F423" s="1">
        <v>615</v>
      </c>
      <c r="G423">
        <v>1379</v>
      </c>
      <c r="H423">
        <f t="shared" si="13"/>
        <v>955</v>
      </c>
      <c r="I423">
        <v>259</v>
      </c>
      <c r="J423">
        <v>47</v>
      </c>
      <c r="K423">
        <v>118</v>
      </c>
      <c r="L423">
        <v>398</v>
      </c>
      <c r="M423">
        <v>43</v>
      </c>
      <c r="N423">
        <f t="shared" si="12"/>
        <v>3732</v>
      </c>
      <c r="O423">
        <v>573</v>
      </c>
      <c r="P423">
        <v>31</v>
      </c>
      <c r="Q423">
        <v>1165</v>
      </c>
      <c r="R423">
        <v>56</v>
      </c>
      <c r="S423">
        <v>36</v>
      </c>
      <c r="T423">
        <v>4</v>
      </c>
      <c r="U423">
        <v>73</v>
      </c>
      <c r="V423">
        <v>115</v>
      </c>
      <c r="W423">
        <v>86</v>
      </c>
      <c r="X423">
        <v>33</v>
      </c>
      <c r="Y423">
        <v>0.248</v>
      </c>
      <c r="Z423">
        <v>0.30199999999999999</v>
      </c>
      <c r="AA423">
        <v>0.376</v>
      </c>
    </row>
    <row r="424" spans="1:27" x14ac:dyDescent="0.2">
      <c r="A424" s="52">
        <v>2014</v>
      </c>
      <c r="B424" t="s">
        <v>42</v>
      </c>
      <c r="C424" t="s">
        <v>38</v>
      </c>
      <c r="D424">
        <v>162</v>
      </c>
      <c r="E424">
        <v>5468</v>
      </c>
      <c r="F424" s="1">
        <v>573</v>
      </c>
      <c r="G424">
        <v>1316</v>
      </c>
      <c r="H424">
        <f t="shared" si="13"/>
        <v>931</v>
      </c>
      <c r="I424">
        <v>240</v>
      </c>
      <c r="J424">
        <v>22</v>
      </c>
      <c r="K424">
        <v>123</v>
      </c>
      <c r="L424">
        <v>472</v>
      </c>
      <c r="M424">
        <v>43</v>
      </c>
      <c r="N424">
        <f t="shared" si="12"/>
        <v>3637</v>
      </c>
      <c r="O424">
        <v>545</v>
      </c>
      <c r="P424">
        <v>31</v>
      </c>
      <c r="Q424">
        <v>1369</v>
      </c>
      <c r="R424">
        <v>53</v>
      </c>
      <c r="S424">
        <v>27</v>
      </c>
      <c r="T424">
        <v>1</v>
      </c>
      <c r="U424">
        <v>55</v>
      </c>
      <c r="V424">
        <v>121</v>
      </c>
      <c r="W424">
        <v>95</v>
      </c>
      <c r="X424">
        <v>33</v>
      </c>
      <c r="Y424">
        <v>0.24099999999999999</v>
      </c>
      <c r="Z424">
        <v>0.30499999999999999</v>
      </c>
      <c r="AA424">
        <v>0.36</v>
      </c>
    </row>
    <row r="425" spans="1:27" x14ac:dyDescent="0.2">
      <c r="A425" s="52">
        <v>2014</v>
      </c>
      <c r="B425" t="s">
        <v>45</v>
      </c>
      <c r="C425" t="s">
        <v>163</v>
      </c>
      <c r="D425">
        <v>162</v>
      </c>
      <c r="E425">
        <v>5596</v>
      </c>
      <c r="F425" s="1">
        <v>705</v>
      </c>
      <c r="G425">
        <v>1434</v>
      </c>
      <c r="H425">
        <f t="shared" si="13"/>
        <v>943</v>
      </c>
      <c r="I425">
        <v>264</v>
      </c>
      <c r="J425">
        <v>16</v>
      </c>
      <c r="K425">
        <v>211</v>
      </c>
      <c r="L425">
        <v>401</v>
      </c>
      <c r="M425">
        <v>62</v>
      </c>
      <c r="N425">
        <f t="shared" si="12"/>
        <v>3699</v>
      </c>
      <c r="O425">
        <v>681</v>
      </c>
      <c r="P425">
        <v>29</v>
      </c>
      <c r="Q425">
        <v>1285</v>
      </c>
      <c r="R425">
        <v>35</v>
      </c>
      <c r="S425">
        <v>36</v>
      </c>
      <c r="T425">
        <v>0</v>
      </c>
      <c r="U425">
        <v>66</v>
      </c>
      <c r="V425">
        <v>112</v>
      </c>
      <c r="W425">
        <v>44</v>
      </c>
      <c r="X425">
        <v>20</v>
      </c>
      <c r="Y425">
        <v>0.25600000000000001</v>
      </c>
      <c r="Z425">
        <v>0.311</v>
      </c>
      <c r="AA425">
        <v>0.42199999999999999</v>
      </c>
    </row>
    <row r="426" spans="1:27" x14ac:dyDescent="0.2">
      <c r="A426" s="52">
        <v>2014</v>
      </c>
      <c r="B426" t="s">
        <v>47</v>
      </c>
      <c r="C426" t="s">
        <v>163</v>
      </c>
      <c r="D426">
        <v>162</v>
      </c>
      <c r="E426">
        <v>5551</v>
      </c>
      <c r="F426" s="1">
        <v>634</v>
      </c>
      <c r="G426">
        <v>1355</v>
      </c>
      <c r="H426">
        <f t="shared" si="13"/>
        <v>930</v>
      </c>
      <c r="I426">
        <v>282</v>
      </c>
      <c r="J426">
        <v>20</v>
      </c>
      <c r="K426">
        <v>123</v>
      </c>
      <c r="L426">
        <v>535</v>
      </c>
      <c r="M426">
        <v>68</v>
      </c>
      <c r="N426">
        <f t="shared" si="12"/>
        <v>3593</v>
      </c>
      <c r="O426">
        <v>601</v>
      </c>
      <c r="P426">
        <v>36</v>
      </c>
      <c r="Q426">
        <v>1337</v>
      </c>
      <c r="R426">
        <v>20</v>
      </c>
      <c r="S426">
        <v>52</v>
      </c>
      <c r="T426">
        <v>0</v>
      </c>
      <c r="U426">
        <v>61</v>
      </c>
      <c r="V426">
        <v>138</v>
      </c>
      <c r="W426">
        <v>63</v>
      </c>
      <c r="X426">
        <v>25</v>
      </c>
      <c r="Y426">
        <v>0.24399999999999999</v>
      </c>
      <c r="Z426">
        <v>0.316</v>
      </c>
      <c r="AA426">
        <v>0.36899999999999999</v>
      </c>
    </row>
    <row r="427" spans="1:27" x14ac:dyDescent="0.2">
      <c r="A427" s="52">
        <v>2014</v>
      </c>
      <c r="B427" t="s">
        <v>157</v>
      </c>
      <c r="C427" t="s">
        <v>38</v>
      </c>
      <c r="D427">
        <v>162</v>
      </c>
      <c r="E427">
        <v>5508</v>
      </c>
      <c r="F427" s="1">
        <v>614</v>
      </c>
      <c r="G427">
        <v>1315</v>
      </c>
      <c r="H427">
        <f t="shared" si="13"/>
        <v>857</v>
      </c>
      <c r="I427">
        <v>270</v>
      </c>
      <c r="J427">
        <v>31</v>
      </c>
      <c r="K427">
        <v>157</v>
      </c>
      <c r="L427">
        <v>442</v>
      </c>
      <c r="M427">
        <v>54</v>
      </c>
      <c r="N427">
        <f t="shared" si="12"/>
        <v>3697</v>
      </c>
      <c r="O427">
        <v>590</v>
      </c>
      <c r="P427">
        <v>29</v>
      </c>
      <c r="Q427">
        <v>1477</v>
      </c>
      <c r="R427">
        <v>57</v>
      </c>
      <c r="S427">
        <v>41</v>
      </c>
      <c r="T427">
        <v>0</v>
      </c>
      <c r="U427">
        <v>50</v>
      </c>
      <c r="V427">
        <v>94</v>
      </c>
      <c r="W427">
        <v>65</v>
      </c>
      <c r="X427">
        <v>40</v>
      </c>
      <c r="Y427">
        <v>0.23899999999999999</v>
      </c>
      <c r="Z427">
        <v>0.3</v>
      </c>
      <c r="AA427">
        <v>0.38500000000000001</v>
      </c>
    </row>
    <row r="428" spans="1:27" x14ac:dyDescent="0.2">
      <c r="A428" s="52">
        <v>2014</v>
      </c>
      <c r="B428" t="s">
        <v>157</v>
      </c>
      <c r="C428" t="s">
        <v>163</v>
      </c>
      <c r="D428">
        <v>162</v>
      </c>
      <c r="E428">
        <v>5543</v>
      </c>
      <c r="F428" s="1">
        <v>660</v>
      </c>
      <c r="G428">
        <v>1400</v>
      </c>
      <c r="H428">
        <f t="shared" si="13"/>
        <v>934</v>
      </c>
      <c r="I428">
        <v>279</v>
      </c>
      <c r="J428">
        <v>32</v>
      </c>
      <c r="K428">
        <v>155</v>
      </c>
      <c r="L428">
        <v>417</v>
      </c>
      <c r="M428">
        <v>60</v>
      </c>
      <c r="N428">
        <f t="shared" si="12"/>
        <v>3666</v>
      </c>
      <c r="O428">
        <v>625</v>
      </c>
      <c r="P428">
        <v>33</v>
      </c>
      <c r="Q428">
        <v>1362</v>
      </c>
      <c r="R428">
        <v>19</v>
      </c>
      <c r="S428">
        <v>38</v>
      </c>
      <c r="T428">
        <v>0</v>
      </c>
      <c r="U428">
        <v>70</v>
      </c>
      <c r="V428">
        <v>127</v>
      </c>
      <c r="W428">
        <v>85</v>
      </c>
      <c r="X428">
        <v>36</v>
      </c>
      <c r="Y428">
        <v>0.253</v>
      </c>
      <c r="Z428">
        <v>0.31</v>
      </c>
      <c r="AA428">
        <v>0.39800000000000002</v>
      </c>
    </row>
    <row r="429" spans="1:27" x14ac:dyDescent="0.2">
      <c r="A429" s="52">
        <v>2014</v>
      </c>
      <c r="B429" t="s">
        <v>53</v>
      </c>
      <c r="C429" t="s">
        <v>38</v>
      </c>
      <c r="D429">
        <v>162</v>
      </c>
      <c r="E429">
        <v>5395</v>
      </c>
      <c r="F429" s="1">
        <v>595</v>
      </c>
      <c r="G429">
        <v>1282</v>
      </c>
      <c r="H429">
        <f t="shared" si="13"/>
        <v>877</v>
      </c>
      <c r="I429">
        <v>254</v>
      </c>
      <c r="J429">
        <v>20</v>
      </c>
      <c r="K429">
        <v>131</v>
      </c>
      <c r="L429">
        <v>415</v>
      </c>
      <c r="M429">
        <v>52</v>
      </c>
      <c r="N429">
        <f t="shared" si="12"/>
        <v>3646</v>
      </c>
      <c r="O429">
        <v>562</v>
      </c>
      <c r="P429">
        <v>22</v>
      </c>
      <c r="Q429">
        <v>1252</v>
      </c>
      <c r="R429">
        <v>76</v>
      </c>
      <c r="S429">
        <v>37</v>
      </c>
      <c r="T429">
        <v>3</v>
      </c>
      <c r="U429">
        <v>72</v>
      </c>
      <c r="V429">
        <v>88</v>
      </c>
      <c r="W429">
        <v>122</v>
      </c>
      <c r="X429">
        <v>52</v>
      </c>
      <c r="Y429">
        <v>0.23799999999999999</v>
      </c>
      <c r="Z429">
        <v>0.29599999999999999</v>
      </c>
      <c r="AA429">
        <v>0.36499999999999999</v>
      </c>
    </row>
    <row r="430" spans="1:27" x14ac:dyDescent="0.2">
      <c r="A430" s="52">
        <v>2014</v>
      </c>
      <c r="B430" t="s">
        <v>55</v>
      </c>
      <c r="C430" t="s">
        <v>163</v>
      </c>
      <c r="D430">
        <v>162</v>
      </c>
      <c r="E430">
        <v>5575</v>
      </c>
      <c r="F430" s="1">
        <v>669</v>
      </c>
      <c r="G430">
        <v>1411</v>
      </c>
      <c r="H430">
        <f t="shared" si="13"/>
        <v>962</v>
      </c>
      <c r="I430">
        <v>284</v>
      </c>
      <c r="J430">
        <v>23</v>
      </c>
      <c r="K430">
        <v>142</v>
      </c>
      <c r="L430">
        <v>504</v>
      </c>
      <c r="M430">
        <v>42</v>
      </c>
      <c r="N430">
        <f t="shared" si="12"/>
        <v>3618</v>
      </c>
      <c r="O430">
        <v>644</v>
      </c>
      <c r="P430">
        <v>24</v>
      </c>
      <c r="Q430">
        <v>1189</v>
      </c>
      <c r="R430">
        <v>51</v>
      </c>
      <c r="S430">
        <v>49</v>
      </c>
      <c r="T430">
        <v>1</v>
      </c>
      <c r="U430">
        <v>59</v>
      </c>
      <c r="V430">
        <v>126</v>
      </c>
      <c r="W430">
        <v>104</v>
      </c>
      <c r="X430">
        <v>27</v>
      </c>
      <c r="Y430">
        <v>0.253</v>
      </c>
      <c r="Z430">
        <v>0.317</v>
      </c>
      <c r="AA430">
        <v>0.38900000000000001</v>
      </c>
    </row>
    <row r="431" spans="1:27" x14ac:dyDescent="0.2">
      <c r="A431" s="52">
        <v>2014</v>
      </c>
      <c r="B431" t="s">
        <v>57</v>
      </c>
      <c r="C431" t="s">
        <v>38</v>
      </c>
      <c r="D431">
        <v>162</v>
      </c>
      <c r="E431">
        <v>5612</v>
      </c>
      <c r="F431" s="1">
        <v>755</v>
      </c>
      <c r="G431">
        <v>1551</v>
      </c>
      <c r="H431">
        <f t="shared" si="13"/>
        <v>1017</v>
      </c>
      <c r="I431">
        <v>307</v>
      </c>
      <c r="J431">
        <v>41</v>
      </c>
      <c r="K431">
        <v>186</v>
      </c>
      <c r="L431">
        <v>397</v>
      </c>
      <c r="M431">
        <v>48</v>
      </c>
      <c r="N431">
        <f t="shared" si="12"/>
        <v>3616</v>
      </c>
      <c r="O431">
        <v>721</v>
      </c>
      <c r="P431">
        <v>39</v>
      </c>
      <c r="Q431">
        <v>1281</v>
      </c>
      <c r="R431">
        <v>59</v>
      </c>
      <c r="S431">
        <v>48</v>
      </c>
      <c r="T431">
        <v>0</v>
      </c>
      <c r="U431">
        <v>55</v>
      </c>
      <c r="V431">
        <v>121</v>
      </c>
      <c r="W431">
        <v>85</v>
      </c>
      <c r="X431">
        <v>48</v>
      </c>
      <c r="Y431">
        <v>0.27600000000000002</v>
      </c>
      <c r="Z431">
        <v>0.32700000000000001</v>
      </c>
      <c r="AA431">
        <v>0.44500000000000001</v>
      </c>
    </row>
    <row r="432" spans="1:27" x14ac:dyDescent="0.2">
      <c r="A432" s="52">
        <v>2014</v>
      </c>
      <c r="B432" t="s">
        <v>59</v>
      </c>
      <c r="C432" t="s">
        <v>163</v>
      </c>
      <c r="D432">
        <v>162</v>
      </c>
      <c r="E432">
        <v>5630</v>
      </c>
      <c r="F432" s="1">
        <v>757</v>
      </c>
      <c r="G432">
        <v>1557</v>
      </c>
      <c r="H432">
        <f t="shared" si="13"/>
        <v>1051</v>
      </c>
      <c r="I432">
        <v>325</v>
      </c>
      <c r="J432">
        <v>26</v>
      </c>
      <c r="K432">
        <v>155</v>
      </c>
      <c r="L432">
        <v>443</v>
      </c>
      <c r="M432">
        <v>44</v>
      </c>
      <c r="N432">
        <f t="shared" si="12"/>
        <v>3586</v>
      </c>
      <c r="O432">
        <v>731</v>
      </c>
      <c r="P432">
        <v>51</v>
      </c>
      <c r="Q432">
        <v>1144</v>
      </c>
      <c r="R432">
        <v>24</v>
      </c>
      <c r="S432">
        <v>61</v>
      </c>
      <c r="T432">
        <v>0</v>
      </c>
      <c r="U432">
        <v>66</v>
      </c>
      <c r="V432">
        <v>137</v>
      </c>
      <c r="W432">
        <v>106</v>
      </c>
      <c r="X432">
        <v>41</v>
      </c>
      <c r="Y432">
        <v>0.27700000000000002</v>
      </c>
      <c r="Z432">
        <v>0.33100000000000002</v>
      </c>
      <c r="AA432">
        <v>0.42599999999999999</v>
      </c>
    </row>
    <row r="433" spans="1:27" x14ac:dyDescent="0.2">
      <c r="A433" s="52">
        <v>2014</v>
      </c>
      <c r="B433" t="s">
        <v>63</v>
      </c>
      <c r="C433" t="s">
        <v>163</v>
      </c>
      <c r="D433">
        <v>162</v>
      </c>
      <c r="E433">
        <v>5447</v>
      </c>
      <c r="F433" s="1">
        <v>629</v>
      </c>
      <c r="G433">
        <v>1317</v>
      </c>
      <c r="H433">
        <f t="shared" si="13"/>
        <v>895</v>
      </c>
      <c r="I433">
        <v>240</v>
      </c>
      <c r="J433">
        <v>19</v>
      </c>
      <c r="K433">
        <v>163</v>
      </c>
      <c r="L433">
        <v>495</v>
      </c>
      <c r="M433">
        <v>55</v>
      </c>
      <c r="N433">
        <f t="shared" si="12"/>
        <v>3580</v>
      </c>
      <c r="O433">
        <v>596</v>
      </c>
      <c r="P433">
        <v>27</v>
      </c>
      <c r="Q433">
        <v>1442</v>
      </c>
      <c r="R433">
        <v>22</v>
      </c>
      <c r="S433">
        <v>36</v>
      </c>
      <c r="T433">
        <v>0</v>
      </c>
      <c r="U433">
        <v>45</v>
      </c>
      <c r="V433">
        <v>122</v>
      </c>
      <c r="W433">
        <v>122</v>
      </c>
      <c r="X433">
        <v>37</v>
      </c>
      <c r="Y433">
        <v>0.24199999999999999</v>
      </c>
      <c r="Z433">
        <v>0.309</v>
      </c>
      <c r="AA433">
        <v>0.38300000000000001</v>
      </c>
    </row>
    <row r="434" spans="1:27" x14ac:dyDescent="0.2">
      <c r="A434" s="52">
        <v>2014</v>
      </c>
      <c r="B434" t="s">
        <v>164</v>
      </c>
      <c r="C434" t="s">
        <v>163</v>
      </c>
      <c r="D434">
        <v>162</v>
      </c>
      <c r="E434">
        <v>5545</v>
      </c>
      <c r="F434" s="1">
        <v>651</v>
      </c>
      <c r="G434">
        <v>1456</v>
      </c>
      <c r="H434">
        <f t="shared" si="13"/>
        <v>1046</v>
      </c>
      <c r="I434">
        <v>286</v>
      </c>
      <c r="J434">
        <v>29</v>
      </c>
      <c r="K434">
        <v>95</v>
      </c>
      <c r="L434">
        <v>380</v>
      </c>
      <c r="M434">
        <v>53</v>
      </c>
      <c r="N434">
        <f t="shared" si="12"/>
        <v>3656</v>
      </c>
      <c r="O434">
        <v>604</v>
      </c>
      <c r="P434">
        <v>22</v>
      </c>
      <c r="Q434">
        <v>985</v>
      </c>
      <c r="R434">
        <v>33</v>
      </c>
      <c r="S434">
        <v>47</v>
      </c>
      <c r="T434">
        <v>0</v>
      </c>
      <c r="U434">
        <v>58</v>
      </c>
      <c r="V434">
        <v>131</v>
      </c>
      <c r="W434">
        <v>153</v>
      </c>
      <c r="X434">
        <v>36</v>
      </c>
      <c r="Y434">
        <v>0.26300000000000001</v>
      </c>
      <c r="Z434">
        <v>0.314</v>
      </c>
      <c r="AA434">
        <v>0.376</v>
      </c>
    </row>
    <row r="435" spans="1:27" x14ac:dyDescent="0.2">
      <c r="A435" s="52">
        <v>2014</v>
      </c>
      <c r="B435" t="s">
        <v>159</v>
      </c>
      <c r="C435" t="s">
        <v>38</v>
      </c>
      <c r="D435">
        <v>162</v>
      </c>
      <c r="E435">
        <v>5560</v>
      </c>
      <c r="F435" s="1">
        <v>718</v>
      </c>
      <c r="G435">
        <v>1476</v>
      </c>
      <c r="H435">
        <f t="shared" si="13"/>
        <v>1002</v>
      </c>
      <c r="I435">
        <v>302</v>
      </c>
      <c r="J435">
        <v>38</v>
      </c>
      <c r="K435">
        <v>134</v>
      </c>
      <c r="L435">
        <v>519</v>
      </c>
      <c r="M435">
        <v>61</v>
      </c>
      <c r="N435">
        <f t="shared" si="12"/>
        <v>3504</v>
      </c>
      <c r="O435">
        <v>686</v>
      </c>
      <c r="P435">
        <v>30</v>
      </c>
      <c r="Q435">
        <v>1246</v>
      </c>
      <c r="R435">
        <v>47</v>
      </c>
      <c r="S435">
        <v>43</v>
      </c>
      <c r="T435">
        <v>1</v>
      </c>
      <c r="U435">
        <v>65</v>
      </c>
      <c r="V435">
        <v>119</v>
      </c>
      <c r="W435">
        <v>138</v>
      </c>
      <c r="X435">
        <v>50</v>
      </c>
      <c r="Y435">
        <v>0.26500000000000001</v>
      </c>
      <c r="Z435">
        <v>0.33300000000000002</v>
      </c>
      <c r="AA435">
        <v>0.40600000000000003</v>
      </c>
    </row>
    <row r="436" spans="1:27" x14ac:dyDescent="0.2">
      <c r="A436" s="52">
        <v>2014</v>
      </c>
      <c r="B436" t="s">
        <v>104</v>
      </c>
      <c r="C436" t="s">
        <v>38</v>
      </c>
      <c r="D436">
        <v>162</v>
      </c>
      <c r="E436">
        <v>5538</v>
      </c>
      <c r="F436" s="1">
        <v>645</v>
      </c>
      <c r="G436">
        <v>1399</v>
      </c>
      <c r="H436">
        <f t="shared" si="13"/>
        <v>987</v>
      </c>
      <c r="I436">
        <v>254</v>
      </c>
      <c r="J436">
        <v>36</v>
      </c>
      <c r="K436">
        <v>122</v>
      </c>
      <c r="L436">
        <v>501</v>
      </c>
      <c r="M436">
        <v>35</v>
      </c>
      <c r="N436">
        <f t="shared" si="12"/>
        <v>3603</v>
      </c>
      <c r="O436">
        <v>614</v>
      </c>
      <c r="P436">
        <v>49</v>
      </c>
      <c r="Q436">
        <v>1419</v>
      </c>
      <c r="R436">
        <v>71</v>
      </c>
      <c r="S436">
        <v>39</v>
      </c>
      <c r="T436">
        <v>1</v>
      </c>
      <c r="U436">
        <v>65</v>
      </c>
      <c r="V436">
        <v>143</v>
      </c>
      <c r="W436">
        <v>58</v>
      </c>
      <c r="X436">
        <v>21</v>
      </c>
      <c r="Y436">
        <v>0.253</v>
      </c>
      <c r="Z436">
        <v>0.317</v>
      </c>
      <c r="AA436">
        <v>0.378</v>
      </c>
    </row>
    <row r="437" spans="1:27" x14ac:dyDescent="0.2">
      <c r="A437" s="52">
        <v>2014</v>
      </c>
      <c r="B437" t="s">
        <v>69</v>
      </c>
      <c r="C437" t="s">
        <v>38</v>
      </c>
      <c r="D437">
        <v>162</v>
      </c>
      <c r="E437">
        <v>5462</v>
      </c>
      <c r="F437" s="1">
        <v>650</v>
      </c>
      <c r="G437">
        <v>1366</v>
      </c>
      <c r="H437">
        <f t="shared" si="13"/>
        <v>891</v>
      </c>
      <c r="I437">
        <v>297</v>
      </c>
      <c r="J437">
        <v>28</v>
      </c>
      <c r="K437">
        <v>150</v>
      </c>
      <c r="L437">
        <v>423</v>
      </c>
      <c r="M437">
        <v>73</v>
      </c>
      <c r="N437">
        <f t="shared" si="12"/>
        <v>3600</v>
      </c>
      <c r="O437">
        <v>617</v>
      </c>
      <c r="P437">
        <v>32</v>
      </c>
      <c r="Q437">
        <v>1197</v>
      </c>
      <c r="R437">
        <v>70</v>
      </c>
      <c r="S437">
        <v>37</v>
      </c>
      <c r="T437">
        <v>0</v>
      </c>
      <c r="U437">
        <v>71</v>
      </c>
      <c r="V437">
        <v>135</v>
      </c>
      <c r="W437">
        <v>102</v>
      </c>
      <c r="X437">
        <v>43</v>
      </c>
      <c r="Y437">
        <v>0.25</v>
      </c>
      <c r="Z437">
        <v>0.311</v>
      </c>
      <c r="AA437">
        <v>0.39700000000000002</v>
      </c>
    </row>
    <row r="438" spans="1:27" x14ac:dyDescent="0.2">
      <c r="A438" s="52">
        <v>2014</v>
      </c>
      <c r="B438" t="s">
        <v>71</v>
      </c>
      <c r="C438" t="s">
        <v>163</v>
      </c>
      <c r="D438">
        <v>162</v>
      </c>
      <c r="E438">
        <v>5567</v>
      </c>
      <c r="F438" s="1">
        <v>715</v>
      </c>
      <c r="G438">
        <v>1412</v>
      </c>
      <c r="H438">
        <f t="shared" si="13"/>
        <v>941</v>
      </c>
      <c r="I438">
        <v>316</v>
      </c>
      <c r="J438">
        <v>27</v>
      </c>
      <c r="K438">
        <v>128</v>
      </c>
      <c r="L438">
        <v>544</v>
      </c>
      <c r="M438">
        <v>53</v>
      </c>
      <c r="N438">
        <f t="shared" si="12"/>
        <v>3558</v>
      </c>
      <c r="O438">
        <v>675</v>
      </c>
      <c r="P438">
        <v>29</v>
      </c>
      <c r="Q438">
        <v>1329</v>
      </c>
      <c r="R438">
        <v>25</v>
      </c>
      <c r="S438">
        <v>44</v>
      </c>
      <c r="T438">
        <v>0</v>
      </c>
      <c r="U438">
        <v>68</v>
      </c>
      <c r="V438">
        <v>97</v>
      </c>
      <c r="W438">
        <v>99</v>
      </c>
      <c r="X438">
        <v>36</v>
      </c>
      <c r="Y438">
        <v>0.254</v>
      </c>
      <c r="Z438">
        <v>0.32400000000000001</v>
      </c>
      <c r="AA438">
        <v>0.38900000000000001</v>
      </c>
    </row>
    <row r="439" spans="1:27" x14ac:dyDescent="0.2">
      <c r="A439" s="52">
        <v>2014</v>
      </c>
      <c r="B439" t="s">
        <v>158</v>
      </c>
      <c r="C439" t="s">
        <v>38</v>
      </c>
      <c r="D439">
        <v>162</v>
      </c>
      <c r="E439">
        <v>5472</v>
      </c>
      <c r="F439" s="1">
        <v>629</v>
      </c>
      <c r="G439">
        <v>1306</v>
      </c>
      <c r="H439">
        <f t="shared" si="13"/>
        <v>887</v>
      </c>
      <c r="I439">
        <v>275</v>
      </c>
      <c r="J439">
        <v>19</v>
      </c>
      <c r="K439">
        <v>125</v>
      </c>
      <c r="L439">
        <v>516</v>
      </c>
      <c r="M439">
        <v>54</v>
      </c>
      <c r="N439">
        <f t="shared" si="12"/>
        <v>3596</v>
      </c>
      <c r="O439">
        <v>602</v>
      </c>
      <c r="P439">
        <v>42</v>
      </c>
      <c r="Q439">
        <v>1264</v>
      </c>
      <c r="R439">
        <v>59</v>
      </c>
      <c r="S439">
        <v>44</v>
      </c>
      <c r="T439">
        <v>0</v>
      </c>
      <c r="U439">
        <v>62</v>
      </c>
      <c r="V439">
        <v>112</v>
      </c>
      <c r="W439">
        <v>101</v>
      </c>
      <c r="X439">
        <v>34</v>
      </c>
      <c r="Y439">
        <v>0.23899999999999999</v>
      </c>
      <c r="Z439">
        <v>0.308</v>
      </c>
      <c r="AA439">
        <v>0.36399999999999999</v>
      </c>
    </row>
    <row r="440" spans="1:27" x14ac:dyDescent="0.2">
      <c r="A440" s="52">
        <v>2014</v>
      </c>
      <c r="B440" t="s">
        <v>158</v>
      </c>
      <c r="C440" t="s">
        <v>163</v>
      </c>
      <c r="D440">
        <v>162</v>
      </c>
      <c r="E440">
        <v>5497</v>
      </c>
      <c r="F440" s="1">
        <v>633</v>
      </c>
      <c r="G440">
        <v>1349</v>
      </c>
      <c r="H440">
        <f t="shared" si="13"/>
        <v>929</v>
      </c>
      <c r="I440">
        <v>247</v>
      </c>
      <c r="J440">
        <v>26</v>
      </c>
      <c r="K440">
        <v>147</v>
      </c>
      <c r="L440">
        <v>452</v>
      </c>
      <c r="M440">
        <v>56</v>
      </c>
      <c r="N440">
        <f t="shared" si="12"/>
        <v>3640</v>
      </c>
      <c r="O440">
        <v>591</v>
      </c>
      <c r="P440">
        <v>16</v>
      </c>
      <c r="Q440">
        <v>1133</v>
      </c>
      <c r="R440">
        <v>29</v>
      </c>
      <c r="S440">
        <v>47</v>
      </c>
      <c r="T440">
        <v>1</v>
      </c>
      <c r="U440">
        <v>54</v>
      </c>
      <c r="V440">
        <v>111</v>
      </c>
      <c r="W440">
        <v>112</v>
      </c>
      <c r="X440">
        <v>26</v>
      </c>
      <c r="Y440">
        <v>0.245</v>
      </c>
      <c r="Z440">
        <v>0.307</v>
      </c>
      <c r="AA440">
        <v>0.38</v>
      </c>
    </row>
    <row r="441" spans="1:27" x14ac:dyDescent="0.2">
      <c r="A441" s="52">
        <v>2014</v>
      </c>
      <c r="B441" t="s">
        <v>79</v>
      </c>
      <c r="C441" t="s">
        <v>163</v>
      </c>
      <c r="D441">
        <v>162</v>
      </c>
      <c r="E441">
        <v>5545</v>
      </c>
      <c r="F441" s="1">
        <v>729</v>
      </c>
      <c r="G441">
        <v>1354</v>
      </c>
      <c r="H441">
        <f t="shared" si="13"/>
        <v>922</v>
      </c>
      <c r="I441">
        <v>253</v>
      </c>
      <c r="J441">
        <v>33</v>
      </c>
      <c r="K441">
        <v>146</v>
      </c>
      <c r="L441">
        <v>586</v>
      </c>
      <c r="M441">
        <v>49</v>
      </c>
      <c r="N441">
        <f t="shared" si="12"/>
        <v>3556</v>
      </c>
      <c r="O441">
        <v>686</v>
      </c>
      <c r="P441">
        <v>34</v>
      </c>
      <c r="Q441">
        <v>1104</v>
      </c>
      <c r="R441">
        <v>19</v>
      </c>
      <c r="S441">
        <v>43</v>
      </c>
      <c r="T441">
        <v>3</v>
      </c>
      <c r="U441">
        <v>68</v>
      </c>
      <c r="V441">
        <v>118</v>
      </c>
      <c r="W441">
        <v>83</v>
      </c>
      <c r="X441">
        <v>20</v>
      </c>
      <c r="Y441">
        <v>0.24399999999999999</v>
      </c>
      <c r="Z441">
        <v>0.32</v>
      </c>
      <c r="AA441">
        <v>0.38100000000000001</v>
      </c>
    </row>
    <row r="442" spans="1:27" x14ac:dyDescent="0.2">
      <c r="A442" s="52">
        <v>2014</v>
      </c>
      <c r="B442" t="s">
        <v>81</v>
      </c>
      <c r="C442" t="s">
        <v>38</v>
      </c>
      <c r="D442">
        <v>162</v>
      </c>
      <c r="E442">
        <v>5603</v>
      </c>
      <c r="F442" s="1">
        <v>619</v>
      </c>
      <c r="G442">
        <v>1356</v>
      </c>
      <c r="H442">
        <f t="shared" si="13"/>
        <v>953</v>
      </c>
      <c r="I442">
        <v>251</v>
      </c>
      <c r="J442">
        <v>27</v>
      </c>
      <c r="K442">
        <v>125</v>
      </c>
      <c r="L442">
        <v>443</v>
      </c>
      <c r="M442">
        <v>55</v>
      </c>
      <c r="N442">
        <f t="shared" si="12"/>
        <v>3749</v>
      </c>
      <c r="O442">
        <v>584</v>
      </c>
      <c r="P442">
        <v>42</v>
      </c>
      <c r="Q442">
        <v>1306</v>
      </c>
      <c r="R442">
        <v>59</v>
      </c>
      <c r="S442">
        <v>37</v>
      </c>
      <c r="T442">
        <v>1</v>
      </c>
      <c r="U442">
        <v>76</v>
      </c>
      <c r="V442">
        <v>94</v>
      </c>
      <c r="W442">
        <v>109</v>
      </c>
      <c r="X442">
        <v>26</v>
      </c>
      <c r="Y442">
        <v>0.24199999999999999</v>
      </c>
      <c r="Z442">
        <v>0.30199999999999999</v>
      </c>
      <c r="AA442">
        <v>0.36299999999999999</v>
      </c>
    </row>
    <row r="443" spans="1:27" x14ac:dyDescent="0.2">
      <c r="A443" s="52">
        <v>2014</v>
      </c>
      <c r="B443" t="s">
        <v>83</v>
      </c>
      <c r="C443" t="s">
        <v>38</v>
      </c>
      <c r="D443">
        <v>162</v>
      </c>
      <c r="E443">
        <v>5536</v>
      </c>
      <c r="F443" s="1">
        <v>682</v>
      </c>
      <c r="G443">
        <v>1436</v>
      </c>
      <c r="H443">
        <f t="shared" si="13"/>
        <v>975</v>
      </c>
      <c r="I443">
        <v>275</v>
      </c>
      <c r="J443">
        <v>30</v>
      </c>
      <c r="K443">
        <v>156</v>
      </c>
      <c r="L443">
        <v>520</v>
      </c>
      <c r="M443">
        <v>78</v>
      </c>
      <c r="N443">
        <f t="shared" si="12"/>
        <v>3502</v>
      </c>
      <c r="O443">
        <v>659</v>
      </c>
      <c r="P443">
        <v>46</v>
      </c>
      <c r="Q443">
        <v>1244</v>
      </c>
      <c r="R443">
        <v>54</v>
      </c>
      <c r="S443">
        <v>35</v>
      </c>
      <c r="T443">
        <v>1</v>
      </c>
      <c r="U443">
        <v>63</v>
      </c>
      <c r="V443">
        <v>127</v>
      </c>
      <c r="W443">
        <v>104</v>
      </c>
      <c r="X443">
        <v>47</v>
      </c>
      <c r="Y443">
        <v>0.25900000000000001</v>
      </c>
      <c r="Z443">
        <v>0.33</v>
      </c>
      <c r="AA443">
        <v>0.40400000000000003</v>
      </c>
    </row>
    <row r="444" spans="1:27" x14ac:dyDescent="0.2">
      <c r="A444" s="52">
        <v>2014</v>
      </c>
      <c r="B444" t="s">
        <v>161</v>
      </c>
      <c r="C444" t="s">
        <v>38</v>
      </c>
      <c r="D444">
        <v>162</v>
      </c>
      <c r="E444">
        <v>5294</v>
      </c>
      <c r="F444" s="1">
        <v>535</v>
      </c>
      <c r="G444">
        <v>1199</v>
      </c>
      <c r="H444">
        <f t="shared" si="13"/>
        <v>836</v>
      </c>
      <c r="I444">
        <v>224</v>
      </c>
      <c r="J444">
        <v>30</v>
      </c>
      <c r="K444">
        <v>109</v>
      </c>
      <c r="L444">
        <v>468</v>
      </c>
      <c r="M444">
        <v>41</v>
      </c>
      <c r="N444">
        <f t="shared" si="12"/>
        <v>3586</v>
      </c>
      <c r="O444">
        <v>500</v>
      </c>
      <c r="P444">
        <v>27</v>
      </c>
      <c r="Q444">
        <v>1294</v>
      </c>
      <c r="R444">
        <v>56</v>
      </c>
      <c r="S444">
        <v>45</v>
      </c>
      <c r="T444">
        <v>1</v>
      </c>
      <c r="U444">
        <v>62</v>
      </c>
      <c r="V444">
        <v>118</v>
      </c>
      <c r="W444">
        <v>91</v>
      </c>
      <c r="X444">
        <v>34</v>
      </c>
      <c r="Y444">
        <v>0.22600000000000001</v>
      </c>
      <c r="Z444">
        <v>0.29199999999999998</v>
      </c>
      <c r="AA444">
        <v>0.34200000000000003</v>
      </c>
    </row>
    <row r="445" spans="1:27" x14ac:dyDescent="0.2">
      <c r="A445" s="52">
        <v>2014</v>
      </c>
      <c r="B445" t="s">
        <v>87</v>
      </c>
      <c r="C445" t="s">
        <v>163</v>
      </c>
      <c r="D445">
        <v>162</v>
      </c>
      <c r="E445">
        <v>5450</v>
      </c>
      <c r="F445" s="1">
        <v>634</v>
      </c>
      <c r="G445">
        <v>1328</v>
      </c>
      <c r="H445">
        <f t="shared" si="13"/>
        <v>913</v>
      </c>
      <c r="I445">
        <v>247</v>
      </c>
      <c r="J445">
        <v>32</v>
      </c>
      <c r="K445">
        <v>136</v>
      </c>
      <c r="L445">
        <v>396</v>
      </c>
      <c r="M445">
        <v>60</v>
      </c>
      <c r="N445">
        <f t="shared" si="12"/>
        <v>3666</v>
      </c>
      <c r="O445">
        <v>600</v>
      </c>
      <c r="P445">
        <v>33</v>
      </c>
      <c r="Q445">
        <v>1232</v>
      </c>
      <c r="R445">
        <v>35</v>
      </c>
      <c r="S445">
        <v>34</v>
      </c>
      <c r="T445">
        <v>2</v>
      </c>
      <c r="U445">
        <v>61</v>
      </c>
      <c r="V445">
        <v>112</v>
      </c>
      <c r="W445">
        <v>96</v>
      </c>
      <c r="X445">
        <v>42</v>
      </c>
      <c r="Y445">
        <v>0.24399999999999999</v>
      </c>
      <c r="Z445">
        <v>0.3</v>
      </c>
      <c r="AA445">
        <v>0.376</v>
      </c>
    </row>
    <row r="446" spans="1:27" x14ac:dyDescent="0.2">
      <c r="A446" s="52">
        <v>2014</v>
      </c>
      <c r="B446" t="s">
        <v>21</v>
      </c>
      <c r="C446" t="s">
        <v>38</v>
      </c>
      <c r="D446">
        <v>162</v>
      </c>
      <c r="E446">
        <v>5523</v>
      </c>
      <c r="F446" s="1">
        <v>665</v>
      </c>
      <c r="G446">
        <v>1407</v>
      </c>
      <c r="H446">
        <f t="shared" si="13"/>
        <v>976</v>
      </c>
      <c r="I446">
        <v>257</v>
      </c>
      <c r="J446">
        <v>42</v>
      </c>
      <c r="K446">
        <v>132</v>
      </c>
      <c r="L446">
        <v>427</v>
      </c>
      <c r="M446">
        <v>43</v>
      </c>
      <c r="N446">
        <f t="shared" si="12"/>
        <v>3646</v>
      </c>
      <c r="O446">
        <v>636</v>
      </c>
      <c r="P446">
        <v>37</v>
      </c>
      <c r="Q446">
        <v>1245</v>
      </c>
      <c r="R446">
        <v>45</v>
      </c>
      <c r="S446">
        <v>49</v>
      </c>
      <c r="T446">
        <v>0</v>
      </c>
      <c r="U446">
        <v>58</v>
      </c>
      <c r="V446">
        <v>113</v>
      </c>
      <c r="W446">
        <v>56</v>
      </c>
      <c r="X446">
        <v>27</v>
      </c>
      <c r="Y446">
        <v>0.255</v>
      </c>
      <c r="Z446">
        <v>0.311</v>
      </c>
      <c r="AA446">
        <v>0.38800000000000001</v>
      </c>
    </row>
    <row r="447" spans="1:27" x14ac:dyDescent="0.2">
      <c r="A447" s="52">
        <v>2014</v>
      </c>
      <c r="B447" t="s">
        <v>156</v>
      </c>
      <c r="C447" t="s">
        <v>38</v>
      </c>
      <c r="D447">
        <v>162</v>
      </c>
      <c r="E447">
        <v>5426</v>
      </c>
      <c r="F447" s="1">
        <v>619</v>
      </c>
      <c r="G447">
        <v>1371</v>
      </c>
      <c r="H447">
        <f t="shared" si="13"/>
        <v>970</v>
      </c>
      <c r="I447">
        <v>275</v>
      </c>
      <c r="J447">
        <v>21</v>
      </c>
      <c r="K447">
        <v>105</v>
      </c>
      <c r="L447">
        <v>471</v>
      </c>
      <c r="M447">
        <v>86</v>
      </c>
      <c r="N447">
        <f t="shared" si="12"/>
        <v>3498</v>
      </c>
      <c r="O447">
        <v>585</v>
      </c>
      <c r="P447">
        <v>28</v>
      </c>
      <c r="Q447">
        <v>1133</v>
      </c>
      <c r="R447">
        <v>64</v>
      </c>
      <c r="S447">
        <v>39</v>
      </c>
      <c r="T447">
        <v>0</v>
      </c>
      <c r="U447">
        <v>62</v>
      </c>
      <c r="V447">
        <v>140</v>
      </c>
      <c r="W447">
        <v>57</v>
      </c>
      <c r="X447">
        <v>32</v>
      </c>
      <c r="Y447">
        <v>0.253</v>
      </c>
      <c r="Z447">
        <v>0.32</v>
      </c>
      <c r="AA447">
        <v>0.36899999999999999</v>
      </c>
    </row>
    <row r="448" spans="1:27" x14ac:dyDescent="0.2">
      <c r="A448" s="52">
        <v>2014</v>
      </c>
      <c r="B448" t="s">
        <v>165</v>
      </c>
      <c r="C448" t="s">
        <v>163</v>
      </c>
      <c r="D448">
        <v>162</v>
      </c>
      <c r="E448">
        <v>5516</v>
      </c>
      <c r="F448" s="1">
        <v>612</v>
      </c>
      <c r="G448">
        <v>1361</v>
      </c>
      <c r="H448">
        <f t="shared" si="13"/>
        <v>957</v>
      </c>
      <c r="I448">
        <v>263</v>
      </c>
      <c r="J448">
        <v>24</v>
      </c>
      <c r="K448">
        <v>117</v>
      </c>
      <c r="L448">
        <v>527</v>
      </c>
      <c r="M448">
        <v>66</v>
      </c>
      <c r="N448">
        <f t="shared" si="12"/>
        <v>3562</v>
      </c>
      <c r="O448">
        <v>586</v>
      </c>
      <c r="P448">
        <v>31</v>
      </c>
      <c r="Q448">
        <v>1124</v>
      </c>
      <c r="R448">
        <v>43</v>
      </c>
      <c r="S448">
        <v>53</v>
      </c>
      <c r="T448">
        <v>0</v>
      </c>
      <c r="U448">
        <v>65</v>
      </c>
      <c r="V448">
        <v>135</v>
      </c>
      <c r="W448">
        <v>63</v>
      </c>
      <c r="X448">
        <v>27</v>
      </c>
      <c r="Y448">
        <v>0.247</v>
      </c>
      <c r="Z448">
        <v>0.317</v>
      </c>
      <c r="AA448">
        <v>0.36699999999999999</v>
      </c>
    </row>
    <row r="449" spans="1:27" x14ac:dyDescent="0.2">
      <c r="A449" s="52">
        <v>2014</v>
      </c>
      <c r="B449" t="s">
        <v>95</v>
      </c>
      <c r="C449" t="s">
        <v>163</v>
      </c>
      <c r="D449">
        <v>162</v>
      </c>
      <c r="E449">
        <v>5460</v>
      </c>
      <c r="F449" s="1">
        <v>637</v>
      </c>
      <c r="G449">
        <v>1400</v>
      </c>
      <c r="H449">
        <f t="shared" si="13"/>
        <v>1001</v>
      </c>
      <c r="I449">
        <v>260</v>
      </c>
      <c r="J449">
        <v>28</v>
      </c>
      <c r="K449">
        <v>111</v>
      </c>
      <c r="L449">
        <v>417</v>
      </c>
      <c r="M449">
        <v>61</v>
      </c>
      <c r="N449">
        <f t="shared" si="12"/>
        <v>3582</v>
      </c>
      <c r="O449">
        <v>597</v>
      </c>
      <c r="P449">
        <v>37</v>
      </c>
      <c r="Q449">
        <v>1162</v>
      </c>
      <c r="R449">
        <v>41</v>
      </c>
      <c r="S449">
        <v>45</v>
      </c>
      <c r="T449">
        <v>2</v>
      </c>
      <c r="U449">
        <v>73</v>
      </c>
      <c r="V449">
        <v>148</v>
      </c>
      <c r="W449">
        <v>105</v>
      </c>
      <c r="X449">
        <v>59</v>
      </c>
      <c r="Y449">
        <v>0.25600000000000001</v>
      </c>
      <c r="Z449">
        <v>0.314</v>
      </c>
      <c r="AA449">
        <v>0.375</v>
      </c>
    </row>
    <row r="450" spans="1:27" x14ac:dyDescent="0.2">
      <c r="A450" s="52">
        <v>2014</v>
      </c>
      <c r="B450" t="s">
        <v>97</v>
      </c>
      <c r="C450" t="s">
        <v>163</v>
      </c>
      <c r="D450">
        <v>162</v>
      </c>
      <c r="E450">
        <v>5549</v>
      </c>
      <c r="F450" s="1">
        <v>723</v>
      </c>
      <c r="G450">
        <v>1435</v>
      </c>
      <c r="H450">
        <f t="shared" si="13"/>
        <v>952</v>
      </c>
      <c r="I450">
        <v>282</v>
      </c>
      <c r="J450">
        <v>24</v>
      </c>
      <c r="K450">
        <v>177</v>
      </c>
      <c r="L450">
        <v>502</v>
      </c>
      <c r="M450">
        <v>41</v>
      </c>
      <c r="N450">
        <f t="shared" ref="N450:N513" si="14">E450-(G450+L450+M450)</f>
        <v>3571</v>
      </c>
      <c r="O450">
        <v>690</v>
      </c>
      <c r="P450">
        <v>27</v>
      </c>
      <c r="Q450">
        <v>1151</v>
      </c>
      <c r="R450">
        <v>35</v>
      </c>
      <c r="S450">
        <v>40</v>
      </c>
      <c r="T450">
        <v>0</v>
      </c>
      <c r="U450">
        <v>69</v>
      </c>
      <c r="V450">
        <v>128</v>
      </c>
      <c r="W450">
        <v>78</v>
      </c>
      <c r="X450">
        <v>21</v>
      </c>
      <c r="Y450">
        <v>0.25900000000000001</v>
      </c>
      <c r="Z450">
        <v>0.32300000000000001</v>
      </c>
      <c r="AA450">
        <v>0.41399999999999998</v>
      </c>
    </row>
    <row r="451" spans="1:27" x14ac:dyDescent="0.2">
      <c r="A451" s="52">
        <v>2014</v>
      </c>
      <c r="B451" t="s">
        <v>101</v>
      </c>
      <c r="C451" t="s">
        <v>38</v>
      </c>
      <c r="D451">
        <v>162</v>
      </c>
      <c r="E451">
        <v>5542</v>
      </c>
      <c r="F451" s="1">
        <v>686</v>
      </c>
      <c r="G451">
        <v>1403</v>
      </c>
      <c r="H451">
        <f t="shared" ref="H451:H514" si="15">G451-(I451+J451+K451)</f>
        <v>959</v>
      </c>
      <c r="I451">
        <v>265</v>
      </c>
      <c r="J451">
        <v>27</v>
      </c>
      <c r="K451">
        <v>152</v>
      </c>
      <c r="L451">
        <v>517</v>
      </c>
      <c r="M451">
        <v>56</v>
      </c>
      <c r="N451">
        <f t="shared" si="14"/>
        <v>3566</v>
      </c>
      <c r="O451">
        <v>635</v>
      </c>
      <c r="P451">
        <v>29</v>
      </c>
      <c r="Q451">
        <v>1304</v>
      </c>
      <c r="R451">
        <v>60</v>
      </c>
      <c r="S451">
        <v>41</v>
      </c>
      <c r="T451">
        <v>0</v>
      </c>
      <c r="U451">
        <v>57</v>
      </c>
      <c r="V451">
        <v>115</v>
      </c>
      <c r="W451">
        <v>101</v>
      </c>
      <c r="X451">
        <v>23</v>
      </c>
      <c r="Y451">
        <v>0.253</v>
      </c>
      <c r="Z451">
        <v>0.32100000000000001</v>
      </c>
      <c r="AA451">
        <v>0.39300000000000002</v>
      </c>
    </row>
    <row r="452" spans="1:27" x14ac:dyDescent="0.2">
      <c r="A452" s="52">
        <v>2015</v>
      </c>
      <c r="B452" t="s">
        <v>37</v>
      </c>
      <c r="C452" t="s">
        <v>163</v>
      </c>
      <c r="D452">
        <v>162</v>
      </c>
      <c r="E452">
        <v>5417</v>
      </c>
      <c r="F452" s="1">
        <v>661</v>
      </c>
      <c r="G452">
        <v>1331</v>
      </c>
      <c r="H452">
        <f t="shared" si="15"/>
        <v>891</v>
      </c>
      <c r="I452">
        <v>243</v>
      </c>
      <c r="J452">
        <v>21</v>
      </c>
      <c r="K452">
        <v>176</v>
      </c>
      <c r="L452">
        <v>435</v>
      </c>
      <c r="M452">
        <v>58</v>
      </c>
      <c r="N452">
        <f t="shared" si="14"/>
        <v>3593</v>
      </c>
      <c r="O452">
        <v>621</v>
      </c>
      <c r="P452">
        <v>34</v>
      </c>
      <c r="Q452">
        <v>1150</v>
      </c>
      <c r="R452">
        <v>37</v>
      </c>
      <c r="S452">
        <v>40</v>
      </c>
      <c r="T452">
        <v>3</v>
      </c>
      <c r="U452">
        <v>65</v>
      </c>
      <c r="V452">
        <v>116</v>
      </c>
      <c r="W452">
        <v>52</v>
      </c>
      <c r="X452">
        <v>34</v>
      </c>
      <c r="Y452">
        <v>0.246</v>
      </c>
      <c r="Z452">
        <v>0.307</v>
      </c>
      <c r="AA452">
        <v>0.39600000000000002</v>
      </c>
    </row>
    <row r="453" spans="1:27" x14ac:dyDescent="0.2">
      <c r="A453" s="52">
        <v>2015</v>
      </c>
      <c r="B453" t="s">
        <v>40</v>
      </c>
      <c r="C453" t="s">
        <v>38</v>
      </c>
      <c r="D453">
        <v>162</v>
      </c>
      <c r="E453">
        <v>5649</v>
      </c>
      <c r="F453" s="1">
        <v>720</v>
      </c>
      <c r="G453">
        <v>1494</v>
      </c>
      <c r="H453">
        <f t="shared" si="15"/>
        <v>1003</v>
      </c>
      <c r="I453">
        <v>289</v>
      </c>
      <c r="J453">
        <v>48</v>
      </c>
      <c r="K453">
        <v>154</v>
      </c>
      <c r="L453">
        <v>490</v>
      </c>
      <c r="M453">
        <v>33</v>
      </c>
      <c r="N453">
        <f t="shared" si="14"/>
        <v>3632</v>
      </c>
      <c r="O453">
        <v>680</v>
      </c>
      <c r="P453">
        <v>40</v>
      </c>
      <c r="Q453">
        <v>1312</v>
      </c>
      <c r="R453">
        <v>46</v>
      </c>
      <c r="S453">
        <v>57</v>
      </c>
      <c r="T453">
        <v>1</v>
      </c>
      <c r="U453">
        <v>77</v>
      </c>
      <c r="V453">
        <v>134</v>
      </c>
      <c r="W453">
        <v>132</v>
      </c>
      <c r="X453">
        <v>44</v>
      </c>
      <c r="Y453">
        <v>0.26400000000000001</v>
      </c>
      <c r="Z453">
        <v>0.32400000000000001</v>
      </c>
      <c r="AA453">
        <v>0.41399999999999998</v>
      </c>
    </row>
    <row r="454" spans="1:27" x14ac:dyDescent="0.2">
      <c r="A454" s="52">
        <v>2015</v>
      </c>
      <c r="B454" t="s">
        <v>42</v>
      </c>
      <c r="C454" t="s">
        <v>38</v>
      </c>
      <c r="D454">
        <v>162</v>
      </c>
      <c r="E454">
        <v>5420</v>
      </c>
      <c r="F454" s="1">
        <v>573</v>
      </c>
      <c r="G454">
        <v>1361</v>
      </c>
      <c r="H454">
        <f t="shared" si="15"/>
        <v>992</v>
      </c>
      <c r="I454">
        <v>251</v>
      </c>
      <c r="J454">
        <v>18</v>
      </c>
      <c r="K454">
        <v>100</v>
      </c>
      <c r="L454">
        <v>471</v>
      </c>
      <c r="M454">
        <v>44</v>
      </c>
      <c r="N454">
        <f t="shared" si="14"/>
        <v>3544</v>
      </c>
      <c r="O454">
        <v>548</v>
      </c>
      <c r="P454">
        <v>39</v>
      </c>
      <c r="Q454">
        <v>1107</v>
      </c>
      <c r="R454">
        <v>67</v>
      </c>
      <c r="S454">
        <v>31</v>
      </c>
      <c r="T454">
        <v>1</v>
      </c>
      <c r="U454">
        <v>66</v>
      </c>
      <c r="V454">
        <v>148</v>
      </c>
      <c r="W454">
        <v>69</v>
      </c>
      <c r="X454">
        <v>33</v>
      </c>
      <c r="Y454">
        <v>0.251</v>
      </c>
      <c r="Z454">
        <v>0.314</v>
      </c>
      <c r="AA454">
        <v>0.35899999999999999</v>
      </c>
    </row>
    <row r="455" spans="1:27" x14ac:dyDescent="0.2">
      <c r="A455" s="52">
        <v>2015</v>
      </c>
      <c r="B455" t="s">
        <v>45</v>
      </c>
      <c r="C455" t="s">
        <v>163</v>
      </c>
      <c r="D455">
        <v>162</v>
      </c>
      <c r="E455">
        <v>5485</v>
      </c>
      <c r="F455" s="1">
        <v>713</v>
      </c>
      <c r="G455">
        <v>1370</v>
      </c>
      <c r="H455">
        <f t="shared" si="15"/>
        <v>887</v>
      </c>
      <c r="I455">
        <v>246</v>
      </c>
      <c r="J455">
        <v>20</v>
      </c>
      <c r="K455">
        <v>217</v>
      </c>
      <c r="L455">
        <v>418</v>
      </c>
      <c r="M455">
        <v>51</v>
      </c>
      <c r="N455">
        <f t="shared" si="14"/>
        <v>3646</v>
      </c>
      <c r="O455">
        <v>686</v>
      </c>
      <c r="P455">
        <v>23</v>
      </c>
      <c r="Q455">
        <v>1331</v>
      </c>
      <c r="R455">
        <v>20</v>
      </c>
      <c r="S455">
        <v>32</v>
      </c>
      <c r="T455">
        <v>1</v>
      </c>
      <c r="U455">
        <v>63</v>
      </c>
      <c r="V455">
        <v>127</v>
      </c>
      <c r="W455">
        <v>44</v>
      </c>
      <c r="X455">
        <v>25</v>
      </c>
      <c r="Y455">
        <v>0.25</v>
      </c>
      <c r="Z455">
        <v>0.307</v>
      </c>
      <c r="AA455">
        <v>0.42099999999999999</v>
      </c>
    </row>
    <row r="456" spans="1:27" x14ac:dyDescent="0.2">
      <c r="A456" s="52">
        <v>2015</v>
      </c>
      <c r="B456" t="s">
        <v>47</v>
      </c>
      <c r="C456" t="s">
        <v>163</v>
      </c>
      <c r="D456">
        <v>162</v>
      </c>
      <c r="E456">
        <v>5640</v>
      </c>
      <c r="F456" s="1">
        <v>748</v>
      </c>
      <c r="G456">
        <v>1495</v>
      </c>
      <c r="H456">
        <f t="shared" si="15"/>
        <v>1007</v>
      </c>
      <c r="I456">
        <v>294</v>
      </c>
      <c r="J456">
        <v>33</v>
      </c>
      <c r="K456">
        <v>161</v>
      </c>
      <c r="L456">
        <v>478</v>
      </c>
      <c r="M456">
        <v>46</v>
      </c>
      <c r="N456">
        <f t="shared" si="14"/>
        <v>3621</v>
      </c>
      <c r="O456">
        <v>706</v>
      </c>
      <c r="P456">
        <v>28</v>
      </c>
      <c r="Q456">
        <v>1148</v>
      </c>
      <c r="R456">
        <v>30</v>
      </c>
      <c r="S456">
        <v>42</v>
      </c>
      <c r="T456">
        <v>1</v>
      </c>
      <c r="U456">
        <v>82</v>
      </c>
      <c r="V456">
        <v>127</v>
      </c>
      <c r="W456">
        <v>71</v>
      </c>
      <c r="X456">
        <v>27</v>
      </c>
      <c r="Y456">
        <v>0.26500000000000001</v>
      </c>
      <c r="Z456">
        <v>0.32500000000000001</v>
      </c>
      <c r="AA456">
        <v>0.41499999999999998</v>
      </c>
    </row>
    <row r="457" spans="1:27" x14ac:dyDescent="0.2">
      <c r="A457" s="52">
        <v>2015</v>
      </c>
      <c r="B457" t="s">
        <v>157</v>
      </c>
      <c r="C457" t="s">
        <v>38</v>
      </c>
      <c r="D457">
        <v>162</v>
      </c>
      <c r="E457">
        <v>5491</v>
      </c>
      <c r="F457" s="1">
        <v>689</v>
      </c>
      <c r="G457">
        <v>1341</v>
      </c>
      <c r="H457">
        <f t="shared" si="15"/>
        <v>868</v>
      </c>
      <c r="I457">
        <v>272</v>
      </c>
      <c r="J457">
        <v>30</v>
      </c>
      <c r="K457">
        <v>171</v>
      </c>
      <c r="L457">
        <v>567</v>
      </c>
      <c r="M457">
        <v>74</v>
      </c>
      <c r="N457">
        <f t="shared" si="14"/>
        <v>3509</v>
      </c>
      <c r="O457">
        <v>657</v>
      </c>
      <c r="P457">
        <v>47</v>
      </c>
      <c r="Q457">
        <v>1518</v>
      </c>
      <c r="R457">
        <v>32</v>
      </c>
      <c r="S457">
        <v>35</v>
      </c>
      <c r="T457">
        <v>1</v>
      </c>
      <c r="U457">
        <v>60</v>
      </c>
      <c r="V457">
        <v>101</v>
      </c>
      <c r="W457">
        <v>95</v>
      </c>
      <c r="X457">
        <v>37</v>
      </c>
      <c r="Y457">
        <v>0.24399999999999999</v>
      </c>
      <c r="Z457">
        <v>0.32100000000000001</v>
      </c>
      <c r="AA457">
        <v>0.39800000000000002</v>
      </c>
    </row>
    <row r="458" spans="1:27" x14ac:dyDescent="0.2">
      <c r="A458" s="52">
        <v>2015</v>
      </c>
      <c r="B458" t="s">
        <v>157</v>
      </c>
      <c r="C458" t="s">
        <v>163</v>
      </c>
      <c r="D458">
        <v>162</v>
      </c>
      <c r="E458">
        <v>5533</v>
      </c>
      <c r="F458" s="1">
        <v>622</v>
      </c>
      <c r="G458">
        <v>1381</v>
      </c>
      <c r="H458">
        <f t="shared" si="15"/>
        <v>958</v>
      </c>
      <c r="I458">
        <v>260</v>
      </c>
      <c r="J458">
        <v>27</v>
      </c>
      <c r="K458">
        <v>136</v>
      </c>
      <c r="L458">
        <v>404</v>
      </c>
      <c r="M458">
        <v>65</v>
      </c>
      <c r="N458">
        <f t="shared" si="14"/>
        <v>3683</v>
      </c>
      <c r="O458">
        <v>595</v>
      </c>
      <c r="P458">
        <v>22</v>
      </c>
      <c r="Q458">
        <v>1231</v>
      </c>
      <c r="R458">
        <v>30</v>
      </c>
      <c r="S458">
        <v>37</v>
      </c>
      <c r="T458">
        <v>1</v>
      </c>
      <c r="U458">
        <v>68</v>
      </c>
      <c r="V458">
        <v>125</v>
      </c>
      <c r="W458">
        <v>68</v>
      </c>
      <c r="X458">
        <v>42</v>
      </c>
      <c r="Y458">
        <v>0.25</v>
      </c>
      <c r="Z458">
        <v>0.30599999999999999</v>
      </c>
      <c r="AA458">
        <v>0.38</v>
      </c>
    </row>
    <row r="459" spans="1:27" x14ac:dyDescent="0.2">
      <c r="A459" s="52">
        <v>2015</v>
      </c>
      <c r="B459" t="s">
        <v>53</v>
      </c>
      <c r="C459" t="s">
        <v>38</v>
      </c>
      <c r="D459">
        <v>162</v>
      </c>
      <c r="E459">
        <v>5571</v>
      </c>
      <c r="F459" s="1">
        <v>640</v>
      </c>
      <c r="G459">
        <v>1382</v>
      </c>
      <c r="H459">
        <f t="shared" si="15"/>
        <v>931</v>
      </c>
      <c r="I459">
        <v>257</v>
      </c>
      <c r="J459">
        <v>27</v>
      </c>
      <c r="K459">
        <v>167</v>
      </c>
      <c r="L459">
        <v>496</v>
      </c>
      <c r="M459">
        <v>42</v>
      </c>
      <c r="N459">
        <f t="shared" si="14"/>
        <v>3651</v>
      </c>
      <c r="O459">
        <v>613</v>
      </c>
      <c r="P459">
        <v>38</v>
      </c>
      <c r="Q459">
        <v>1255</v>
      </c>
      <c r="R459">
        <v>47</v>
      </c>
      <c r="S459">
        <v>40</v>
      </c>
      <c r="T459">
        <v>0</v>
      </c>
      <c r="U459">
        <v>61</v>
      </c>
      <c r="V459">
        <v>112</v>
      </c>
      <c r="W459">
        <v>134</v>
      </c>
      <c r="X459">
        <v>38</v>
      </c>
      <c r="Y459">
        <v>0.248</v>
      </c>
      <c r="Z459">
        <v>0.312</v>
      </c>
      <c r="AA459">
        <v>0.39400000000000002</v>
      </c>
    </row>
    <row r="460" spans="1:27" x14ac:dyDescent="0.2">
      <c r="A460" s="52">
        <v>2015</v>
      </c>
      <c r="B460" t="s">
        <v>55</v>
      </c>
      <c r="C460" t="s">
        <v>163</v>
      </c>
      <c r="D460">
        <v>161</v>
      </c>
      <c r="E460">
        <v>5439</v>
      </c>
      <c r="F460" s="1">
        <v>669</v>
      </c>
      <c r="G460">
        <v>1395</v>
      </c>
      <c r="H460">
        <f t="shared" si="15"/>
        <v>922</v>
      </c>
      <c r="I460">
        <v>303</v>
      </c>
      <c r="J460">
        <v>29</v>
      </c>
      <c r="K460">
        <v>141</v>
      </c>
      <c r="L460">
        <v>533</v>
      </c>
      <c r="M460">
        <v>39</v>
      </c>
      <c r="N460">
        <f t="shared" si="14"/>
        <v>3472</v>
      </c>
      <c r="O460">
        <v>640</v>
      </c>
      <c r="P460">
        <v>34</v>
      </c>
      <c r="Q460">
        <v>1157</v>
      </c>
      <c r="R460">
        <v>47</v>
      </c>
      <c r="S460">
        <v>50</v>
      </c>
      <c r="T460">
        <v>1</v>
      </c>
      <c r="U460">
        <v>54</v>
      </c>
      <c r="V460">
        <v>134</v>
      </c>
      <c r="W460">
        <v>86</v>
      </c>
      <c r="X460">
        <v>28</v>
      </c>
      <c r="Y460">
        <v>0.25600000000000001</v>
      </c>
      <c r="Z460">
        <v>0.32500000000000001</v>
      </c>
      <c r="AA460">
        <v>0.40100000000000002</v>
      </c>
    </row>
    <row r="461" spans="1:27" x14ac:dyDescent="0.2">
      <c r="A461" s="52">
        <v>2015</v>
      </c>
      <c r="B461" t="s">
        <v>57</v>
      </c>
      <c r="C461" t="s">
        <v>38</v>
      </c>
      <c r="D461">
        <v>162</v>
      </c>
      <c r="E461">
        <v>5572</v>
      </c>
      <c r="F461" s="1">
        <v>737</v>
      </c>
      <c r="G461">
        <v>1479</v>
      </c>
      <c r="H461">
        <f t="shared" si="15"/>
        <v>970</v>
      </c>
      <c r="I461">
        <v>274</v>
      </c>
      <c r="J461">
        <v>49</v>
      </c>
      <c r="K461">
        <v>186</v>
      </c>
      <c r="L461">
        <v>388</v>
      </c>
      <c r="M461">
        <v>33</v>
      </c>
      <c r="N461">
        <f t="shared" si="14"/>
        <v>3672</v>
      </c>
      <c r="O461">
        <v>702</v>
      </c>
      <c r="P461">
        <v>47</v>
      </c>
      <c r="Q461">
        <v>1283</v>
      </c>
      <c r="R461">
        <v>44</v>
      </c>
      <c r="S461">
        <v>34</v>
      </c>
      <c r="T461">
        <v>0</v>
      </c>
      <c r="U461">
        <v>64</v>
      </c>
      <c r="V461">
        <v>114</v>
      </c>
      <c r="W461">
        <v>97</v>
      </c>
      <c r="X461">
        <v>43</v>
      </c>
      <c r="Y461">
        <v>0.26500000000000001</v>
      </c>
      <c r="Z461">
        <v>0.315</v>
      </c>
      <c r="AA461">
        <v>0.432</v>
      </c>
    </row>
    <row r="462" spans="1:27" x14ac:dyDescent="0.2">
      <c r="A462" s="52">
        <v>2015</v>
      </c>
      <c r="B462" t="s">
        <v>59</v>
      </c>
      <c r="C462" t="s">
        <v>163</v>
      </c>
      <c r="D462">
        <v>161</v>
      </c>
      <c r="E462">
        <v>5605</v>
      </c>
      <c r="F462" s="1">
        <v>689</v>
      </c>
      <c r="G462">
        <v>1515</v>
      </c>
      <c r="H462">
        <f t="shared" si="15"/>
        <v>1026</v>
      </c>
      <c r="I462">
        <v>289</v>
      </c>
      <c r="J462">
        <v>49</v>
      </c>
      <c r="K462">
        <v>151</v>
      </c>
      <c r="L462">
        <v>455</v>
      </c>
      <c r="M462">
        <v>41</v>
      </c>
      <c r="N462">
        <f t="shared" si="14"/>
        <v>3594</v>
      </c>
      <c r="O462">
        <v>660</v>
      </c>
      <c r="P462">
        <v>36</v>
      </c>
      <c r="Q462">
        <v>1259</v>
      </c>
      <c r="R462">
        <v>23</v>
      </c>
      <c r="S462">
        <v>35</v>
      </c>
      <c r="T462">
        <v>0</v>
      </c>
      <c r="U462">
        <v>51</v>
      </c>
      <c r="V462">
        <v>152</v>
      </c>
      <c r="W462">
        <v>83</v>
      </c>
      <c r="X462">
        <v>51</v>
      </c>
      <c r="Y462">
        <v>0.27</v>
      </c>
      <c r="Z462">
        <v>0.32800000000000001</v>
      </c>
      <c r="AA462">
        <v>0.42</v>
      </c>
    </row>
    <row r="463" spans="1:27" x14ac:dyDescent="0.2">
      <c r="A463" s="52">
        <v>2015</v>
      </c>
      <c r="B463" t="s">
        <v>63</v>
      </c>
      <c r="C463" t="s">
        <v>163</v>
      </c>
      <c r="D463">
        <v>162</v>
      </c>
      <c r="E463">
        <v>5459</v>
      </c>
      <c r="F463" s="1">
        <v>729</v>
      </c>
      <c r="G463">
        <v>1363</v>
      </c>
      <c r="H463">
        <f t="shared" si="15"/>
        <v>829</v>
      </c>
      <c r="I463">
        <v>278</v>
      </c>
      <c r="J463">
        <v>26</v>
      </c>
      <c r="K463">
        <v>230</v>
      </c>
      <c r="L463">
        <v>486</v>
      </c>
      <c r="M463">
        <v>56</v>
      </c>
      <c r="N463">
        <f t="shared" si="14"/>
        <v>3554</v>
      </c>
      <c r="O463">
        <v>691</v>
      </c>
      <c r="P463">
        <v>22</v>
      </c>
      <c r="Q463">
        <v>1392</v>
      </c>
      <c r="R463">
        <v>28</v>
      </c>
      <c r="S463">
        <v>43</v>
      </c>
      <c r="T463">
        <v>1</v>
      </c>
      <c r="U463">
        <v>64</v>
      </c>
      <c r="V463">
        <v>102</v>
      </c>
      <c r="W463">
        <v>121</v>
      </c>
      <c r="X463">
        <v>48</v>
      </c>
      <c r="Y463">
        <v>0.25</v>
      </c>
      <c r="Z463">
        <v>0.315</v>
      </c>
      <c r="AA463">
        <v>0.437</v>
      </c>
    </row>
    <row r="464" spans="1:27" x14ac:dyDescent="0.2">
      <c r="A464" s="52">
        <v>2015</v>
      </c>
      <c r="B464" t="s">
        <v>164</v>
      </c>
      <c r="C464" t="s">
        <v>163</v>
      </c>
      <c r="D464">
        <v>162</v>
      </c>
      <c r="E464">
        <v>5575</v>
      </c>
      <c r="F464" s="1">
        <v>724</v>
      </c>
      <c r="G464">
        <v>1497</v>
      </c>
      <c r="H464">
        <f t="shared" si="15"/>
        <v>1016</v>
      </c>
      <c r="I464">
        <v>300</v>
      </c>
      <c r="J464">
        <v>42</v>
      </c>
      <c r="K464">
        <v>139</v>
      </c>
      <c r="L464">
        <v>383</v>
      </c>
      <c r="M464">
        <v>77</v>
      </c>
      <c r="N464">
        <f t="shared" si="14"/>
        <v>3618</v>
      </c>
      <c r="O464">
        <v>689</v>
      </c>
      <c r="P464">
        <v>28</v>
      </c>
      <c r="Q464">
        <v>973</v>
      </c>
      <c r="R464">
        <v>34</v>
      </c>
      <c r="S464">
        <v>47</v>
      </c>
      <c r="T464">
        <v>0</v>
      </c>
      <c r="U464">
        <v>65</v>
      </c>
      <c r="V464">
        <v>133</v>
      </c>
      <c r="W464">
        <v>104</v>
      </c>
      <c r="X464">
        <v>34</v>
      </c>
      <c r="Y464">
        <v>0.26900000000000002</v>
      </c>
      <c r="Z464">
        <v>0.32200000000000001</v>
      </c>
      <c r="AA464">
        <v>0.41199999999999998</v>
      </c>
    </row>
    <row r="465" spans="1:27" x14ac:dyDescent="0.2">
      <c r="A465" s="52">
        <v>2015</v>
      </c>
      <c r="B465" t="s">
        <v>159</v>
      </c>
      <c r="C465" t="s">
        <v>38</v>
      </c>
      <c r="D465">
        <v>162</v>
      </c>
      <c r="E465">
        <v>5385</v>
      </c>
      <c r="F465" s="1">
        <v>667</v>
      </c>
      <c r="G465">
        <v>1346</v>
      </c>
      <c r="H465">
        <f t="shared" si="15"/>
        <v>870</v>
      </c>
      <c r="I465">
        <v>263</v>
      </c>
      <c r="J465">
        <v>26</v>
      </c>
      <c r="K465">
        <v>187</v>
      </c>
      <c r="L465">
        <v>563</v>
      </c>
      <c r="M465">
        <v>60</v>
      </c>
      <c r="N465">
        <f t="shared" si="14"/>
        <v>3416</v>
      </c>
      <c r="O465">
        <v>638</v>
      </c>
      <c r="P465">
        <v>31</v>
      </c>
      <c r="Q465">
        <v>1258</v>
      </c>
      <c r="R465">
        <v>49</v>
      </c>
      <c r="S465">
        <v>30</v>
      </c>
      <c r="T465">
        <v>3</v>
      </c>
      <c r="U465">
        <v>41</v>
      </c>
      <c r="V465">
        <v>135</v>
      </c>
      <c r="W465">
        <v>59</v>
      </c>
      <c r="X465">
        <v>34</v>
      </c>
      <c r="Y465">
        <v>0.25</v>
      </c>
      <c r="Z465">
        <v>0.32600000000000001</v>
      </c>
      <c r="AA465">
        <v>0.41299999999999998</v>
      </c>
    </row>
    <row r="466" spans="1:27" x14ac:dyDescent="0.2">
      <c r="A466" s="52">
        <v>2015</v>
      </c>
      <c r="B466" t="s">
        <v>104</v>
      </c>
      <c r="C466" t="s">
        <v>38</v>
      </c>
      <c r="D466">
        <v>162</v>
      </c>
      <c r="E466">
        <v>5463</v>
      </c>
      <c r="F466" s="1">
        <v>613</v>
      </c>
      <c r="G466">
        <v>1420</v>
      </c>
      <c r="H466">
        <f t="shared" si="15"/>
        <v>1024</v>
      </c>
      <c r="I466">
        <v>236</v>
      </c>
      <c r="J466">
        <v>40</v>
      </c>
      <c r="K466">
        <v>120</v>
      </c>
      <c r="L466">
        <v>375</v>
      </c>
      <c r="M466">
        <v>39</v>
      </c>
      <c r="N466">
        <f t="shared" si="14"/>
        <v>3629</v>
      </c>
      <c r="O466">
        <v>575</v>
      </c>
      <c r="P466">
        <v>30</v>
      </c>
      <c r="Q466">
        <v>1150</v>
      </c>
      <c r="R466">
        <v>71</v>
      </c>
      <c r="S466">
        <v>40</v>
      </c>
      <c r="T466">
        <v>0</v>
      </c>
      <c r="U466">
        <v>60</v>
      </c>
      <c r="V466">
        <v>133</v>
      </c>
      <c r="W466">
        <v>112</v>
      </c>
      <c r="X466">
        <v>45</v>
      </c>
      <c r="Y466">
        <v>0.26</v>
      </c>
      <c r="Z466">
        <v>0.31</v>
      </c>
      <c r="AA466">
        <v>0.38400000000000001</v>
      </c>
    </row>
    <row r="467" spans="1:27" x14ac:dyDescent="0.2">
      <c r="A467" s="52">
        <v>2015</v>
      </c>
      <c r="B467" t="s">
        <v>69</v>
      </c>
      <c r="C467" t="s">
        <v>38</v>
      </c>
      <c r="D467">
        <v>162</v>
      </c>
      <c r="E467">
        <v>5480</v>
      </c>
      <c r="F467" s="1">
        <v>655</v>
      </c>
      <c r="G467">
        <v>1378</v>
      </c>
      <c r="H467">
        <f t="shared" si="15"/>
        <v>925</v>
      </c>
      <c r="I467">
        <v>274</v>
      </c>
      <c r="J467">
        <v>34</v>
      </c>
      <c r="K467">
        <v>145</v>
      </c>
      <c r="L467">
        <v>412</v>
      </c>
      <c r="M467">
        <v>41</v>
      </c>
      <c r="N467">
        <f t="shared" si="14"/>
        <v>3649</v>
      </c>
      <c r="O467">
        <v>624</v>
      </c>
      <c r="P467">
        <v>35</v>
      </c>
      <c r="Q467">
        <v>1299</v>
      </c>
      <c r="R467">
        <v>55</v>
      </c>
      <c r="S467">
        <v>34</v>
      </c>
      <c r="T467">
        <v>2</v>
      </c>
      <c r="U467">
        <v>62</v>
      </c>
      <c r="V467">
        <v>130</v>
      </c>
      <c r="W467">
        <v>84</v>
      </c>
      <c r="X467">
        <v>29</v>
      </c>
      <c r="Y467">
        <v>0.251</v>
      </c>
      <c r="Z467">
        <v>0.307</v>
      </c>
      <c r="AA467">
        <v>0.39300000000000002</v>
      </c>
    </row>
    <row r="468" spans="1:27" x14ac:dyDescent="0.2">
      <c r="A468" s="52">
        <v>2015</v>
      </c>
      <c r="B468" t="s">
        <v>71</v>
      </c>
      <c r="C468" t="s">
        <v>163</v>
      </c>
      <c r="D468">
        <v>162</v>
      </c>
      <c r="E468">
        <v>5467</v>
      </c>
      <c r="F468" s="1">
        <v>696</v>
      </c>
      <c r="G468">
        <v>1349</v>
      </c>
      <c r="H468">
        <f t="shared" si="15"/>
        <v>872</v>
      </c>
      <c r="I468">
        <v>277</v>
      </c>
      <c r="J468">
        <v>44</v>
      </c>
      <c r="K468">
        <v>156</v>
      </c>
      <c r="L468">
        <v>439</v>
      </c>
      <c r="M468">
        <v>40</v>
      </c>
      <c r="N468">
        <f t="shared" si="14"/>
        <v>3639</v>
      </c>
      <c r="O468">
        <v>661</v>
      </c>
      <c r="P468">
        <v>31</v>
      </c>
      <c r="Q468">
        <v>1264</v>
      </c>
      <c r="R468">
        <v>30</v>
      </c>
      <c r="S468">
        <v>41</v>
      </c>
      <c r="T468">
        <v>0</v>
      </c>
      <c r="U468">
        <v>78</v>
      </c>
      <c r="V468">
        <v>133</v>
      </c>
      <c r="W468">
        <v>70</v>
      </c>
      <c r="X468">
        <v>38</v>
      </c>
      <c r="Y468">
        <v>0.247</v>
      </c>
      <c r="Z468">
        <v>0.30499999999999999</v>
      </c>
      <c r="AA468">
        <v>0.39900000000000002</v>
      </c>
    </row>
    <row r="469" spans="1:27" x14ac:dyDescent="0.2">
      <c r="A469" s="52">
        <v>2015</v>
      </c>
      <c r="B469" t="s">
        <v>158</v>
      </c>
      <c r="C469" t="s">
        <v>38</v>
      </c>
      <c r="D469">
        <v>162</v>
      </c>
      <c r="E469">
        <v>5527</v>
      </c>
      <c r="F469" s="1">
        <v>683</v>
      </c>
      <c r="G469">
        <v>1351</v>
      </c>
      <c r="H469">
        <f t="shared" si="15"/>
        <v>862</v>
      </c>
      <c r="I469">
        <v>295</v>
      </c>
      <c r="J469">
        <v>17</v>
      </c>
      <c r="K469">
        <v>177</v>
      </c>
      <c r="L469">
        <v>488</v>
      </c>
      <c r="M469">
        <v>68</v>
      </c>
      <c r="N469">
        <f t="shared" si="14"/>
        <v>3620</v>
      </c>
      <c r="O469">
        <v>654</v>
      </c>
      <c r="P469">
        <v>42</v>
      </c>
      <c r="Q469">
        <v>1290</v>
      </c>
      <c r="R469">
        <v>29</v>
      </c>
      <c r="S469">
        <v>32</v>
      </c>
      <c r="T469">
        <v>1</v>
      </c>
      <c r="U469">
        <v>67</v>
      </c>
      <c r="V469">
        <v>130</v>
      </c>
      <c r="W469">
        <v>51</v>
      </c>
      <c r="X469">
        <v>25</v>
      </c>
      <c r="Y469">
        <v>0.24399999999999999</v>
      </c>
      <c r="Z469">
        <v>0.312</v>
      </c>
      <c r="AA469">
        <v>0.4</v>
      </c>
    </row>
    <row r="470" spans="1:27" x14ac:dyDescent="0.2">
      <c r="A470" s="52">
        <v>2015</v>
      </c>
      <c r="B470" t="s">
        <v>158</v>
      </c>
      <c r="C470" t="s">
        <v>163</v>
      </c>
      <c r="D470">
        <v>162</v>
      </c>
      <c r="E470">
        <v>5567</v>
      </c>
      <c r="F470" s="1">
        <v>764</v>
      </c>
      <c r="G470">
        <v>1397</v>
      </c>
      <c r="H470">
        <f t="shared" si="15"/>
        <v>894</v>
      </c>
      <c r="I470">
        <v>272</v>
      </c>
      <c r="J470">
        <v>19</v>
      </c>
      <c r="K470">
        <v>212</v>
      </c>
      <c r="L470">
        <v>554</v>
      </c>
      <c r="M470">
        <v>63</v>
      </c>
      <c r="N470">
        <f t="shared" si="14"/>
        <v>3553</v>
      </c>
      <c r="O470">
        <v>737</v>
      </c>
      <c r="P470">
        <v>23</v>
      </c>
      <c r="Q470">
        <v>1227</v>
      </c>
      <c r="R470">
        <v>24</v>
      </c>
      <c r="S470">
        <v>54</v>
      </c>
      <c r="T470">
        <v>6</v>
      </c>
      <c r="U470">
        <v>68</v>
      </c>
      <c r="V470">
        <v>105</v>
      </c>
      <c r="W470">
        <v>63</v>
      </c>
      <c r="X470">
        <v>25</v>
      </c>
      <c r="Y470">
        <v>0.251</v>
      </c>
      <c r="Z470">
        <v>0.32300000000000001</v>
      </c>
      <c r="AA470">
        <v>0.42099999999999999</v>
      </c>
    </row>
    <row r="471" spans="1:27" x14ac:dyDescent="0.2">
      <c r="A471" s="52">
        <v>2015</v>
      </c>
      <c r="B471" t="s">
        <v>79</v>
      </c>
      <c r="C471" t="s">
        <v>163</v>
      </c>
      <c r="D471">
        <v>162</v>
      </c>
      <c r="E471">
        <v>5600</v>
      </c>
      <c r="F471" s="1">
        <v>694</v>
      </c>
      <c r="G471">
        <v>1405</v>
      </c>
      <c r="H471">
        <f t="shared" si="15"/>
        <v>936</v>
      </c>
      <c r="I471">
        <v>277</v>
      </c>
      <c r="J471">
        <v>46</v>
      </c>
      <c r="K471">
        <v>146</v>
      </c>
      <c r="L471">
        <v>475</v>
      </c>
      <c r="M471">
        <v>40</v>
      </c>
      <c r="N471">
        <f t="shared" si="14"/>
        <v>3680</v>
      </c>
      <c r="O471">
        <v>661</v>
      </c>
      <c r="P471">
        <v>21</v>
      </c>
      <c r="Q471">
        <v>1119</v>
      </c>
      <c r="R471">
        <v>14</v>
      </c>
      <c r="S471">
        <v>38</v>
      </c>
      <c r="T471">
        <v>4</v>
      </c>
      <c r="U471">
        <v>76</v>
      </c>
      <c r="V471">
        <v>124</v>
      </c>
      <c r="W471">
        <v>78</v>
      </c>
      <c r="X471">
        <v>29</v>
      </c>
      <c r="Y471">
        <v>0.251</v>
      </c>
      <c r="Z471">
        <v>0.312</v>
      </c>
      <c r="AA471">
        <v>0.39500000000000002</v>
      </c>
    </row>
    <row r="472" spans="1:27" x14ac:dyDescent="0.2">
      <c r="A472" s="52">
        <v>2015</v>
      </c>
      <c r="B472" t="s">
        <v>81</v>
      </c>
      <c r="C472" t="s">
        <v>38</v>
      </c>
      <c r="D472">
        <v>162</v>
      </c>
      <c r="E472">
        <v>5529</v>
      </c>
      <c r="F472" s="1">
        <v>626</v>
      </c>
      <c r="G472">
        <v>1374</v>
      </c>
      <c r="H472">
        <f t="shared" si="15"/>
        <v>935</v>
      </c>
      <c r="I472">
        <v>272</v>
      </c>
      <c r="J472">
        <v>37</v>
      </c>
      <c r="K472">
        <v>130</v>
      </c>
      <c r="L472">
        <v>387</v>
      </c>
      <c r="M472">
        <v>54</v>
      </c>
      <c r="N472">
        <f t="shared" si="14"/>
        <v>3714</v>
      </c>
      <c r="O472">
        <v>586</v>
      </c>
      <c r="P472">
        <v>20</v>
      </c>
      <c r="Q472">
        <v>1274</v>
      </c>
      <c r="R472">
        <v>53</v>
      </c>
      <c r="S472">
        <v>29</v>
      </c>
      <c r="T472">
        <v>1</v>
      </c>
      <c r="U472">
        <v>79</v>
      </c>
      <c r="V472">
        <v>119</v>
      </c>
      <c r="W472">
        <v>88</v>
      </c>
      <c r="X472">
        <v>32</v>
      </c>
      <c r="Y472">
        <v>0.249</v>
      </c>
      <c r="Z472">
        <v>0.30299999999999999</v>
      </c>
      <c r="AA472">
        <v>0.38200000000000001</v>
      </c>
    </row>
    <row r="473" spans="1:27" x14ac:dyDescent="0.2">
      <c r="A473" s="52">
        <v>2015</v>
      </c>
      <c r="B473" t="s">
        <v>83</v>
      </c>
      <c r="C473" t="s">
        <v>38</v>
      </c>
      <c r="D473">
        <v>162</v>
      </c>
      <c r="E473">
        <v>5631</v>
      </c>
      <c r="F473" s="1">
        <v>697</v>
      </c>
      <c r="G473">
        <v>1462</v>
      </c>
      <c r="H473">
        <f t="shared" si="15"/>
        <v>1003</v>
      </c>
      <c r="I473">
        <v>292</v>
      </c>
      <c r="J473">
        <v>27</v>
      </c>
      <c r="K473">
        <v>140</v>
      </c>
      <c r="L473">
        <v>461</v>
      </c>
      <c r="M473">
        <v>89</v>
      </c>
      <c r="N473">
        <f t="shared" si="14"/>
        <v>3619</v>
      </c>
      <c r="O473">
        <v>661</v>
      </c>
      <c r="P473">
        <v>46</v>
      </c>
      <c r="Q473">
        <v>1322</v>
      </c>
      <c r="R473">
        <v>63</v>
      </c>
      <c r="S473">
        <v>41</v>
      </c>
      <c r="T473">
        <v>0</v>
      </c>
      <c r="U473">
        <v>66</v>
      </c>
      <c r="V473">
        <v>115</v>
      </c>
      <c r="W473">
        <v>98</v>
      </c>
      <c r="X473">
        <v>45</v>
      </c>
      <c r="Y473">
        <v>0.26</v>
      </c>
      <c r="Z473">
        <v>0.32300000000000001</v>
      </c>
      <c r="AA473">
        <v>0.39600000000000002</v>
      </c>
    </row>
    <row r="474" spans="1:27" x14ac:dyDescent="0.2">
      <c r="A474" s="52">
        <v>2015</v>
      </c>
      <c r="B474" t="s">
        <v>161</v>
      </c>
      <c r="C474" t="s">
        <v>38</v>
      </c>
      <c r="D474">
        <v>162</v>
      </c>
      <c r="E474">
        <v>5457</v>
      </c>
      <c r="F474" s="1">
        <v>650</v>
      </c>
      <c r="G474">
        <v>1324</v>
      </c>
      <c r="H474">
        <f t="shared" si="15"/>
        <v>880</v>
      </c>
      <c r="I474">
        <v>260</v>
      </c>
      <c r="J474">
        <v>36</v>
      </c>
      <c r="K474">
        <v>148</v>
      </c>
      <c r="L474">
        <v>426</v>
      </c>
      <c r="M474">
        <v>40</v>
      </c>
      <c r="N474">
        <f t="shared" si="14"/>
        <v>3667</v>
      </c>
      <c r="O474">
        <v>623</v>
      </c>
      <c r="P474">
        <v>22</v>
      </c>
      <c r="Q474">
        <v>1327</v>
      </c>
      <c r="R474">
        <v>52</v>
      </c>
      <c r="S474">
        <v>42</v>
      </c>
      <c r="T474">
        <v>2</v>
      </c>
      <c r="U474">
        <v>79</v>
      </c>
      <c r="V474">
        <v>108</v>
      </c>
      <c r="W474">
        <v>82</v>
      </c>
      <c r="X474">
        <v>29</v>
      </c>
      <c r="Y474">
        <v>0.24299999999999999</v>
      </c>
      <c r="Z474">
        <v>0.3</v>
      </c>
      <c r="AA474">
        <v>0.38500000000000001</v>
      </c>
    </row>
    <row r="475" spans="1:27" x14ac:dyDescent="0.2">
      <c r="A475" s="52">
        <v>2015</v>
      </c>
      <c r="B475" t="s">
        <v>87</v>
      </c>
      <c r="C475" t="s">
        <v>163</v>
      </c>
      <c r="D475">
        <v>162</v>
      </c>
      <c r="E475">
        <v>5544</v>
      </c>
      <c r="F475" s="1">
        <v>656</v>
      </c>
      <c r="G475">
        <v>1379</v>
      </c>
      <c r="H475">
        <f t="shared" si="15"/>
        <v>897</v>
      </c>
      <c r="I475">
        <v>262</v>
      </c>
      <c r="J475">
        <v>22</v>
      </c>
      <c r="K475">
        <v>198</v>
      </c>
      <c r="L475">
        <v>478</v>
      </c>
      <c r="M475">
        <v>36</v>
      </c>
      <c r="N475">
        <f t="shared" si="14"/>
        <v>3651</v>
      </c>
      <c r="O475">
        <v>624</v>
      </c>
      <c r="P475">
        <v>31</v>
      </c>
      <c r="Q475">
        <v>1336</v>
      </c>
      <c r="R475">
        <v>38</v>
      </c>
      <c r="S475">
        <v>35</v>
      </c>
      <c r="T475">
        <v>0</v>
      </c>
      <c r="U475">
        <v>68</v>
      </c>
      <c r="V475">
        <v>123</v>
      </c>
      <c r="W475">
        <v>69</v>
      </c>
      <c r="X475">
        <v>45</v>
      </c>
      <c r="Y475">
        <v>0.249</v>
      </c>
      <c r="Z475">
        <v>0.311</v>
      </c>
      <c r="AA475">
        <v>0.41099999999999998</v>
      </c>
    </row>
    <row r="476" spans="1:27" x14ac:dyDescent="0.2">
      <c r="A476" s="52">
        <v>2015</v>
      </c>
      <c r="B476" t="s">
        <v>21</v>
      </c>
      <c r="C476" t="s">
        <v>38</v>
      </c>
      <c r="D476">
        <v>162</v>
      </c>
      <c r="E476">
        <v>5565</v>
      </c>
      <c r="F476" s="1">
        <v>696</v>
      </c>
      <c r="G476">
        <v>1486</v>
      </c>
      <c r="H476">
        <f t="shared" si="15"/>
        <v>1023</v>
      </c>
      <c r="I476">
        <v>288</v>
      </c>
      <c r="J476">
        <v>39</v>
      </c>
      <c r="K476">
        <v>136</v>
      </c>
      <c r="L476">
        <v>457</v>
      </c>
      <c r="M476">
        <v>49</v>
      </c>
      <c r="N476">
        <f t="shared" si="14"/>
        <v>3573</v>
      </c>
      <c r="O476">
        <v>663</v>
      </c>
      <c r="P476">
        <v>30</v>
      </c>
      <c r="Q476">
        <v>1159</v>
      </c>
      <c r="R476">
        <v>45</v>
      </c>
      <c r="S476">
        <v>37</v>
      </c>
      <c r="T476">
        <v>0</v>
      </c>
      <c r="U476">
        <v>58</v>
      </c>
      <c r="V476">
        <v>142</v>
      </c>
      <c r="W476">
        <v>93</v>
      </c>
      <c r="X476">
        <v>36</v>
      </c>
      <c r="Y476">
        <v>0.26700000000000002</v>
      </c>
      <c r="Z476">
        <v>0.32600000000000001</v>
      </c>
      <c r="AA476">
        <v>0.40600000000000003</v>
      </c>
    </row>
    <row r="477" spans="1:27" x14ac:dyDescent="0.2">
      <c r="A477" s="52">
        <v>2015</v>
      </c>
      <c r="B477" t="s">
        <v>156</v>
      </c>
      <c r="C477" t="s">
        <v>38</v>
      </c>
      <c r="D477">
        <v>162</v>
      </c>
      <c r="E477">
        <v>5484</v>
      </c>
      <c r="F477" s="1">
        <v>647</v>
      </c>
      <c r="G477">
        <v>1386</v>
      </c>
      <c r="H477">
        <f t="shared" si="15"/>
        <v>922</v>
      </c>
      <c r="I477">
        <v>288</v>
      </c>
      <c r="J477">
        <v>39</v>
      </c>
      <c r="K477">
        <v>137</v>
      </c>
      <c r="L477">
        <v>506</v>
      </c>
      <c r="M477">
        <v>66</v>
      </c>
      <c r="N477">
        <f t="shared" si="14"/>
        <v>3526</v>
      </c>
      <c r="O477">
        <v>619</v>
      </c>
      <c r="P477">
        <v>47</v>
      </c>
      <c r="Q477">
        <v>1267</v>
      </c>
      <c r="R477">
        <v>39</v>
      </c>
      <c r="S477">
        <v>42</v>
      </c>
      <c r="T477">
        <v>2</v>
      </c>
      <c r="U477">
        <v>64</v>
      </c>
      <c r="V477">
        <v>128</v>
      </c>
      <c r="W477">
        <v>69</v>
      </c>
      <c r="X477">
        <v>38</v>
      </c>
      <c r="Y477">
        <v>0.253</v>
      </c>
      <c r="Z477">
        <v>0.32100000000000001</v>
      </c>
      <c r="AA477">
        <v>0.39400000000000002</v>
      </c>
    </row>
    <row r="478" spans="1:27" x14ac:dyDescent="0.2">
      <c r="A478" s="52">
        <v>2015</v>
      </c>
      <c r="B478" t="s">
        <v>165</v>
      </c>
      <c r="C478" t="s">
        <v>163</v>
      </c>
      <c r="D478">
        <v>162</v>
      </c>
      <c r="E478">
        <v>5485</v>
      </c>
      <c r="F478" s="1">
        <v>644</v>
      </c>
      <c r="G478">
        <v>1383</v>
      </c>
      <c r="H478">
        <f t="shared" si="15"/>
        <v>906</v>
      </c>
      <c r="I478">
        <v>278</v>
      </c>
      <c r="J478">
        <v>32</v>
      </c>
      <c r="K478">
        <v>167</v>
      </c>
      <c r="L478">
        <v>436</v>
      </c>
      <c r="M478">
        <v>84</v>
      </c>
      <c r="N478">
        <f t="shared" si="14"/>
        <v>3582</v>
      </c>
      <c r="O478">
        <v>612</v>
      </c>
      <c r="P478">
        <v>22</v>
      </c>
      <c r="Q478">
        <v>1310</v>
      </c>
      <c r="R478">
        <v>19</v>
      </c>
      <c r="S478">
        <v>47</v>
      </c>
      <c r="T478">
        <v>0</v>
      </c>
      <c r="U478">
        <v>48</v>
      </c>
      <c r="V478">
        <v>121</v>
      </c>
      <c r="W478">
        <v>87</v>
      </c>
      <c r="X478">
        <v>45</v>
      </c>
      <c r="Y478">
        <v>0.252</v>
      </c>
      <c r="Z478">
        <v>0.314</v>
      </c>
      <c r="AA478">
        <v>0.40600000000000003</v>
      </c>
    </row>
    <row r="479" spans="1:27" x14ac:dyDescent="0.2">
      <c r="A479" s="52">
        <v>2015</v>
      </c>
      <c r="B479" t="s">
        <v>95</v>
      </c>
      <c r="C479" t="s">
        <v>163</v>
      </c>
      <c r="D479">
        <v>162</v>
      </c>
      <c r="E479">
        <v>5511</v>
      </c>
      <c r="F479" s="1">
        <v>751</v>
      </c>
      <c r="G479">
        <v>1419</v>
      </c>
      <c r="H479">
        <f t="shared" si="15"/>
        <v>936</v>
      </c>
      <c r="I479">
        <v>279</v>
      </c>
      <c r="J479">
        <v>32</v>
      </c>
      <c r="K479">
        <v>172</v>
      </c>
      <c r="L479">
        <v>503</v>
      </c>
      <c r="M479">
        <v>76</v>
      </c>
      <c r="N479">
        <f t="shared" si="14"/>
        <v>3513</v>
      </c>
      <c r="O479">
        <v>707</v>
      </c>
      <c r="P479">
        <v>32</v>
      </c>
      <c r="Q479">
        <v>1233</v>
      </c>
      <c r="R479">
        <v>43</v>
      </c>
      <c r="S479">
        <v>54</v>
      </c>
      <c r="T479">
        <v>0</v>
      </c>
      <c r="U479">
        <v>77</v>
      </c>
      <c r="V479">
        <v>99</v>
      </c>
      <c r="W479">
        <v>101</v>
      </c>
      <c r="X479">
        <v>39</v>
      </c>
      <c r="Y479">
        <v>0.25700000000000001</v>
      </c>
      <c r="Z479">
        <v>0.32500000000000001</v>
      </c>
      <c r="AA479">
        <v>0.41299999999999998</v>
      </c>
    </row>
    <row r="480" spans="1:27" x14ac:dyDescent="0.2">
      <c r="A480" s="52">
        <v>2015</v>
      </c>
      <c r="B480" t="s">
        <v>97</v>
      </c>
      <c r="C480" t="s">
        <v>163</v>
      </c>
      <c r="D480">
        <v>162</v>
      </c>
      <c r="E480">
        <v>5509</v>
      </c>
      <c r="F480" s="1">
        <v>891</v>
      </c>
      <c r="G480">
        <v>1480</v>
      </c>
      <c r="H480">
        <f t="shared" si="15"/>
        <v>923</v>
      </c>
      <c r="I480">
        <v>308</v>
      </c>
      <c r="J480">
        <v>17</v>
      </c>
      <c r="K480">
        <v>232</v>
      </c>
      <c r="L480">
        <v>570</v>
      </c>
      <c r="M480">
        <v>54</v>
      </c>
      <c r="N480">
        <f t="shared" si="14"/>
        <v>3405</v>
      </c>
      <c r="O480">
        <v>852</v>
      </c>
      <c r="P480">
        <v>12</v>
      </c>
      <c r="Q480">
        <v>1151</v>
      </c>
      <c r="R480">
        <v>36</v>
      </c>
      <c r="S480">
        <v>62</v>
      </c>
      <c r="T480">
        <v>1</v>
      </c>
      <c r="U480">
        <v>54</v>
      </c>
      <c r="V480">
        <v>140</v>
      </c>
      <c r="W480">
        <v>88</v>
      </c>
      <c r="X480">
        <v>23</v>
      </c>
      <c r="Y480">
        <v>0.26900000000000002</v>
      </c>
      <c r="Z480">
        <v>0.34</v>
      </c>
      <c r="AA480">
        <v>0.45700000000000002</v>
      </c>
    </row>
    <row r="481" spans="1:27" x14ac:dyDescent="0.2">
      <c r="A481" s="52">
        <v>2015</v>
      </c>
      <c r="B481" t="s">
        <v>101</v>
      </c>
      <c r="C481" t="s">
        <v>38</v>
      </c>
      <c r="D481">
        <v>162</v>
      </c>
      <c r="E481">
        <v>5428</v>
      </c>
      <c r="F481" s="1">
        <v>703</v>
      </c>
      <c r="G481">
        <v>1363</v>
      </c>
      <c r="H481">
        <f t="shared" si="15"/>
        <v>908</v>
      </c>
      <c r="I481">
        <v>265</v>
      </c>
      <c r="J481">
        <v>13</v>
      </c>
      <c r="K481">
        <v>177</v>
      </c>
      <c r="L481">
        <v>539</v>
      </c>
      <c r="M481">
        <v>44</v>
      </c>
      <c r="N481">
        <f t="shared" si="14"/>
        <v>3482</v>
      </c>
      <c r="O481">
        <v>665</v>
      </c>
      <c r="P481">
        <v>38</v>
      </c>
      <c r="Q481">
        <v>1344</v>
      </c>
      <c r="R481">
        <v>55</v>
      </c>
      <c r="S481">
        <v>51</v>
      </c>
      <c r="T481">
        <v>0</v>
      </c>
      <c r="U481">
        <v>72</v>
      </c>
      <c r="V481">
        <v>129</v>
      </c>
      <c r="W481">
        <v>57</v>
      </c>
      <c r="X481">
        <v>23</v>
      </c>
      <c r="Y481">
        <v>0.251</v>
      </c>
      <c r="Z481">
        <v>0.32100000000000001</v>
      </c>
      <c r="AA481">
        <v>0.40300000000000002</v>
      </c>
    </row>
    <row r="482" spans="1:27" x14ac:dyDescent="0.2">
      <c r="A482" s="52">
        <v>2016</v>
      </c>
      <c r="B482" t="s">
        <v>37</v>
      </c>
      <c r="C482" t="s">
        <v>163</v>
      </c>
      <c r="D482">
        <v>162</v>
      </c>
      <c r="E482">
        <v>5431</v>
      </c>
      <c r="F482" s="1">
        <v>717</v>
      </c>
      <c r="G482">
        <v>1410</v>
      </c>
      <c r="H482">
        <f t="shared" si="15"/>
        <v>955</v>
      </c>
      <c r="I482">
        <v>279</v>
      </c>
      <c r="J482">
        <v>20</v>
      </c>
      <c r="K482">
        <v>156</v>
      </c>
      <c r="L482">
        <v>471</v>
      </c>
      <c r="M482">
        <v>51</v>
      </c>
      <c r="N482">
        <f t="shared" si="14"/>
        <v>3499</v>
      </c>
      <c r="O482">
        <v>686</v>
      </c>
      <c r="P482">
        <v>21</v>
      </c>
      <c r="Q482">
        <v>991</v>
      </c>
      <c r="R482">
        <v>36</v>
      </c>
      <c r="S482">
        <v>49</v>
      </c>
      <c r="T482">
        <v>3</v>
      </c>
      <c r="U482">
        <v>66</v>
      </c>
      <c r="V482">
        <v>147</v>
      </c>
      <c r="W482">
        <v>73</v>
      </c>
      <c r="X482">
        <v>34</v>
      </c>
      <c r="Y482">
        <v>0.26</v>
      </c>
      <c r="Z482">
        <v>0.32200000000000001</v>
      </c>
      <c r="AA482">
        <v>0.40500000000000003</v>
      </c>
    </row>
    <row r="483" spans="1:27" x14ac:dyDescent="0.2">
      <c r="A483" s="52">
        <v>2016</v>
      </c>
      <c r="B483" t="s">
        <v>40</v>
      </c>
      <c r="C483" t="s">
        <v>38</v>
      </c>
      <c r="D483">
        <v>162</v>
      </c>
      <c r="E483">
        <v>5665</v>
      </c>
      <c r="F483" s="1">
        <v>752</v>
      </c>
      <c r="G483">
        <v>1479</v>
      </c>
      <c r="H483">
        <f t="shared" si="15"/>
        <v>948</v>
      </c>
      <c r="I483">
        <v>285</v>
      </c>
      <c r="J483">
        <v>56</v>
      </c>
      <c r="K483">
        <v>190</v>
      </c>
      <c r="L483">
        <v>463</v>
      </c>
      <c r="M483">
        <v>50</v>
      </c>
      <c r="N483">
        <f t="shared" si="14"/>
        <v>3673</v>
      </c>
      <c r="O483">
        <v>709</v>
      </c>
      <c r="P483">
        <v>43</v>
      </c>
      <c r="Q483">
        <v>1427</v>
      </c>
      <c r="R483">
        <v>43</v>
      </c>
      <c r="S483">
        <v>38</v>
      </c>
      <c r="T483">
        <v>1</v>
      </c>
      <c r="U483">
        <v>71</v>
      </c>
      <c r="V483">
        <v>117</v>
      </c>
      <c r="W483">
        <v>137</v>
      </c>
      <c r="X483">
        <v>31</v>
      </c>
      <c r="Y483">
        <v>0.26100000000000001</v>
      </c>
      <c r="Z483">
        <v>0.32</v>
      </c>
      <c r="AA483">
        <v>0.432</v>
      </c>
    </row>
    <row r="484" spans="1:27" x14ac:dyDescent="0.2">
      <c r="A484" s="52">
        <v>2016</v>
      </c>
      <c r="B484" t="s">
        <v>42</v>
      </c>
      <c r="C484" t="s">
        <v>38</v>
      </c>
      <c r="D484">
        <v>161</v>
      </c>
      <c r="E484">
        <v>5514</v>
      </c>
      <c r="F484" s="1">
        <v>649</v>
      </c>
      <c r="G484">
        <v>1404</v>
      </c>
      <c r="H484">
        <f t="shared" si="15"/>
        <v>960</v>
      </c>
      <c r="I484">
        <v>295</v>
      </c>
      <c r="J484">
        <v>27</v>
      </c>
      <c r="K484">
        <v>122</v>
      </c>
      <c r="L484">
        <v>502</v>
      </c>
      <c r="M484">
        <v>59</v>
      </c>
      <c r="N484">
        <f t="shared" si="14"/>
        <v>3549</v>
      </c>
      <c r="O484">
        <v>615</v>
      </c>
      <c r="P484">
        <v>60</v>
      </c>
      <c r="Q484">
        <v>1240</v>
      </c>
      <c r="R484">
        <v>64</v>
      </c>
      <c r="S484">
        <v>52</v>
      </c>
      <c r="T484">
        <v>1</v>
      </c>
      <c r="U484">
        <v>71</v>
      </c>
      <c r="V484">
        <v>145</v>
      </c>
      <c r="W484">
        <v>75</v>
      </c>
      <c r="X484">
        <v>34</v>
      </c>
      <c r="Y484">
        <v>0.255</v>
      </c>
      <c r="Z484">
        <v>0.32100000000000001</v>
      </c>
      <c r="AA484">
        <v>0.38400000000000001</v>
      </c>
    </row>
    <row r="485" spans="1:27" x14ac:dyDescent="0.2">
      <c r="A485" s="52">
        <v>2016</v>
      </c>
      <c r="B485" t="s">
        <v>45</v>
      </c>
      <c r="C485" t="s">
        <v>163</v>
      </c>
      <c r="D485">
        <v>162</v>
      </c>
      <c r="E485">
        <v>5524</v>
      </c>
      <c r="F485" s="1">
        <v>744</v>
      </c>
      <c r="G485">
        <v>1413</v>
      </c>
      <c r="H485">
        <f t="shared" si="15"/>
        <v>889</v>
      </c>
      <c r="I485">
        <v>265</v>
      </c>
      <c r="J485">
        <v>6</v>
      </c>
      <c r="K485">
        <v>253</v>
      </c>
      <c r="L485">
        <v>468</v>
      </c>
      <c r="M485">
        <v>44</v>
      </c>
      <c r="N485">
        <f t="shared" si="14"/>
        <v>3599</v>
      </c>
      <c r="O485">
        <v>710</v>
      </c>
      <c r="P485">
        <v>19</v>
      </c>
      <c r="Q485">
        <v>1324</v>
      </c>
      <c r="R485">
        <v>17</v>
      </c>
      <c r="S485">
        <v>36</v>
      </c>
      <c r="T485">
        <v>0</v>
      </c>
      <c r="U485">
        <v>55</v>
      </c>
      <c r="V485">
        <v>119</v>
      </c>
      <c r="W485">
        <v>19</v>
      </c>
      <c r="X485">
        <v>13</v>
      </c>
      <c r="Y485">
        <v>0.25600000000000001</v>
      </c>
      <c r="Z485">
        <v>0.317</v>
      </c>
      <c r="AA485">
        <v>0.443</v>
      </c>
    </row>
    <row r="486" spans="1:27" x14ac:dyDescent="0.2">
      <c r="A486" s="52">
        <v>2016</v>
      </c>
      <c r="B486" t="s">
        <v>47</v>
      </c>
      <c r="C486" t="s">
        <v>163</v>
      </c>
      <c r="D486">
        <v>162</v>
      </c>
      <c r="E486">
        <v>5670</v>
      </c>
      <c r="F486" s="1">
        <v>878</v>
      </c>
      <c r="G486">
        <v>1598</v>
      </c>
      <c r="H486">
        <f t="shared" si="15"/>
        <v>1022</v>
      </c>
      <c r="I486">
        <v>343</v>
      </c>
      <c r="J486">
        <v>25</v>
      </c>
      <c r="K486">
        <v>208</v>
      </c>
      <c r="L486">
        <v>558</v>
      </c>
      <c r="M486">
        <v>43</v>
      </c>
      <c r="N486">
        <f t="shared" si="14"/>
        <v>3471</v>
      </c>
      <c r="O486">
        <v>836</v>
      </c>
      <c r="P486">
        <v>34</v>
      </c>
      <c r="Q486">
        <v>1160</v>
      </c>
      <c r="R486">
        <v>8</v>
      </c>
      <c r="S486">
        <v>40</v>
      </c>
      <c r="T486">
        <v>1</v>
      </c>
      <c r="U486">
        <v>62</v>
      </c>
      <c r="V486">
        <v>137</v>
      </c>
      <c r="W486">
        <v>83</v>
      </c>
      <c r="X486">
        <v>24</v>
      </c>
      <c r="Y486">
        <v>0.28199999999999997</v>
      </c>
      <c r="Z486">
        <v>0.34799999999999998</v>
      </c>
      <c r="AA486">
        <v>0.46100000000000002</v>
      </c>
    </row>
    <row r="487" spans="1:27" x14ac:dyDescent="0.2">
      <c r="A487" s="52">
        <v>2016</v>
      </c>
      <c r="B487" t="s">
        <v>157</v>
      </c>
      <c r="C487" t="s">
        <v>38</v>
      </c>
      <c r="D487">
        <v>162</v>
      </c>
      <c r="E487">
        <v>5503</v>
      </c>
      <c r="F487" s="1">
        <v>808</v>
      </c>
      <c r="G487">
        <v>1409</v>
      </c>
      <c r="H487">
        <f t="shared" si="15"/>
        <v>887</v>
      </c>
      <c r="I487">
        <v>293</v>
      </c>
      <c r="J487">
        <v>30</v>
      </c>
      <c r="K487">
        <v>199</v>
      </c>
      <c r="L487">
        <v>656</v>
      </c>
      <c r="M487">
        <v>96</v>
      </c>
      <c r="N487">
        <f t="shared" si="14"/>
        <v>3342</v>
      </c>
      <c r="O487">
        <v>767</v>
      </c>
      <c r="P487">
        <v>45</v>
      </c>
      <c r="Q487">
        <v>1339</v>
      </c>
      <c r="R487">
        <v>42</v>
      </c>
      <c r="S487">
        <v>37</v>
      </c>
      <c r="T487">
        <v>1</v>
      </c>
      <c r="U487">
        <v>61</v>
      </c>
      <c r="V487">
        <v>107</v>
      </c>
      <c r="W487">
        <v>66</v>
      </c>
      <c r="X487">
        <v>34</v>
      </c>
      <c r="Y487">
        <v>0.25600000000000001</v>
      </c>
      <c r="Z487">
        <v>0.34300000000000003</v>
      </c>
      <c r="AA487">
        <v>0.42899999999999999</v>
      </c>
    </row>
    <row r="488" spans="1:27" x14ac:dyDescent="0.2">
      <c r="A488" s="52">
        <v>2016</v>
      </c>
      <c r="B488" t="s">
        <v>157</v>
      </c>
      <c r="C488" t="s">
        <v>163</v>
      </c>
      <c r="D488">
        <v>162</v>
      </c>
      <c r="E488">
        <v>5550</v>
      </c>
      <c r="F488" s="1">
        <v>686</v>
      </c>
      <c r="G488">
        <v>1428</v>
      </c>
      <c r="H488">
        <f t="shared" si="15"/>
        <v>950</v>
      </c>
      <c r="I488">
        <v>277</v>
      </c>
      <c r="J488">
        <v>33</v>
      </c>
      <c r="K488">
        <v>168</v>
      </c>
      <c r="L488">
        <v>455</v>
      </c>
      <c r="M488">
        <v>53</v>
      </c>
      <c r="N488">
        <f t="shared" si="14"/>
        <v>3614</v>
      </c>
      <c r="O488">
        <v>656</v>
      </c>
      <c r="P488">
        <v>16</v>
      </c>
      <c r="Q488">
        <v>1285</v>
      </c>
      <c r="R488">
        <v>29</v>
      </c>
      <c r="S488">
        <v>44</v>
      </c>
      <c r="T488">
        <v>0</v>
      </c>
      <c r="U488">
        <v>65</v>
      </c>
      <c r="V488">
        <v>122</v>
      </c>
      <c r="W488">
        <v>77</v>
      </c>
      <c r="X488">
        <v>36</v>
      </c>
      <c r="Y488">
        <v>0.25700000000000001</v>
      </c>
      <c r="Z488">
        <v>0.317</v>
      </c>
      <c r="AA488">
        <v>0.41</v>
      </c>
    </row>
    <row r="489" spans="1:27" x14ac:dyDescent="0.2">
      <c r="A489" s="52">
        <v>2016</v>
      </c>
      <c r="B489" t="s">
        <v>53</v>
      </c>
      <c r="C489" t="s">
        <v>38</v>
      </c>
      <c r="D489">
        <v>162</v>
      </c>
      <c r="E489">
        <v>5487</v>
      </c>
      <c r="F489" s="1">
        <v>716</v>
      </c>
      <c r="G489">
        <v>1403</v>
      </c>
      <c r="H489">
        <f t="shared" si="15"/>
        <v>929</v>
      </c>
      <c r="I489">
        <v>277</v>
      </c>
      <c r="J489">
        <v>33</v>
      </c>
      <c r="K489">
        <v>164</v>
      </c>
      <c r="L489">
        <v>452</v>
      </c>
      <c r="M489">
        <v>52</v>
      </c>
      <c r="N489">
        <f t="shared" si="14"/>
        <v>3580</v>
      </c>
      <c r="O489">
        <v>678</v>
      </c>
      <c r="P489">
        <v>37</v>
      </c>
      <c r="Q489">
        <v>1284</v>
      </c>
      <c r="R489">
        <v>58</v>
      </c>
      <c r="S489">
        <v>44</v>
      </c>
      <c r="T489">
        <v>1</v>
      </c>
      <c r="U489">
        <v>61</v>
      </c>
      <c r="V489">
        <v>129</v>
      </c>
      <c r="W489">
        <v>139</v>
      </c>
      <c r="X489">
        <v>51</v>
      </c>
      <c r="Y489">
        <v>0.25600000000000001</v>
      </c>
      <c r="Z489">
        <v>0.316</v>
      </c>
      <c r="AA489">
        <v>0.40799999999999997</v>
      </c>
    </row>
    <row r="490" spans="1:27" x14ac:dyDescent="0.2">
      <c r="A490" s="52">
        <v>2016</v>
      </c>
      <c r="B490" t="s">
        <v>55</v>
      </c>
      <c r="C490" t="s">
        <v>163</v>
      </c>
      <c r="D490">
        <v>161</v>
      </c>
      <c r="E490">
        <v>5484</v>
      </c>
      <c r="F490" s="1">
        <v>777</v>
      </c>
      <c r="G490">
        <v>1435</v>
      </c>
      <c r="H490">
        <f t="shared" si="15"/>
        <v>913</v>
      </c>
      <c r="I490">
        <v>308</v>
      </c>
      <c r="J490">
        <v>29</v>
      </c>
      <c r="K490">
        <v>185</v>
      </c>
      <c r="L490">
        <v>531</v>
      </c>
      <c r="M490">
        <v>49</v>
      </c>
      <c r="N490">
        <f t="shared" si="14"/>
        <v>3469</v>
      </c>
      <c r="O490">
        <v>733</v>
      </c>
      <c r="P490">
        <v>16</v>
      </c>
      <c r="Q490">
        <v>1246</v>
      </c>
      <c r="R490">
        <v>31</v>
      </c>
      <c r="S490">
        <v>60</v>
      </c>
      <c r="T490">
        <v>0</v>
      </c>
      <c r="U490">
        <v>65</v>
      </c>
      <c r="V490">
        <v>137</v>
      </c>
      <c r="W490">
        <v>134</v>
      </c>
      <c r="X490">
        <v>31</v>
      </c>
      <c r="Y490">
        <v>0.26200000000000001</v>
      </c>
      <c r="Z490">
        <v>0.32900000000000001</v>
      </c>
      <c r="AA490">
        <v>0.43</v>
      </c>
    </row>
    <row r="491" spans="1:27" x14ac:dyDescent="0.2">
      <c r="A491" s="52">
        <v>2016</v>
      </c>
      <c r="B491" t="s">
        <v>57</v>
      </c>
      <c r="C491" t="s">
        <v>38</v>
      </c>
      <c r="D491">
        <v>162</v>
      </c>
      <c r="E491">
        <v>5614</v>
      </c>
      <c r="F491" s="1">
        <v>845</v>
      </c>
      <c r="G491">
        <v>1544</v>
      </c>
      <c r="H491">
        <f t="shared" si="15"/>
        <v>975</v>
      </c>
      <c r="I491">
        <v>318</v>
      </c>
      <c r="J491">
        <v>47</v>
      </c>
      <c r="K491">
        <v>204</v>
      </c>
      <c r="L491">
        <v>494</v>
      </c>
      <c r="M491">
        <v>40</v>
      </c>
      <c r="N491">
        <f t="shared" si="14"/>
        <v>3536</v>
      </c>
      <c r="O491">
        <v>805</v>
      </c>
      <c r="P491">
        <v>35</v>
      </c>
      <c r="Q491">
        <v>1330</v>
      </c>
      <c r="R491">
        <v>54</v>
      </c>
      <c r="S491">
        <v>34</v>
      </c>
      <c r="T491">
        <v>0</v>
      </c>
      <c r="U491">
        <v>59</v>
      </c>
      <c r="V491">
        <v>113</v>
      </c>
      <c r="W491">
        <v>66</v>
      </c>
      <c r="X491">
        <v>39</v>
      </c>
      <c r="Y491">
        <v>0.27500000000000002</v>
      </c>
      <c r="Z491">
        <v>0.33600000000000002</v>
      </c>
      <c r="AA491">
        <v>0.45700000000000002</v>
      </c>
    </row>
    <row r="492" spans="1:27" x14ac:dyDescent="0.2">
      <c r="A492" s="52">
        <v>2016</v>
      </c>
      <c r="B492" t="s">
        <v>59</v>
      </c>
      <c r="C492" t="s">
        <v>163</v>
      </c>
      <c r="D492">
        <v>161</v>
      </c>
      <c r="E492">
        <v>5526</v>
      </c>
      <c r="F492" s="1">
        <v>750</v>
      </c>
      <c r="G492">
        <v>1476</v>
      </c>
      <c r="H492">
        <f t="shared" si="15"/>
        <v>983</v>
      </c>
      <c r="I492">
        <v>252</v>
      </c>
      <c r="J492">
        <v>30</v>
      </c>
      <c r="K492">
        <v>211</v>
      </c>
      <c r="L492">
        <v>493</v>
      </c>
      <c r="M492">
        <v>53</v>
      </c>
      <c r="N492">
        <f t="shared" si="14"/>
        <v>3504</v>
      </c>
      <c r="O492">
        <v>719</v>
      </c>
      <c r="P492">
        <v>32</v>
      </c>
      <c r="Q492">
        <v>1303</v>
      </c>
      <c r="R492">
        <v>17</v>
      </c>
      <c r="S492">
        <v>38</v>
      </c>
      <c r="T492">
        <v>0</v>
      </c>
      <c r="U492">
        <v>51</v>
      </c>
      <c r="V492">
        <v>135</v>
      </c>
      <c r="W492">
        <v>58</v>
      </c>
      <c r="X492">
        <v>29</v>
      </c>
      <c r="Y492">
        <v>0.26700000000000002</v>
      </c>
      <c r="Z492">
        <v>0.33100000000000002</v>
      </c>
      <c r="AA492">
        <v>0.438</v>
      </c>
    </row>
    <row r="493" spans="1:27" x14ac:dyDescent="0.2">
      <c r="A493" s="52">
        <v>2016</v>
      </c>
      <c r="B493" t="s">
        <v>63</v>
      </c>
      <c r="C493" t="s">
        <v>163</v>
      </c>
      <c r="D493">
        <v>162</v>
      </c>
      <c r="E493">
        <v>5545</v>
      </c>
      <c r="F493" s="1">
        <v>724</v>
      </c>
      <c r="G493">
        <v>1367</v>
      </c>
      <c r="H493">
        <f t="shared" si="15"/>
        <v>849</v>
      </c>
      <c r="I493">
        <v>291</v>
      </c>
      <c r="J493">
        <v>29</v>
      </c>
      <c r="K493">
        <v>198</v>
      </c>
      <c r="L493">
        <v>554</v>
      </c>
      <c r="M493">
        <v>47</v>
      </c>
      <c r="N493">
        <f t="shared" si="14"/>
        <v>3577</v>
      </c>
      <c r="O493">
        <v>689</v>
      </c>
      <c r="P493">
        <v>31</v>
      </c>
      <c r="Q493">
        <v>1452</v>
      </c>
      <c r="R493">
        <v>27</v>
      </c>
      <c r="S493">
        <v>31</v>
      </c>
      <c r="T493">
        <v>0</v>
      </c>
      <c r="U493">
        <v>75</v>
      </c>
      <c r="V493">
        <v>134</v>
      </c>
      <c r="W493">
        <v>102</v>
      </c>
      <c r="X493">
        <v>44</v>
      </c>
      <c r="Y493">
        <v>0.247</v>
      </c>
      <c r="Z493">
        <v>0.31900000000000001</v>
      </c>
      <c r="AA493">
        <v>0.41699999999999998</v>
      </c>
    </row>
    <row r="494" spans="1:27" x14ac:dyDescent="0.2">
      <c r="A494" s="52">
        <v>2016</v>
      </c>
      <c r="B494" t="s">
        <v>164</v>
      </c>
      <c r="C494" t="s">
        <v>163</v>
      </c>
      <c r="D494">
        <v>162</v>
      </c>
      <c r="E494">
        <v>5552</v>
      </c>
      <c r="F494" s="1">
        <v>675</v>
      </c>
      <c r="G494">
        <v>1450</v>
      </c>
      <c r="H494">
        <f t="shared" si="15"/>
        <v>1006</v>
      </c>
      <c r="I494">
        <v>264</v>
      </c>
      <c r="J494">
        <v>33</v>
      </c>
      <c r="K494">
        <v>147</v>
      </c>
      <c r="L494">
        <v>382</v>
      </c>
      <c r="M494">
        <v>45</v>
      </c>
      <c r="N494">
        <f t="shared" si="14"/>
        <v>3675</v>
      </c>
      <c r="O494">
        <v>640</v>
      </c>
      <c r="P494">
        <v>23</v>
      </c>
      <c r="Q494">
        <v>1224</v>
      </c>
      <c r="R494">
        <v>38</v>
      </c>
      <c r="S494">
        <v>34</v>
      </c>
      <c r="T494">
        <v>1</v>
      </c>
      <c r="U494">
        <v>61</v>
      </c>
      <c r="V494">
        <v>134</v>
      </c>
      <c r="W494">
        <v>121</v>
      </c>
      <c r="X494">
        <v>35</v>
      </c>
      <c r="Y494">
        <v>0.26100000000000001</v>
      </c>
      <c r="Z494">
        <v>0.312</v>
      </c>
      <c r="AA494">
        <v>0.4</v>
      </c>
    </row>
    <row r="495" spans="1:27" x14ac:dyDescent="0.2">
      <c r="A495" s="52">
        <v>2016</v>
      </c>
      <c r="B495" t="s">
        <v>159</v>
      </c>
      <c r="C495" t="s">
        <v>38</v>
      </c>
      <c r="D495">
        <v>162</v>
      </c>
      <c r="E495">
        <v>5518</v>
      </c>
      <c r="F495" s="1">
        <v>725</v>
      </c>
      <c r="G495">
        <v>1376</v>
      </c>
      <c r="H495">
        <f t="shared" si="15"/>
        <v>894</v>
      </c>
      <c r="I495">
        <v>272</v>
      </c>
      <c r="J495">
        <v>21</v>
      </c>
      <c r="K495">
        <v>189</v>
      </c>
      <c r="L495">
        <v>525</v>
      </c>
      <c r="M495">
        <v>58</v>
      </c>
      <c r="N495">
        <f t="shared" si="14"/>
        <v>3559</v>
      </c>
      <c r="O495">
        <v>680</v>
      </c>
      <c r="P495">
        <v>31</v>
      </c>
      <c r="Q495">
        <v>1321</v>
      </c>
      <c r="R495">
        <v>30</v>
      </c>
      <c r="S495">
        <v>32</v>
      </c>
      <c r="T495">
        <v>1</v>
      </c>
      <c r="U495">
        <v>61</v>
      </c>
      <c r="V495">
        <v>120</v>
      </c>
      <c r="W495">
        <v>45</v>
      </c>
      <c r="X495">
        <v>26</v>
      </c>
      <c r="Y495">
        <v>0.249</v>
      </c>
      <c r="Z495">
        <v>0.31900000000000001</v>
      </c>
      <c r="AA495">
        <v>0.40899999999999997</v>
      </c>
    </row>
    <row r="496" spans="1:27" x14ac:dyDescent="0.2">
      <c r="A496" s="52">
        <v>2016</v>
      </c>
      <c r="B496" t="s">
        <v>104</v>
      </c>
      <c r="C496" t="s">
        <v>38</v>
      </c>
      <c r="D496">
        <v>161</v>
      </c>
      <c r="E496">
        <v>5547</v>
      </c>
      <c r="F496" s="1">
        <v>655</v>
      </c>
      <c r="G496">
        <v>1460</v>
      </c>
      <c r="H496">
        <f t="shared" si="15"/>
        <v>1031</v>
      </c>
      <c r="I496">
        <v>259</v>
      </c>
      <c r="J496">
        <v>42</v>
      </c>
      <c r="K496">
        <v>128</v>
      </c>
      <c r="L496">
        <v>447</v>
      </c>
      <c r="M496">
        <v>54</v>
      </c>
      <c r="N496">
        <f t="shared" si="14"/>
        <v>3586</v>
      </c>
      <c r="O496">
        <v>626</v>
      </c>
      <c r="P496">
        <v>40</v>
      </c>
      <c r="Q496">
        <v>1213</v>
      </c>
      <c r="R496">
        <v>46</v>
      </c>
      <c r="S496">
        <v>38</v>
      </c>
      <c r="T496">
        <v>2</v>
      </c>
      <c r="U496">
        <v>77</v>
      </c>
      <c r="V496">
        <v>140</v>
      </c>
      <c r="W496">
        <v>71</v>
      </c>
      <c r="X496">
        <v>28</v>
      </c>
      <c r="Y496">
        <v>0.26300000000000001</v>
      </c>
      <c r="Z496">
        <v>0.32200000000000001</v>
      </c>
      <c r="AA496">
        <v>0.39400000000000002</v>
      </c>
    </row>
    <row r="497" spans="1:27" x14ac:dyDescent="0.2">
      <c r="A497" s="52">
        <v>2016</v>
      </c>
      <c r="B497" t="s">
        <v>69</v>
      </c>
      <c r="C497" t="s">
        <v>38</v>
      </c>
      <c r="D497">
        <v>162</v>
      </c>
      <c r="E497">
        <v>5330</v>
      </c>
      <c r="F497" s="1">
        <v>671</v>
      </c>
      <c r="G497">
        <v>1299</v>
      </c>
      <c r="H497">
        <f t="shared" si="15"/>
        <v>837</v>
      </c>
      <c r="I497">
        <v>249</v>
      </c>
      <c r="J497">
        <v>19</v>
      </c>
      <c r="K497">
        <v>194</v>
      </c>
      <c r="L497">
        <v>599</v>
      </c>
      <c r="M497">
        <v>37</v>
      </c>
      <c r="N497">
        <f t="shared" si="14"/>
        <v>3395</v>
      </c>
      <c r="O497">
        <v>641</v>
      </c>
      <c r="P497">
        <v>34</v>
      </c>
      <c r="Q497">
        <v>1543</v>
      </c>
      <c r="R497">
        <v>53</v>
      </c>
      <c r="S497">
        <v>39</v>
      </c>
      <c r="T497">
        <v>3</v>
      </c>
      <c r="U497">
        <v>56</v>
      </c>
      <c r="V497">
        <v>131</v>
      </c>
      <c r="W497">
        <v>181</v>
      </c>
      <c r="X497">
        <v>56</v>
      </c>
      <c r="Y497">
        <v>0.24399999999999999</v>
      </c>
      <c r="Z497">
        <v>0.32200000000000001</v>
      </c>
      <c r="AA497">
        <v>0.40699999999999997</v>
      </c>
    </row>
    <row r="498" spans="1:27" x14ac:dyDescent="0.2">
      <c r="A498" s="52">
        <v>2016</v>
      </c>
      <c r="B498" t="s">
        <v>71</v>
      </c>
      <c r="C498" t="s">
        <v>163</v>
      </c>
      <c r="D498">
        <v>162</v>
      </c>
      <c r="E498">
        <v>5618</v>
      </c>
      <c r="F498" s="1">
        <v>722</v>
      </c>
      <c r="G498">
        <v>1409</v>
      </c>
      <c r="H498">
        <f t="shared" si="15"/>
        <v>886</v>
      </c>
      <c r="I498">
        <v>288</v>
      </c>
      <c r="J498">
        <v>35</v>
      </c>
      <c r="K498">
        <v>200</v>
      </c>
      <c r="L498">
        <v>513</v>
      </c>
      <c r="M498">
        <v>44</v>
      </c>
      <c r="N498">
        <f t="shared" si="14"/>
        <v>3652</v>
      </c>
      <c r="O498">
        <v>690</v>
      </c>
      <c r="P498">
        <v>24</v>
      </c>
      <c r="Q498">
        <v>1426</v>
      </c>
      <c r="R498">
        <v>27</v>
      </c>
      <c r="S498">
        <v>43</v>
      </c>
      <c r="T498">
        <v>0</v>
      </c>
      <c r="U498">
        <v>54</v>
      </c>
      <c r="V498">
        <v>96</v>
      </c>
      <c r="W498">
        <v>91</v>
      </c>
      <c r="X498">
        <v>32</v>
      </c>
      <c r="Y498">
        <v>0.251</v>
      </c>
      <c r="Z498">
        <v>0.316</v>
      </c>
      <c r="AA498">
        <v>0.42099999999999999</v>
      </c>
    </row>
    <row r="499" spans="1:27" x14ac:dyDescent="0.2">
      <c r="A499" s="52">
        <v>2016</v>
      </c>
      <c r="B499" t="s">
        <v>158</v>
      </c>
      <c r="C499" t="s">
        <v>38</v>
      </c>
      <c r="D499">
        <v>162</v>
      </c>
      <c r="E499">
        <v>5459</v>
      </c>
      <c r="F499" s="1">
        <v>671</v>
      </c>
      <c r="G499">
        <v>1342</v>
      </c>
      <c r="H499">
        <f t="shared" si="15"/>
        <v>865</v>
      </c>
      <c r="I499">
        <v>240</v>
      </c>
      <c r="J499">
        <v>19</v>
      </c>
      <c r="K499">
        <v>218</v>
      </c>
      <c r="L499">
        <v>517</v>
      </c>
      <c r="M499">
        <v>62</v>
      </c>
      <c r="N499">
        <f t="shared" si="14"/>
        <v>3538</v>
      </c>
      <c r="O499">
        <v>649</v>
      </c>
      <c r="P499">
        <v>43</v>
      </c>
      <c r="Q499">
        <v>1302</v>
      </c>
      <c r="R499">
        <v>35</v>
      </c>
      <c r="S499">
        <v>41</v>
      </c>
      <c r="T499">
        <v>1</v>
      </c>
      <c r="U499">
        <v>55</v>
      </c>
      <c r="V499">
        <v>123</v>
      </c>
      <c r="W499">
        <v>42</v>
      </c>
      <c r="X499">
        <v>18</v>
      </c>
      <c r="Y499">
        <v>0.246</v>
      </c>
      <c r="Z499">
        <v>0.316</v>
      </c>
      <c r="AA499">
        <v>0.41699999999999998</v>
      </c>
    </row>
    <row r="500" spans="1:27" x14ac:dyDescent="0.2">
      <c r="A500" s="52">
        <v>2016</v>
      </c>
      <c r="B500" t="s">
        <v>158</v>
      </c>
      <c r="C500" t="s">
        <v>163</v>
      </c>
      <c r="D500">
        <v>162</v>
      </c>
      <c r="E500">
        <v>5458</v>
      </c>
      <c r="F500" s="1">
        <v>680</v>
      </c>
      <c r="G500">
        <v>1378</v>
      </c>
      <c r="H500">
        <f t="shared" si="15"/>
        <v>930</v>
      </c>
      <c r="I500">
        <v>245</v>
      </c>
      <c r="J500">
        <v>20</v>
      </c>
      <c r="K500">
        <v>183</v>
      </c>
      <c r="L500">
        <v>475</v>
      </c>
      <c r="M500">
        <v>42</v>
      </c>
      <c r="N500">
        <f t="shared" si="14"/>
        <v>3563</v>
      </c>
      <c r="O500">
        <v>647</v>
      </c>
      <c r="P500">
        <v>19</v>
      </c>
      <c r="Q500">
        <v>1188</v>
      </c>
      <c r="R500">
        <v>21</v>
      </c>
      <c r="S500">
        <v>49</v>
      </c>
      <c r="T500">
        <v>14</v>
      </c>
      <c r="U500">
        <v>66</v>
      </c>
      <c r="V500">
        <v>121</v>
      </c>
      <c r="W500">
        <v>72</v>
      </c>
      <c r="X500">
        <v>22</v>
      </c>
      <c r="Y500">
        <v>0.252</v>
      </c>
      <c r="Z500">
        <v>0.315</v>
      </c>
      <c r="AA500">
        <v>0.40500000000000003</v>
      </c>
    </row>
    <row r="501" spans="1:27" x14ac:dyDescent="0.2">
      <c r="A501" s="52">
        <v>2016</v>
      </c>
      <c r="B501" t="s">
        <v>79</v>
      </c>
      <c r="C501" t="s">
        <v>163</v>
      </c>
      <c r="D501">
        <v>162</v>
      </c>
      <c r="E501">
        <v>5500</v>
      </c>
      <c r="F501" s="1">
        <v>653</v>
      </c>
      <c r="G501">
        <v>1352</v>
      </c>
      <c r="H501">
        <f t="shared" si="15"/>
        <v>892</v>
      </c>
      <c r="I501">
        <v>270</v>
      </c>
      <c r="J501">
        <v>21</v>
      </c>
      <c r="K501">
        <v>169</v>
      </c>
      <c r="L501">
        <v>442</v>
      </c>
      <c r="M501">
        <v>33</v>
      </c>
      <c r="N501">
        <f t="shared" si="14"/>
        <v>3673</v>
      </c>
      <c r="O501">
        <v>634</v>
      </c>
      <c r="P501">
        <v>19</v>
      </c>
      <c r="Q501">
        <v>1145</v>
      </c>
      <c r="R501">
        <v>13</v>
      </c>
      <c r="S501">
        <v>34</v>
      </c>
      <c r="T501">
        <v>0</v>
      </c>
      <c r="U501">
        <v>71</v>
      </c>
      <c r="V501">
        <v>142</v>
      </c>
      <c r="W501">
        <v>50</v>
      </c>
      <c r="X501">
        <v>23</v>
      </c>
      <c r="Y501">
        <v>0.246</v>
      </c>
      <c r="Z501">
        <v>0.30399999999999999</v>
      </c>
      <c r="AA501">
        <v>0.39500000000000002</v>
      </c>
    </row>
    <row r="502" spans="1:27" x14ac:dyDescent="0.2">
      <c r="A502" s="52">
        <v>2016</v>
      </c>
      <c r="B502" t="s">
        <v>81</v>
      </c>
      <c r="C502" t="s">
        <v>38</v>
      </c>
      <c r="D502">
        <v>162</v>
      </c>
      <c r="E502">
        <v>5434</v>
      </c>
      <c r="F502" s="1">
        <v>610</v>
      </c>
      <c r="G502">
        <v>1305</v>
      </c>
      <c r="H502">
        <f t="shared" si="15"/>
        <v>878</v>
      </c>
      <c r="I502">
        <v>231</v>
      </c>
      <c r="J502">
        <v>35</v>
      </c>
      <c r="K502">
        <v>161</v>
      </c>
      <c r="L502">
        <v>424</v>
      </c>
      <c r="M502">
        <v>58</v>
      </c>
      <c r="N502">
        <f t="shared" si="14"/>
        <v>3647</v>
      </c>
      <c r="O502">
        <v>574</v>
      </c>
      <c r="P502">
        <v>33</v>
      </c>
      <c r="Q502">
        <v>1376</v>
      </c>
      <c r="R502">
        <v>46</v>
      </c>
      <c r="S502">
        <v>30</v>
      </c>
      <c r="T502">
        <v>0</v>
      </c>
      <c r="U502">
        <v>71</v>
      </c>
      <c r="V502">
        <v>112</v>
      </c>
      <c r="W502">
        <v>96</v>
      </c>
      <c r="X502">
        <v>45</v>
      </c>
      <c r="Y502">
        <v>0.24</v>
      </c>
      <c r="Z502">
        <v>0.30099999999999999</v>
      </c>
      <c r="AA502">
        <v>0.38400000000000001</v>
      </c>
    </row>
    <row r="503" spans="1:27" x14ac:dyDescent="0.2">
      <c r="A503" s="52">
        <v>2016</v>
      </c>
      <c r="B503" t="s">
        <v>83</v>
      </c>
      <c r="C503" t="s">
        <v>38</v>
      </c>
      <c r="D503">
        <v>162</v>
      </c>
      <c r="E503">
        <v>5542</v>
      </c>
      <c r="F503" s="1">
        <v>729</v>
      </c>
      <c r="G503">
        <v>1426</v>
      </c>
      <c r="H503">
        <f t="shared" si="15"/>
        <v>964</v>
      </c>
      <c r="I503">
        <v>277</v>
      </c>
      <c r="J503">
        <v>32</v>
      </c>
      <c r="K503">
        <v>153</v>
      </c>
      <c r="L503">
        <v>561</v>
      </c>
      <c r="M503">
        <v>81</v>
      </c>
      <c r="N503">
        <f t="shared" si="14"/>
        <v>3474</v>
      </c>
      <c r="O503">
        <v>696</v>
      </c>
      <c r="P503">
        <v>39</v>
      </c>
      <c r="Q503">
        <v>1334</v>
      </c>
      <c r="R503">
        <v>41</v>
      </c>
      <c r="S503">
        <v>36</v>
      </c>
      <c r="T503">
        <v>0</v>
      </c>
      <c r="U503">
        <v>75</v>
      </c>
      <c r="V503">
        <v>133</v>
      </c>
      <c r="W503">
        <v>110</v>
      </c>
      <c r="X503">
        <v>45</v>
      </c>
      <c r="Y503">
        <v>0.25700000000000001</v>
      </c>
      <c r="Z503">
        <v>0.33200000000000002</v>
      </c>
      <c r="AA503">
        <v>0.40200000000000002</v>
      </c>
    </row>
    <row r="504" spans="1:27" x14ac:dyDescent="0.2">
      <c r="A504" s="52">
        <v>2016</v>
      </c>
      <c r="B504" t="s">
        <v>161</v>
      </c>
      <c r="C504" t="s">
        <v>38</v>
      </c>
      <c r="D504">
        <v>162</v>
      </c>
      <c r="E504">
        <v>5419</v>
      </c>
      <c r="F504" s="1">
        <v>686</v>
      </c>
      <c r="G504">
        <v>1275</v>
      </c>
      <c r="H504">
        <f t="shared" si="15"/>
        <v>815</v>
      </c>
      <c r="I504">
        <v>257</v>
      </c>
      <c r="J504">
        <v>26</v>
      </c>
      <c r="K504">
        <v>177</v>
      </c>
      <c r="L504">
        <v>449</v>
      </c>
      <c r="M504">
        <v>58</v>
      </c>
      <c r="N504">
        <f t="shared" si="14"/>
        <v>3637</v>
      </c>
      <c r="O504">
        <v>654</v>
      </c>
      <c r="P504">
        <v>30</v>
      </c>
      <c r="Q504">
        <v>1500</v>
      </c>
      <c r="R504">
        <v>36</v>
      </c>
      <c r="S504">
        <v>36</v>
      </c>
      <c r="T504">
        <v>3</v>
      </c>
      <c r="U504">
        <v>56</v>
      </c>
      <c r="V504">
        <v>93</v>
      </c>
      <c r="W504">
        <v>125</v>
      </c>
      <c r="X504">
        <v>45</v>
      </c>
      <c r="Y504">
        <v>0.23499999999999999</v>
      </c>
      <c r="Z504">
        <v>0.29899999999999999</v>
      </c>
      <c r="AA504">
        <v>0.39</v>
      </c>
    </row>
    <row r="505" spans="1:27" x14ac:dyDescent="0.2">
      <c r="A505" s="52">
        <v>2016</v>
      </c>
      <c r="B505" t="s">
        <v>87</v>
      </c>
      <c r="C505" t="s">
        <v>163</v>
      </c>
      <c r="D505">
        <v>162</v>
      </c>
      <c r="E505">
        <v>5583</v>
      </c>
      <c r="F505" s="1">
        <v>768</v>
      </c>
      <c r="G505">
        <v>1446</v>
      </c>
      <c r="H505">
        <f t="shared" si="15"/>
        <v>955</v>
      </c>
      <c r="I505">
        <v>251</v>
      </c>
      <c r="J505">
        <v>17</v>
      </c>
      <c r="K505">
        <v>223</v>
      </c>
      <c r="L505">
        <v>506</v>
      </c>
      <c r="M505">
        <v>72</v>
      </c>
      <c r="N505">
        <f t="shared" si="14"/>
        <v>3559</v>
      </c>
      <c r="O505">
        <v>735</v>
      </c>
      <c r="P505">
        <v>29</v>
      </c>
      <c r="Q505">
        <v>1288</v>
      </c>
      <c r="R505">
        <v>24</v>
      </c>
      <c r="S505">
        <v>41</v>
      </c>
      <c r="T505">
        <v>1</v>
      </c>
      <c r="U505">
        <v>61</v>
      </c>
      <c r="V505">
        <v>138</v>
      </c>
      <c r="W505">
        <v>56</v>
      </c>
      <c r="X505">
        <v>28</v>
      </c>
      <c r="Y505">
        <v>0.25900000000000001</v>
      </c>
      <c r="Z505">
        <v>0.32600000000000001</v>
      </c>
      <c r="AA505">
        <v>0.43</v>
      </c>
    </row>
    <row r="506" spans="1:27" x14ac:dyDescent="0.2">
      <c r="A506" s="52">
        <v>2016</v>
      </c>
      <c r="B506" t="s">
        <v>21</v>
      </c>
      <c r="C506" t="s">
        <v>38</v>
      </c>
      <c r="D506">
        <v>162</v>
      </c>
      <c r="E506">
        <v>5565</v>
      </c>
      <c r="F506" s="1">
        <v>715</v>
      </c>
      <c r="G506">
        <v>1437</v>
      </c>
      <c r="H506">
        <f t="shared" si="15"/>
        <v>973</v>
      </c>
      <c r="I506">
        <v>280</v>
      </c>
      <c r="J506">
        <v>54</v>
      </c>
      <c r="K506">
        <v>130</v>
      </c>
      <c r="L506">
        <v>572</v>
      </c>
      <c r="M506">
        <v>42</v>
      </c>
      <c r="N506">
        <f t="shared" si="14"/>
        <v>3514</v>
      </c>
      <c r="O506">
        <v>675</v>
      </c>
      <c r="P506">
        <v>43</v>
      </c>
      <c r="Q506">
        <v>1107</v>
      </c>
      <c r="R506">
        <v>42</v>
      </c>
      <c r="S506">
        <v>46</v>
      </c>
      <c r="T506">
        <v>4</v>
      </c>
      <c r="U506">
        <v>69</v>
      </c>
      <c r="V506">
        <v>120</v>
      </c>
      <c r="W506">
        <v>79</v>
      </c>
      <c r="X506">
        <v>36</v>
      </c>
      <c r="Y506">
        <v>0.25800000000000001</v>
      </c>
      <c r="Z506">
        <v>0.32900000000000001</v>
      </c>
      <c r="AA506">
        <v>0.39800000000000002</v>
      </c>
    </row>
    <row r="507" spans="1:27" x14ac:dyDescent="0.2">
      <c r="A507" s="52">
        <v>2016</v>
      </c>
      <c r="B507" t="s">
        <v>156</v>
      </c>
      <c r="C507" t="s">
        <v>38</v>
      </c>
      <c r="D507">
        <v>162</v>
      </c>
      <c r="E507">
        <v>5548</v>
      </c>
      <c r="F507" s="1">
        <v>779</v>
      </c>
      <c r="G507">
        <v>1415</v>
      </c>
      <c r="H507">
        <f t="shared" si="15"/>
        <v>859</v>
      </c>
      <c r="I507">
        <v>299</v>
      </c>
      <c r="J507">
        <v>32</v>
      </c>
      <c r="K507">
        <v>225</v>
      </c>
      <c r="L507">
        <v>526</v>
      </c>
      <c r="M507">
        <v>70</v>
      </c>
      <c r="N507">
        <f t="shared" si="14"/>
        <v>3537</v>
      </c>
      <c r="O507">
        <v>745</v>
      </c>
      <c r="P507">
        <v>28</v>
      </c>
      <c r="Q507">
        <v>1318</v>
      </c>
      <c r="R507">
        <v>37</v>
      </c>
      <c r="S507">
        <v>41</v>
      </c>
      <c r="T507">
        <v>1</v>
      </c>
      <c r="U507">
        <v>76</v>
      </c>
      <c r="V507">
        <v>117</v>
      </c>
      <c r="W507">
        <v>35</v>
      </c>
      <c r="X507">
        <v>26</v>
      </c>
      <c r="Y507">
        <v>0.255</v>
      </c>
      <c r="Z507">
        <v>0.32500000000000001</v>
      </c>
      <c r="AA507">
        <v>0.442</v>
      </c>
    </row>
    <row r="508" spans="1:27" x14ac:dyDescent="0.2">
      <c r="A508" s="52">
        <v>2016</v>
      </c>
      <c r="B508" t="s">
        <v>165</v>
      </c>
      <c r="C508" t="s">
        <v>163</v>
      </c>
      <c r="D508">
        <v>162</v>
      </c>
      <c r="E508">
        <v>5481</v>
      </c>
      <c r="F508" s="1">
        <v>672</v>
      </c>
      <c r="G508">
        <v>1333</v>
      </c>
      <c r="H508">
        <f t="shared" si="15"/>
        <v>797</v>
      </c>
      <c r="I508">
        <v>288</v>
      </c>
      <c r="J508">
        <v>32</v>
      </c>
      <c r="K508">
        <v>216</v>
      </c>
      <c r="L508">
        <v>449</v>
      </c>
      <c r="M508">
        <v>69</v>
      </c>
      <c r="N508">
        <f t="shared" si="14"/>
        <v>3630</v>
      </c>
      <c r="O508">
        <v>647</v>
      </c>
      <c r="P508">
        <v>20</v>
      </c>
      <c r="Q508">
        <v>1482</v>
      </c>
      <c r="R508">
        <v>18</v>
      </c>
      <c r="S508">
        <v>28</v>
      </c>
      <c r="T508">
        <v>1</v>
      </c>
      <c r="U508">
        <v>58</v>
      </c>
      <c r="V508">
        <v>88</v>
      </c>
      <c r="W508">
        <v>60</v>
      </c>
      <c r="X508">
        <v>37</v>
      </c>
      <c r="Y508">
        <v>0.24299999999999999</v>
      </c>
      <c r="Z508">
        <v>0.307</v>
      </c>
      <c r="AA508">
        <v>0.42599999999999999</v>
      </c>
    </row>
    <row r="509" spans="1:27" x14ac:dyDescent="0.2">
      <c r="A509" s="52">
        <v>2016</v>
      </c>
      <c r="B509" t="s">
        <v>95</v>
      </c>
      <c r="C509" t="s">
        <v>163</v>
      </c>
      <c r="D509">
        <v>162</v>
      </c>
      <c r="E509">
        <v>5525</v>
      </c>
      <c r="F509" s="1">
        <v>765</v>
      </c>
      <c r="G509">
        <v>1446</v>
      </c>
      <c r="H509">
        <f t="shared" si="15"/>
        <v>951</v>
      </c>
      <c r="I509">
        <v>257</v>
      </c>
      <c r="J509">
        <v>23</v>
      </c>
      <c r="K509">
        <v>215</v>
      </c>
      <c r="L509">
        <v>436</v>
      </c>
      <c r="M509">
        <v>70</v>
      </c>
      <c r="N509">
        <f t="shared" si="14"/>
        <v>3573</v>
      </c>
      <c r="O509">
        <v>746</v>
      </c>
      <c r="P509">
        <v>23</v>
      </c>
      <c r="Q509">
        <v>1220</v>
      </c>
      <c r="R509">
        <v>18</v>
      </c>
      <c r="S509">
        <v>40</v>
      </c>
      <c r="T509">
        <v>0</v>
      </c>
      <c r="U509">
        <v>67</v>
      </c>
      <c r="V509">
        <v>114</v>
      </c>
      <c r="W509">
        <v>99</v>
      </c>
      <c r="X509">
        <v>36</v>
      </c>
      <c r="Y509">
        <v>0.26200000000000001</v>
      </c>
      <c r="Z509">
        <v>0.32200000000000001</v>
      </c>
      <c r="AA509">
        <v>0.433</v>
      </c>
    </row>
    <row r="510" spans="1:27" x14ac:dyDescent="0.2">
      <c r="A510" s="52">
        <v>2016</v>
      </c>
      <c r="B510" t="s">
        <v>97</v>
      </c>
      <c r="C510" t="s">
        <v>163</v>
      </c>
      <c r="D510">
        <v>162</v>
      </c>
      <c r="E510">
        <v>5479</v>
      </c>
      <c r="F510" s="1">
        <v>759</v>
      </c>
      <c r="G510">
        <v>1358</v>
      </c>
      <c r="H510">
        <f t="shared" si="15"/>
        <v>843</v>
      </c>
      <c r="I510">
        <v>276</v>
      </c>
      <c r="J510">
        <v>18</v>
      </c>
      <c r="K510">
        <v>221</v>
      </c>
      <c r="L510">
        <v>632</v>
      </c>
      <c r="M510">
        <v>55</v>
      </c>
      <c r="N510">
        <f t="shared" si="14"/>
        <v>3434</v>
      </c>
      <c r="O510">
        <v>728</v>
      </c>
      <c r="P510">
        <v>16</v>
      </c>
      <c r="Q510">
        <v>1362</v>
      </c>
      <c r="R510">
        <v>26</v>
      </c>
      <c r="S510">
        <v>40</v>
      </c>
      <c r="T510">
        <v>1</v>
      </c>
      <c r="U510">
        <v>56</v>
      </c>
      <c r="V510">
        <v>153</v>
      </c>
      <c r="W510">
        <v>54</v>
      </c>
      <c r="X510">
        <v>24</v>
      </c>
      <c r="Y510">
        <v>0.248</v>
      </c>
      <c r="Z510">
        <v>0.33</v>
      </c>
      <c r="AA510">
        <v>0.42599999999999999</v>
      </c>
    </row>
    <row r="511" spans="1:27" x14ac:dyDescent="0.2">
      <c r="A511" s="52">
        <v>2016</v>
      </c>
      <c r="B511" t="s">
        <v>101</v>
      </c>
      <c r="C511" t="s">
        <v>38</v>
      </c>
      <c r="D511">
        <v>162</v>
      </c>
      <c r="E511">
        <v>5490</v>
      </c>
      <c r="F511" s="1">
        <v>763</v>
      </c>
      <c r="G511">
        <v>1403</v>
      </c>
      <c r="H511">
        <f t="shared" si="15"/>
        <v>903</v>
      </c>
      <c r="I511">
        <v>268</v>
      </c>
      <c r="J511">
        <v>29</v>
      </c>
      <c r="K511">
        <v>203</v>
      </c>
      <c r="L511">
        <v>536</v>
      </c>
      <c r="M511">
        <v>64</v>
      </c>
      <c r="N511">
        <f t="shared" si="14"/>
        <v>3487</v>
      </c>
      <c r="O511">
        <v>735</v>
      </c>
      <c r="P511">
        <v>49</v>
      </c>
      <c r="Q511">
        <v>1252</v>
      </c>
      <c r="R511">
        <v>48</v>
      </c>
      <c r="S511">
        <v>63</v>
      </c>
      <c r="T511">
        <v>0</v>
      </c>
      <c r="U511">
        <v>56</v>
      </c>
      <c r="V511">
        <v>102</v>
      </c>
      <c r="W511">
        <v>121</v>
      </c>
      <c r="X511">
        <v>39</v>
      </c>
      <c r="Y511">
        <v>0.25600000000000001</v>
      </c>
      <c r="Z511">
        <v>0.32600000000000001</v>
      </c>
      <c r="AA511">
        <v>0.42599999999999999</v>
      </c>
    </row>
    <row r="512" spans="1:27" x14ac:dyDescent="0.2">
      <c r="A512" s="52">
        <v>2017</v>
      </c>
      <c r="B512" t="s">
        <v>37</v>
      </c>
      <c r="C512" t="s">
        <v>163</v>
      </c>
      <c r="D512">
        <v>162</v>
      </c>
      <c r="E512">
        <v>5415</v>
      </c>
      <c r="F512" s="1">
        <v>710</v>
      </c>
      <c r="G512">
        <v>1314</v>
      </c>
      <c r="H512">
        <f t="shared" si="15"/>
        <v>863</v>
      </c>
      <c r="I512">
        <v>251</v>
      </c>
      <c r="J512">
        <v>14</v>
      </c>
      <c r="K512">
        <v>186</v>
      </c>
      <c r="L512">
        <v>523</v>
      </c>
      <c r="M512">
        <v>70</v>
      </c>
      <c r="N512">
        <f t="shared" si="14"/>
        <v>3508</v>
      </c>
      <c r="O512">
        <v>678</v>
      </c>
      <c r="P512">
        <v>30</v>
      </c>
      <c r="Q512">
        <v>1198</v>
      </c>
      <c r="R512">
        <v>17</v>
      </c>
      <c r="S512">
        <v>46</v>
      </c>
      <c r="T512">
        <v>2</v>
      </c>
      <c r="U512">
        <v>63</v>
      </c>
      <c r="V512">
        <v>141</v>
      </c>
      <c r="W512">
        <v>136</v>
      </c>
      <c r="X512">
        <v>44</v>
      </c>
      <c r="Y512">
        <v>0.24299999999999999</v>
      </c>
      <c r="Z512">
        <v>0.315</v>
      </c>
      <c r="AA512">
        <v>0.39700000000000002</v>
      </c>
    </row>
    <row r="513" spans="1:27" x14ac:dyDescent="0.2">
      <c r="A513" s="52">
        <v>2017</v>
      </c>
      <c r="B513" t="s">
        <v>40</v>
      </c>
      <c r="C513" t="s">
        <v>38</v>
      </c>
      <c r="D513">
        <v>162</v>
      </c>
      <c r="E513">
        <v>5525</v>
      </c>
      <c r="F513" s="1">
        <v>812</v>
      </c>
      <c r="G513">
        <v>1405</v>
      </c>
      <c r="H513">
        <f t="shared" si="15"/>
        <v>832</v>
      </c>
      <c r="I513">
        <v>314</v>
      </c>
      <c r="J513">
        <v>39</v>
      </c>
      <c r="K513">
        <v>220</v>
      </c>
      <c r="L513">
        <v>578</v>
      </c>
      <c r="M513">
        <v>54</v>
      </c>
      <c r="N513">
        <f t="shared" si="14"/>
        <v>3488</v>
      </c>
      <c r="O513">
        <v>776</v>
      </c>
      <c r="P513">
        <v>44</v>
      </c>
      <c r="Q513">
        <v>1456</v>
      </c>
      <c r="R513">
        <v>39</v>
      </c>
      <c r="S513">
        <v>27</v>
      </c>
      <c r="T513">
        <v>1</v>
      </c>
      <c r="U513">
        <v>63</v>
      </c>
      <c r="V513">
        <v>106</v>
      </c>
      <c r="W513">
        <v>103</v>
      </c>
      <c r="X513">
        <v>30</v>
      </c>
      <c r="Y513">
        <v>0.254</v>
      </c>
      <c r="Z513">
        <v>0.32900000000000001</v>
      </c>
      <c r="AA513">
        <v>0.44500000000000001</v>
      </c>
    </row>
    <row r="514" spans="1:27" x14ac:dyDescent="0.2">
      <c r="A514" s="52">
        <v>2017</v>
      </c>
      <c r="B514" t="s">
        <v>42</v>
      </c>
      <c r="C514" t="s">
        <v>38</v>
      </c>
      <c r="D514">
        <v>162</v>
      </c>
      <c r="E514">
        <v>5584</v>
      </c>
      <c r="F514" s="1">
        <v>732</v>
      </c>
      <c r="G514">
        <v>1467</v>
      </c>
      <c r="H514">
        <f t="shared" si="15"/>
        <v>987</v>
      </c>
      <c r="I514">
        <v>289</v>
      </c>
      <c r="J514">
        <v>26</v>
      </c>
      <c r="K514">
        <v>165</v>
      </c>
      <c r="L514">
        <v>474</v>
      </c>
      <c r="M514">
        <v>66</v>
      </c>
      <c r="N514">
        <f t="shared" ref="N514:N577" si="16">E514-(G514+L514+M514)</f>
        <v>3577</v>
      </c>
      <c r="O514">
        <v>706</v>
      </c>
      <c r="P514">
        <v>57</v>
      </c>
      <c r="Q514">
        <v>1184</v>
      </c>
      <c r="R514">
        <v>59</v>
      </c>
      <c r="S514">
        <v>32</v>
      </c>
      <c r="T514">
        <v>1</v>
      </c>
      <c r="U514">
        <v>62</v>
      </c>
      <c r="V514">
        <v>137</v>
      </c>
      <c r="W514">
        <v>77</v>
      </c>
      <c r="X514">
        <v>31</v>
      </c>
      <c r="Y514">
        <v>0.26300000000000001</v>
      </c>
      <c r="Z514">
        <v>0.32600000000000001</v>
      </c>
      <c r="AA514">
        <v>0.41199999999999998</v>
      </c>
    </row>
    <row r="515" spans="1:27" x14ac:dyDescent="0.2">
      <c r="A515" s="52">
        <v>2017</v>
      </c>
      <c r="B515" t="s">
        <v>45</v>
      </c>
      <c r="C515" t="s">
        <v>163</v>
      </c>
      <c r="D515">
        <v>162</v>
      </c>
      <c r="E515">
        <v>5650</v>
      </c>
      <c r="F515" s="1">
        <v>743</v>
      </c>
      <c r="G515">
        <v>1469</v>
      </c>
      <c r="H515">
        <f t="shared" ref="H515:H571" si="17">G515-(I515+J515+K515)</f>
        <v>956</v>
      </c>
      <c r="I515">
        <v>269</v>
      </c>
      <c r="J515">
        <v>12</v>
      </c>
      <c r="K515">
        <v>232</v>
      </c>
      <c r="L515">
        <v>392</v>
      </c>
      <c r="M515">
        <v>50</v>
      </c>
      <c r="N515">
        <f t="shared" si="16"/>
        <v>3739</v>
      </c>
      <c r="O515">
        <v>713</v>
      </c>
      <c r="P515">
        <v>12</v>
      </c>
      <c r="Q515">
        <v>1412</v>
      </c>
      <c r="R515">
        <v>10</v>
      </c>
      <c r="S515">
        <v>37</v>
      </c>
      <c r="T515">
        <v>1</v>
      </c>
      <c r="U515">
        <v>66</v>
      </c>
      <c r="V515">
        <v>138</v>
      </c>
      <c r="W515">
        <v>32</v>
      </c>
      <c r="X515">
        <v>13</v>
      </c>
      <c r="Y515">
        <v>0.26</v>
      </c>
      <c r="Z515">
        <v>0.312</v>
      </c>
      <c r="AA515">
        <v>0.435</v>
      </c>
    </row>
    <row r="516" spans="1:27" x14ac:dyDescent="0.2">
      <c r="A516" s="52">
        <v>2017</v>
      </c>
      <c r="B516" t="s">
        <v>47</v>
      </c>
      <c r="C516" t="s">
        <v>163</v>
      </c>
      <c r="D516">
        <v>162</v>
      </c>
      <c r="E516">
        <v>5669</v>
      </c>
      <c r="F516" s="1">
        <v>785</v>
      </c>
      <c r="G516">
        <v>1461</v>
      </c>
      <c r="H516">
        <f t="shared" si="17"/>
        <v>972</v>
      </c>
      <c r="I516">
        <v>302</v>
      </c>
      <c r="J516">
        <v>19</v>
      </c>
      <c r="K516">
        <v>168</v>
      </c>
      <c r="L516">
        <v>571</v>
      </c>
      <c r="M516">
        <v>53</v>
      </c>
      <c r="N516">
        <f t="shared" si="16"/>
        <v>3584</v>
      </c>
      <c r="O516">
        <v>735</v>
      </c>
      <c r="P516">
        <v>48</v>
      </c>
      <c r="Q516">
        <v>1224</v>
      </c>
      <c r="R516">
        <v>9</v>
      </c>
      <c r="S516">
        <v>36</v>
      </c>
      <c r="T516">
        <v>0</v>
      </c>
      <c r="U516">
        <v>75</v>
      </c>
      <c r="V516">
        <v>141</v>
      </c>
      <c r="W516">
        <v>106</v>
      </c>
      <c r="X516">
        <v>31</v>
      </c>
      <c r="Y516">
        <v>0.25800000000000001</v>
      </c>
      <c r="Z516">
        <v>0.32900000000000001</v>
      </c>
      <c r="AA516">
        <v>0.40699999999999997</v>
      </c>
    </row>
    <row r="517" spans="1:27" x14ac:dyDescent="0.2">
      <c r="A517" s="52">
        <v>2017</v>
      </c>
      <c r="B517" t="s">
        <v>157</v>
      </c>
      <c r="C517" t="s">
        <v>38</v>
      </c>
      <c r="D517">
        <v>162</v>
      </c>
      <c r="E517">
        <v>5496</v>
      </c>
      <c r="F517" s="1">
        <v>822</v>
      </c>
      <c r="G517">
        <v>1402</v>
      </c>
      <c r="H517">
        <f t="shared" si="17"/>
        <v>876</v>
      </c>
      <c r="I517">
        <v>274</v>
      </c>
      <c r="J517">
        <v>29</v>
      </c>
      <c r="K517">
        <v>223</v>
      </c>
      <c r="L517">
        <v>622</v>
      </c>
      <c r="M517">
        <v>82</v>
      </c>
      <c r="N517">
        <f t="shared" si="16"/>
        <v>3390</v>
      </c>
      <c r="O517">
        <v>785</v>
      </c>
      <c r="P517">
        <v>54</v>
      </c>
      <c r="Q517">
        <v>1401</v>
      </c>
      <c r="R517">
        <v>48</v>
      </c>
      <c r="S517">
        <v>32</v>
      </c>
      <c r="T517">
        <v>3</v>
      </c>
      <c r="U517">
        <v>80</v>
      </c>
      <c r="V517">
        <v>134</v>
      </c>
      <c r="W517">
        <v>62</v>
      </c>
      <c r="X517">
        <v>31</v>
      </c>
      <c r="Y517">
        <v>0.255</v>
      </c>
      <c r="Z517">
        <v>0.33800000000000002</v>
      </c>
      <c r="AA517">
        <v>0.437</v>
      </c>
    </row>
    <row r="518" spans="1:27" x14ac:dyDescent="0.2">
      <c r="A518" s="52">
        <v>2017</v>
      </c>
      <c r="B518" t="s">
        <v>157</v>
      </c>
      <c r="C518" t="s">
        <v>163</v>
      </c>
      <c r="D518">
        <v>162</v>
      </c>
      <c r="E518">
        <v>5513</v>
      </c>
      <c r="F518" s="1">
        <v>706</v>
      </c>
      <c r="G518">
        <v>1412</v>
      </c>
      <c r="H518">
        <f t="shared" si="17"/>
        <v>933</v>
      </c>
      <c r="I518">
        <v>256</v>
      </c>
      <c r="J518">
        <v>37</v>
      </c>
      <c r="K518">
        <v>186</v>
      </c>
      <c r="L518">
        <v>401</v>
      </c>
      <c r="M518">
        <v>76</v>
      </c>
      <c r="N518">
        <f t="shared" si="16"/>
        <v>3624</v>
      </c>
      <c r="O518">
        <v>670</v>
      </c>
      <c r="P518">
        <v>17</v>
      </c>
      <c r="Q518">
        <v>1397</v>
      </c>
      <c r="R518">
        <v>35</v>
      </c>
      <c r="S518">
        <v>33</v>
      </c>
      <c r="T518">
        <v>1</v>
      </c>
      <c r="U518">
        <v>75</v>
      </c>
      <c r="V518">
        <v>124</v>
      </c>
      <c r="W518">
        <v>71</v>
      </c>
      <c r="X518">
        <v>31</v>
      </c>
      <c r="Y518">
        <v>0.25600000000000001</v>
      </c>
      <c r="Z518">
        <v>0.314</v>
      </c>
      <c r="AA518">
        <v>0.41699999999999998</v>
      </c>
    </row>
    <row r="519" spans="1:27" x14ac:dyDescent="0.2">
      <c r="A519" s="52">
        <v>2017</v>
      </c>
      <c r="B519" t="s">
        <v>53</v>
      </c>
      <c r="C519" t="s">
        <v>38</v>
      </c>
      <c r="D519">
        <v>162</v>
      </c>
      <c r="E519">
        <v>5484</v>
      </c>
      <c r="F519" s="1">
        <v>753</v>
      </c>
      <c r="G519">
        <v>1390</v>
      </c>
      <c r="H519">
        <f t="shared" si="17"/>
        <v>884</v>
      </c>
      <c r="I519">
        <v>249</v>
      </c>
      <c r="J519">
        <v>38</v>
      </c>
      <c r="K519">
        <v>219</v>
      </c>
      <c r="L519">
        <v>565</v>
      </c>
      <c r="M519">
        <v>72</v>
      </c>
      <c r="N519">
        <f t="shared" si="16"/>
        <v>3457</v>
      </c>
      <c r="O519">
        <v>715</v>
      </c>
      <c r="P519">
        <v>41</v>
      </c>
      <c r="Q519">
        <v>1329</v>
      </c>
      <c r="R519">
        <v>50</v>
      </c>
      <c r="S519">
        <v>42</v>
      </c>
      <c r="T519">
        <v>0</v>
      </c>
      <c r="U519">
        <v>59</v>
      </c>
      <c r="V519">
        <v>116</v>
      </c>
      <c r="W519">
        <v>120</v>
      </c>
      <c r="X519">
        <v>39</v>
      </c>
      <c r="Y519">
        <v>0.253</v>
      </c>
      <c r="Z519">
        <v>0.32900000000000001</v>
      </c>
      <c r="AA519">
        <v>0.433</v>
      </c>
    </row>
    <row r="520" spans="1:27" x14ac:dyDescent="0.2">
      <c r="A520" s="52">
        <v>2017</v>
      </c>
      <c r="B520" t="s">
        <v>55</v>
      </c>
      <c r="C520" t="s">
        <v>163</v>
      </c>
      <c r="D520">
        <v>162</v>
      </c>
      <c r="E520">
        <v>5511</v>
      </c>
      <c r="F520" s="1">
        <v>818</v>
      </c>
      <c r="G520">
        <v>1449</v>
      </c>
      <c r="H520">
        <f t="shared" si="17"/>
        <v>875</v>
      </c>
      <c r="I520">
        <v>333</v>
      </c>
      <c r="J520">
        <v>29</v>
      </c>
      <c r="K520">
        <v>212</v>
      </c>
      <c r="L520">
        <v>604</v>
      </c>
      <c r="M520">
        <v>50</v>
      </c>
      <c r="N520">
        <f t="shared" si="16"/>
        <v>3408</v>
      </c>
      <c r="O520">
        <v>780</v>
      </c>
      <c r="P520">
        <v>30</v>
      </c>
      <c r="Q520">
        <v>1153</v>
      </c>
      <c r="R520">
        <v>23</v>
      </c>
      <c r="S520">
        <v>45</v>
      </c>
      <c r="T520">
        <v>1</v>
      </c>
      <c r="U520">
        <v>63</v>
      </c>
      <c r="V520">
        <v>125</v>
      </c>
      <c r="W520">
        <v>88</v>
      </c>
      <c r="X520">
        <v>23</v>
      </c>
      <c r="Y520">
        <v>0.26300000000000001</v>
      </c>
      <c r="Z520">
        <v>0.33900000000000002</v>
      </c>
      <c r="AA520">
        <v>0.44900000000000001</v>
      </c>
    </row>
    <row r="521" spans="1:27" x14ac:dyDescent="0.2">
      <c r="A521" s="52">
        <v>2017</v>
      </c>
      <c r="B521" t="s">
        <v>57</v>
      </c>
      <c r="C521" t="s">
        <v>38</v>
      </c>
      <c r="D521">
        <v>162</v>
      </c>
      <c r="E521">
        <v>5534</v>
      </c>
      <c r="F521" s="1">
        <v>824</v>
      </c>
      <c r="G521">
        <v>1510</v>
      </c>
      <c r="H521">
        <f t="shared" si="17"/>
        <v>987</v>
      </c>
      <c r="I521">
        <v>293</v>
      </c>
      <c r="J521">
        <v>38</v>
      </c>
      <c r="K521">
        <v>192</v>
      </c>
      <c r="L521">
        <v>519</v>
      </c>
      <c r="M521">
        <v>44</v>
      </c>
      <c r="N521">
        <f t="shared" si="16"/>
        <v>3461</v>
      </c>
      <c r="O521">
        <v>793</v>
      </c>
      <c r="P521">
        <v>46</v>
      </c>
      <c r="Q521">
        <v>1408</v>
      </c>
      <c r="R521">
        <v>62</v>
      </c>
      <c r="S521">
        <v>41</v>
      </c>
      <c r="T521">
        <v>1</v>
      </c>
      <c r="U521">
        <v>62</v>
      </c>
      <c r="V521">
        <v>143</v>
      </c>
      <c r="W521">
        <v>59</v>
      </c>
      <c r="X521">
        <v>34</v>
      </c>
      <c r="Y521">
        <v>0.27300000000000002</v>
      </c>
      <c r="Z521">
        <v>0.33800000000000002</v>
      </c>
      <c r="AA521">
        <v>0.44400000000000001</v>
      </c>
    </row>
    <row r="522" spans="1:27" x14ac:dyDescent="0.2">
      <c r="A522" s="52">
        <v>2017</v>
      </c>
      <c r="B522" t="s">
        <v>59</v>
      </c>
      <c r="C522" t="s">
        <v>163</v>
      </c>
      <c r="D522">
        <v>162</v>
      </c>
      <c r="E522">
        <v>5556</v>
      </c>
      <c r="F522" s="1">
        <v>735</v>
      </c>
      <c r="G522">
        <v>1435</v>
      </c>
      <c r="H522">
        <f t="shared" si="17"/>
        <v>924</v>
      </c>
      <c r="I522">
        <v>289</v>
      </c>
      <c r="J522">
        <v>35</v>
      </c>
      <c r="K522">
        <v>187</v>
      </c>
      <c r="L522">
        <v>503</v>
      </c>
      <c r="M522">
        <v>52</v>
      </c>
      <c r="N522">
        <f t="shared" si="16"/>
        <v>3566</v>
      </c>
      <c r="O522">
        <v>699</v>
      </c>
      <c r="P522">
        <v>21</v>
      </c>
      <c r="Q522">
        <v>1313</v>
      </c>
      <c r="R522">
        <v>11</v>
      </c>
      <c r="S522">
        <v>27</v>
      </c>
      <c r="T522">
        <v>1</v>
      </c>
      <c r="U522">
        <v>65</v>
      </c>
      <c r="V522">
        <v>128</v>
      </c>
      <c r="W522">
        <v>65</v>
      </c>
      <c r="X522">
        <v>34</v>
      </c>
      <c r="Y522">
        <v>0.25800000000000001</v>
      </c>
      <c r="Z522">
        <v>0.32400000000000001</v>
      </c>
      <c r="AA522">
        <v>0.42399999999999999</v>
      </c>
    </row>
    <row r="523" spans="1:27" x14ac:dyDescent="0.2">
      <c r="A523" s="52">
        <v>2017</v>
      </c>
      <c r="B523" t="s">
        <v>63</v>
      </c>
      <c r="C523" t="s">
        <v>163</v>
      </c>
      <c r="D523">
        <v>162</v>
      </c>
      <c r="E523">
        <v>5611</v>
      </c>
      <c r="F523" s="1">
        <v>896</v>
      </c>
      <c r="G523">
        <v>1581</v>
      </c>
      <c r="H523">
        <f t="shared" si="17"/>
        <v>977</v>
      </c>
      <c r="I523">
        <v>346</v>
      </c>
      <c r="J523">
        <v>20</v>
      </c>
      <c r="K523">
        <v>238</v>
      </c>
      <c r="L523">
        <v>509</v>
      </c>
      <c r="M523">
        <v>70</v>
      </c>
      <c r="N523">
        <f t="shared" si="16"/>
        <v>3451</v>
      </c>
      <c r="O523">
        <v>854</v>
      </c>
      <c r="P523">
        <v>27</v>
      </c>
      <c r="Q523">
        <v>1087</v>
      </c>
      <c r="R523">
        <v>11</v>
      </c>
      <c r="S523">
        <v>61</v>
      </c>
      <c r="T523">
        <v>9</v>
      </c>
      <c r="U523">
        <v>79</v>
      </c>
      <c r="V523">
        <v>139</v>
      </c>
      <c r="W523">
        <v>98</v>
      </c>
      <c r="X523">
        <v>42</v>
      </c>
      <c r="Y523">
        <v>0.28199999999999997</v>
      </c>
      <c r="Z523">
        <v>0.34599999999999997</v>
      </c>
      <c r="AA523">
        <v>0.47799999999999998</v>
      </c>
    </row>
    <row r="524" spans="1:27" x14ac:dyDescent="0.2">
      <c r="A524" s="52">
        <v>2017</v>
      </c>
      <c r="B524" t="s">
        <v>164</v>
      </c>
      <c r="C524" t="s">
        <v>163</v>
      </c>
      <c r="D524">
        <v>162</v>
      </c>
      <c r="E524">
        <v>5536</v>
      </c>
      <c r="F524" s="1">
        <v>702</v>
      </c>
      <c r="G524">
        <v>1436</v>
      </c>
      <c r="H524">
        <f t="shared" si="17"/>
        <v>959</v>
      </c>
      <c r="I524">
        <v>260</v>
      </c>
      <c r="J524">
        <v>24</v>
      </c>
      <c r="K524">
        <v>193</v>
      </c>
      <c r="L524">
        <v>390</v>
      </c>
      <c r="M524">
        <v>45</v>
      </c>
      <c r="N524">
        <f t="shared" si="16"/>
        <v>3665</v>
      </c>
      <c r="O524">
        <v>660</v>
      </c>
      <c r="P524">
        <v>19</v>
      </c>
      <c r="Q524">
        <v>1166</v>
      </c>
      <c r="R524">
        <v>17</v>
      </c>
      <c r="S524">
        <v>37</v>
      </c>
      <c r="T524">
        <v>2</v>
      </c>
      <c r="U524">
        <v>60</v>
      </c>
      <c r="V524">
        <v>160</v>
      </c>
      <c r="W524">
        <v>91</v>
      </c>
      <c r="X524">
        <v>31</v>
      </c>
      <c r="Y524">
        <v>0.25900000000000001</v>
      </c>
      <c r="Z524">
        <v>0.311</v>
      </c>
      <c r="AA524">
        <v>0.42</v>
      </c>
    </row>
    <row r="525" spans="1:27" x14ac:dyDescent="0.2">
      <c r="A525" s="52">
        <v>2017</v>
      </c>
      <c r="B525" t="s">
        <v>159</v>
      </c>
      <c r="C525" t="s">
        <v>38</v>
      </c>
      <c r="D525">
        <v>162</v>
      </c>
      <c r="E525">
        <v>5408</v>
      </c>
      <c r="F525" s="1">
        <v>770</v>
      </c>
      <c r="G525">
        <v>1347</v>
      </c>
      <c r="H525">
        <f t="shared" si="17"/>
        <v>794</v>
      </c>
      <c r="I525">
        <v>312</v>
      </c>
      <c r="J525">
        <v>20</v>
      </c>
      <c r="K525">
        <v>221</v>
      </c>
      <c r="L525">
        <v>649</v>
      </c>
      <c r="M525">
        <v>64</v>
      </c>
      <c r="N525">
        <f t="shared" si="16"/>
        <v>3348</v>
      </c>
      <c r="O525">
        <v>730</v>
      </c>
      <c r="P525">
        <v>41</v>
      </c>
      <c r="Q525">
        <v>1380</v>
      </c>
      <c r="R525">
        <v>31</v>
      </c>
      <c r="S525">
        <v>38</v>
      </c>
      <c r="T525">
        <v>1</v>
      </c>
      <c r="U525">
        <v>48</v>
      </c>
      <c r="V525">
        <v>119</v>
      </c>
      <c r="W525">
        <v>77</v>
      </c>
      <c r="X525">
        <v>28</v>
      </c>
      <c r="Y525">
        <v>0.249</v>
      </c>
      <c r="Z525">
        <v>0.33400000000000002</v>
      </c>
      <c r="AA525">
        <v>0.437</v>
      </c>
    </row>
    <row r="526" spans="1:27" x14ac:dyDescent="0.2">
      <c r="A526" s="52">
        <v>2017</v>
      </c>
      <c r="B526" t="s">
        <v>104</v>
      </c>
      <c r="C526" t="s">
        <v>38</v>
      </c>
      <c r="D526">
        <v>162</v>
      </c>
      <c r="E526">
        <v>5602</v>
      </c>
      <c r="F526" s="1">
        <v>778</v>
      </c>
      <c r="G526">
        <v>1497</v>
      </c>
      <c r="H526">
        <f t="shared" si="17"/>
        <v>1001</v>
      </c>
      <c r="I526">
        <v>271</v>
      </c>
      <c r="J526">
        <v>31</v>
      </c>
      <c r="K526">
        <v>194</v>
      </c>
      <c r="L526">
        <v>486</v>
      </c>
      <c r="M526">
        <v>67</v>
      </c>
      <c r="N526">
        <f t="shared" si="16"/>
        <v>3552</v>
      </c>
      <c r="O526">
        <v>743</v>
      </c>
      <c r="P526">
        <v>48</v>
      </c>
      <c r="Q526">
        <v>1282</v>
      </c>
      <c r="R526">
        <v>50</v>
      </c>
      <c r="S526">
        <v>41</v>
      </c>
      <c r="T526">
        <v>2</v>
      </c>
      <c r="U526">
        <v>52</v>
      </c>
      <c r="V526">
        <v>119</v>
      </c>
      <c r="W526">
        <v>91</v>
      </c>
      <c r="X526">
        <v>30</v>
      </c>
      <c r="Y526">
        <v>0.26700000000000002</v>
      </c>
      <c r="Z526">
        <v>0.33100000000000002</v>
      </c>
      <c r="AA526">
        <v>0.43099999999999999</v>
      </c>
    </row>
    <row r="527" spans="1:27" x14ac:dyDescent="0.2">
      <c r="A527" s="52">
        <v>2017</v>
      </c>
      <c r="B527" t="s">
        <v>69</v>
      </c>
      <c r="C527" t="s">
        <v>38</v>
      </c>
      <c r="D527">
        <v>162</v>
      </c>
      <c r="E527">
        <v>5467</v>
      </c>
      <c r="F527" s="1">
        <v>732</v>
      </c>
      <c r="G527">
        <v>1363</v>
      </c>
      <c r="H527">
        <f t="shared" si="17"/>
        <v>850</v>
      </c>
      <c r="I527">
        <v>267</v>
      </c>
      <c r="J527">
        <v>22</v>
      </c>
      <c r="K527">
        <v>224</v>
      </c>
      <c r="L527">
        <v>547</v>
      </c>
      <c r="M527">
        <v>53</v>
      </c>
      <c r="N527">
        <f t="shared" si="16"/>
        <v>3504</v>
      </c>
      <c r="O527">
        <v>695</v>
      </c>
      <c r="P527">
        <v>34</v>
      </c>
      <c r="Q527">
        <v>1571</v>
      </c>
      <c r="R527">
        <v>42</v>
      </c>
      <c r="S527">
        <v>26</v>
      </c>
      <c r="T527">
        <v>0</v>
      </c>
      <c r="U527">
        <v>58</v>
      </c>
      <c r="V527">
        <v>116</v>
      </c>
      <c r="W527">
        <v>128</v>
      </c>
      <c r="X527">
        <v>41</v>
      </c>
      <c r="Y527">
        <v>0.249</v>
      </c>
      <c r="Z527">
        <v>0.32200000000000001</v>
      </c>
      <c r="AA527">
        <v>0.42899999999999999</v>
      </c>
    </row>
    <row r="528" spans="1:27" x14ac:dyDescent="0.2">
      <c r="A528" s="52">
        <v>2017</v>
      </c>
      <c r="B528" t="s">
        <v>71</v>
      </c>
      <c r="C528" t="s">
        <v>163</v>
      </c>
      <c r="D528">
        <v>162</v>
      </c>
      <c r="E528">
        <v>5557</v>
      </c>
      <c r="F528" s="1">
        <v>815</v>
      </c>
      <c r="G528">
        <v>1444</v>
      </c>
      <c r="H528">
        <f t="shared" si="17"/>
        <v>921</v>
      </c>
      <c r="I528">
        <v>286</v>
      </c>
      <c r="J528">
        <v>31</v>
      </c>
      <c r="K528">
        <v>206</v>
      </c>
      <c r="L528">
        <v>593</v>
      </c>
      <c r="M528">
        <v>46</v>
      </c>
      <c r="N528">
        <f t="shared" si="16"/>
        <v>3474</v>
      </c>
      <c r="O528">
        <v>781</v>
      </c>
      <c r="P528">
        <v>26</v>
      </c>
      <c r="Q528">
        <v>1342</v>
      </c>
      <c r="R528">
        <v>26</v>
      </c>
      <c r="S528">
        <v>39</v>
      </c>
      <c r="T528">
        <v>0</v>
      </c>
      <c r="U528">
        <v>55</v>
      </c>
      <c r="V528">
        <v>105</v>
      </c>
      <c r="W528">
        <v>95</v>
      </c>
      <c r="X528">
        <v>28</v>
      </c>
      <c r="Y528">
        <v>0.26</v>
      </c>
      <c r="Z528">
        <v>0.33400000000000002</v>
      </c>
      <c r="AA528">
        <v>0.434</v>
      </c>
    </row>
    <row r="529" spans="1:27" x14ac:dyDescent="0.2">
      <c r="A529" s="52">
        <v>2017</v>
      </c>
      <c r="B529" t="s">
        <v>158</v>
      </c>
      <c r="C529" t="s">
        <v>38</v>
      </c>
      <c r="D529">
        <v>162</v>
      </c>
      <c r="E529">
        <v>5510</v>
      </c>
      <c r="F529" s="1">
        <v>735</v>
      </c>
      <c r="G529">
        <v>1379</v>
      </c>
      <c r="H529">
        <f t="shared" si="17"/>
        <v>841</v>
      </c>
      <c r="I529">
        <v>286</v>
      </c>
      <c r="J529">
        <v>28</v>
      </c>
      <c r="K529">
        <v>224</v>
      </c>
      <c r="L529">
        <v>529</v>
      </c>
      <c r="M529">
        <v>57</v>
      </c>
      <c r="N529">
        <f t="shared" si="16"/>
        <v>3545</v>
      </c>
      <c r="O529">
        <v>713</v>
      </c>
      <c r="P529">
        <v>31</v>
      </c>
      <c r="Q529">
        <v>1291</v>
      </c>
      <c r="R529">
        <v>36</v>
      </c>
      <c r="S529">
        <v>37</v>
      </c>
      <c r="T529">
        <v>0</v>
      </c>
      <c r="U529">
        <v>57</v>
      </c>
      <c r="V529">
        <v>118</v>
      </c>
      <c r="W529">
        <v>58</v>
      </c>
      <c r="X529">
        <v>23</v>
      </c>
      <c r="Y529">
        <v>0.25</v>
      </c>
      <c r="Z529">
        <v>0.32</v>
      </c>
      <c r="AA529">
        <v>0.434</v>
      </c>
    </row>
    <row r="530" spans="1:27" x14ac:dyDescent="0.2">
      <c r="A530" s="52">
        <v>2017</v>
      </c>
      <c r="B530" t="s">
        <v>158</v>
      </c>
      <c r="C530" t="s">
        <v>163</v>
      </c>
      <c r="D530">
        <v>162</v>
      </c>
      <c r="E530">
        <v>5594</v>
      </c>
      <c r="F530" s="1">
        <v>858</v>
      </c>
      <c r="G530">
        <v>1463</v>
      </c>
      <c r="H530">
        <f t="shared" si="17"/>
        <v>933</v>
      </c>
      <c r="I530">
        <v>266</v>
      </c>
      <c r="J530">
        <v>23</v>
      </c>
      <c r="K530">
        <v>241</v>
      </c>
      <c r="L530">
        <v>616</v>
      </c>
      <c r="M530">
        <v>64</v>
      </c>
      <c r="N530">
        <f t="shared" si="16"/>
        <v>3451</v>
      </c>
      <c r="O530">
        <v>821</v>
      </c>
      <c r="P530">
        <v>22</v>
      </c>
      <c r="Q530">
        <v>1386</v>
      </c>
      <c r="R530">
        <v>18</v>
      </c>
      <c r="S530">
        <v>56</v>
      </c>
      <c r="T530">
        <v>6</v>
      </c>
      <c r="U530">
        <v>102</v>
      </c>
      <c r="V530">
        <v>119</v>
      </c>
      <c r="W530">
        <v>90</v>
      </c>
      <c r="X530">
        <v>22</v>
      </c>
      <c r="Y530">
        <v>0.26200000000000001</v>
      </c>
      <c r="Z530">
        <v>0.33900000000000002</v>
      </c>
      <c r="AA530">
        <v>0.44700000000000001</v>
      </c>
    </row>
    <row r="531" spans="1:27" x14ac:dyDescent="0.2">
      <c r="A531" s="52">
        <v>2017</v>
      </c>
      <c r="B531" t="s">
        <v>79</v>
      </c>
      <c r="C531" t="s">
        <v>163</v>
      </c>
      <c r="D531">
        <v>162</v>
      </c>
      <c r="E531">
        <v>5464</v>
      </c>
      <c r="F531" s="1">
        <v>739</v>
      </c>
      <c r="G531">
        <v>1344</v>
      </c>
      <c r="H531">
        <f t="shared" si="17"/>
        <v>790</v>
      </c>
      <c r="I531">
        <v>305</v>
      </c>
      <c r="J531">
        <v>15</v>
      </c>
      <c r="K531">
        <v>234</v>
      </c>
      <c r="L531">
        <v>565</v>
      </c>
      <c r="M531">
        <v>43</v>
      </c>
      <c r="N531">
        <f t="shared" si="16"/>
        <v>3512</v>
      </c>
      <c r="O531">
        <v>708</v>
      </c>
      <c r="P531">
        <v>15</v>
      </c>
      <c r="Q531">
        <v>1491</v>
      </c>
      <c r="R531">
        <v>13</v>
      </c>
      <c r="S531">
        <v>40</v>
      </c>
      <c r="T531">
        <v>1</v>
      </c>
      <c r="U531">
        <v>57</v>
      </c>
      <c r="V531">
        <v>129</v>
      </c>
      <c r="W531">
        <v>57</v>
      </c>
      <c r="X531">
        <v>22</v>
      </c>
      <c r="Y531">
        <v>0.246</v>
      </c>
      <c r="Z531">
        <v>0.31900000000000001</v>
      </c>
      <c r="AA531">
        <v>0.436</v>
      </c>
    </row>
    <row r="532" spans="1:27" x14ac:dyDescent="0.2">
      <c r="A532" s="52">
        <v>2017</v>
      </c>
      <c r="B532" t="s">
        <v>81</v>
      </c>
      <c r="C532" t="s">
        <v>38</v>
      </c>
      <c r="D532">
        <v>162</v>
      </c>
      <c r="E532">
        <v>5535</v>
      </c>
      <c r="F532" s="1">
        <v>690</v>
      </c>
      <c r="G532">
        <v>1382</v>
      </c>
      <c r="H532">
        <f t="shared" si="17"/>
        <v>885</v>
      </c>
      <c r="I532">
        <v>287</v>
      </c>
      <c r="J532">
        <v>36</v>
      </c>
      <c r="K532">
        <v>174</v>
      </c>
      <c r="L532">
        <v>494</v>
      </c>
      <c r="M532">
        <v>47</v>
      </c>
      <c r="N532">
        <f t="shared" si="16"/>
        <v>3612</v>
      </c>
      <c r="O532">
        <v>654</v>
      </c>
      <c r="P532">
        <v>25</v>
      </c>
      <c r="Q532">
        <v>1417</v>
      </c>
      <c r="R532">
        <v>21</v>
      </c>
      <c r="S532">
        <v>36</v>
      </c>
      <c r="T532">
        <v>0</v>
      </c>
      <c r="U532">
        <v>66</v>
      </c>
      <c r="V532">
        <v>128</v>
      </c>
      <c r="W532">
        <v>59</v>
      </c>
      <c r="X532">
        <v>25</v>
      </c>
      <c r="Y532">
        <v>0.25</v>
      </c>
      <c r="Z532">
        <v>0.315</v>
      </c>
      <c r="AA532">
        <v>0.40899999999999997</v>
      </c>
    </row>
    <row r="533" spans="1:27" x14ac:dyDescent="0.2">
      <c r="A533" s="52">
        <v>2017</v>
      </c>
      <c r="B533" t="s">
        <v>83</v>
      </c>
      <c r="C533" t="s">
        <v>38</v>
      </c>
      <c r="D533">
        <v>162</v>
      </c>
      <c r="E533">
        <v>5458</v>
      </c>
      <c r="F533" s="1">
        <v>668</v>
      </c>
      <c r="G533">
        <v>1331</v>
      </c>
      <c r="H533">
        <f t="shared" si="17"/>
        <v>895</v>
      </c>
      <c r="I533">
        <v>249</v>
      </c>
      <c r="J533">
        <v>36</v>
      </c>
      <c r="K533">
        <v>151</v>
      </c>
      <c r="L533">
        <v>519</v>
      </c>
      <c r="M533">
        <v>88</v>
      </c>
      <c r="N533">
        <f t="shared" si="16"/>
        <v>3520</v>
      </c>
      <c r="O533">
        <v>635</v>
      </c>
      <c r="P533">
        <v>39</v>
      </c>
      <c r="Q533">
        <v>1213</v>
      </c>
      <c r="R533">
        <v>42</v>
      </c>
      <c r="S533">
        <v>28</v>
      </c>
      <c r="T533">
        <v>1</v>
      </c>
      <c r="U533">
        <v>61</v>
      </c>
      <c r="V533">
        <v>120</v>
      </c>
      <c r="W533">
        <v>67</v>
      </c>
      <c r="X533">
        <v>36</v>
      </c>
      <c r="Y533">
        <v>0.24399999999999999</v>
      </c>
      <c r="Z533">
        <v>0.318</v>
      </c>
      <c r="AA533">
        <v>0.38600000000000001</v>
      </c>
    </row>
    <row r="534" spans="1:27" x14ac:dyDescent="0.2">
      <c r="A534" s="52">
        <v>2017</v>
      </c>
      <c r="B534" t="s">
        <v>161</v>
      </c>
      <c r="C534" t="s">
        <v>38</v>
      </c>
      <c r="D534">
        <v>162</v>
      </c>
      <c r="E534">
        <v>5356</v>
      </c>
      <c r="F534" s="1">
        <v>604</v>
      </c>
      <c r="G534">
        <v>1251</v>
      </c>
      <c r="H534">
        <f t="shared" si="17"/>
        <v>804</v>
      </c>
      <c r="I534">
        <v>227</v>
      </c>
      <c r="J534">
        <v>31</v>
      </c>
      <c r="K534">
        <v>189</v>
      </c>
      <c r="L534">
        <v>460</v>
      </c>
      <c r="M534">
        <v>53</v>
      </c>
      <c r="N534">
        <f t="shared" si="16"/>
        <v>3592</v>
      </c>
      <c r="O534">
        <v>576</v>
      </c>
      <c r="P534">
        <v>20</v>
      </c>
      <c r="Q534">
        <v>1499</v>
      </c>
      <c r="R534">
        <v>52</v>
      </c>
      <c r="S534">
        <v>33</v>
      </c>
      <c r="T534">
        <v>0</v>
      </c>
      <c r="U534">
        <v>59</v>
      </c>
      <c r="V534">
        <v>99</v>
      </c>
      <c r="W534">
        <v>89</v>
      </c>
      <c r="X534">
        <v>33</v>
      </c>
      <c r="Y534">
        <v>0.23400000000000001</v>
      </c>
      <c r="Z534">
        <v>0.29899999999999999</v>
      </c>
      <c r="AA534">
        <v>0.39300000000000002</v>
      </c>
    </row>
    <row r="535" spans="1:27" x14ac:dyDescent="0.2">
      <c r="A535" s="52">
        <v>2017</v>
      </c>
      <c r="B535" t="s">
        <v>87</v>
      </c>
      <c r="C535" t="s">
        <v>163</v>
      </c>
      <c r="D535">
        <v>162</v>
      </c>
      <c r="E535">
        <v>5551</v>
      </c>
      <c r="F535" s="1">
        <v>750</v>
      </c>
      <c r="G535">
        <v>1436</v>
      </c>
      <c r="H535">
        <f t="shared" si="17"/>
        <v>938</v>
      </c>
      <c r="I535">
        <v>281</v>
      </c>
      <c r="J535">
        <v>17</v>
      </c>
      <c r="K535">
        <v>200</v>
      </c>
      <c r="L535">
        <v>487</v>
      </c>
      <c r="M535">
        <v>78</v>
      </c>
      <c r="N535">
        <f t="shared" si="16"/>
        <v>3550</v>
      </c>
      <c r="O535">
        <v>714</v>
      </c>
      <c r="P535">
        <v>31</v>
      </c>
      <c r="Q535">
        <v>1267</v>
      </c>
      <c r="R535">
        <v>14</v>
      </c>
      <c r="S535">
        <v>35</v>
      </c>
      <c r="T535">
        <v>1</v>
      </c>
      <c r="U535">
        <v>51</v>
      </c>
      <c r="V535">
        <v>131</v>
      </c>
      <c r="W535">
        <v>89</v>
      </c>
      <c r="X535">
        <v>35</v>
      </c>
      <c r="Y535">
        <v>0.25900000000000001</v>
      </c>
      <c r="Z535">
        <v>0.32500000000000001</v>
      </c>
      <c r="AA535">
        <v>0.42399999999999999</v>
      </c>
    </row>
    <row r="536" spans="1:27" x14ac:dyDescent="0.2">
      <c r="A536" s="52">
        <v>2017</v>
      </c>
      <c r="B536" t="s">
        <v>21</v>
      </c>
      <c r="C536" t="s">
        <v>38</v>
      </c>
      <c r="D536">
        <v>162</v>
      </c>
      <c r="E536">
        <v>5551</v>
      </c>
      <c r="F536" s="1">
        <v>639</v>
      </c>
      <c r="G536">
        <v>1382</v>
      </c>
      <c r="H536">
        <f t="shared" si="17"/>
        <v>936</v>
      </c>
      <c r="I536">
        <v>290</v>
      </c>
      <c r="J536">
        <v>28</v>
      </c>
      <c r="K536">
        <v>128</v>
      </c>
      <c r="L536">
        <v>467</v>
      </c>
      <c r="M536">
        <v>36</v>
      </c>
      <c r="N536">
        <f t="shared" si="16"/>
        <v>3666</v>
      </c>
      <c r="O536">
        <v>612</v>
      </c>
      <c r="P536">
        <v>37</v>
      </c>
      <c r="Q536">
        <v>1204</v>
      </c>
      <c r="R536">
        <v>31</v>
      </c>
      <c r="S536">
        <v>52</v>
      </c>
      <c r="T536">
        <v>0</v>
      </c>
      <c r="U536">
        <v>60</v>
      </c>
      <c r="V536">
        <v>136</v>
      </c>
      <c r="W536">
        <v>76</v>
      </c>
      <c r="X536">
        <v>34</v>
      </c>
      <c r="Y536">
        <v>0.249</v>
      </c>
      <c r="Z536">
        <v>0.309</v>
      </c>
      <c r="AA536">
        <v>0.38</v>
      </c>
    </row>
    <row r="537" spans="1:27" x14ac:dyDescent="0.2">
      <c r="A537" s="52">
        <v>2017</v>
      </c>
      <c r="B537" t="s">
        <v>156</v>
      </c>
      <c r="C537" t="s">
        <v>38</v>
      </c>
      <c r="D537">
        <v>162</v>
      </c>
      <c r="E537">
        <v>5470</v>
      </c>
      <c r="F537" s="1">
        <v>761</v>
      </c>
      <c r="G537">
        <v>1402</v>
      </c>
      <c r="H537">
        <f t="shared" si="17"/>
        <v>894</v>
      </c>
      <c r="I537">
        <v>284</v>
      </c>
      <c r="J537">
        <v>28</v>
      </c>
      <c r="K537">
        <v>196</v>
      </c>
      <c r="L537">
        <v>593</v>
      </c>
      <c r="M537">
        <v>65</v>
      </c>
      <c r="N537">
        <f t="shared" si="16"/>
        <v>3410</v>
      </c>
      <c r="O537">
        <v>728</v>
      </c>
      <c r="P537">
        <v>36</v>
      </c>
      <c r="Q537">
        <v>1348</v>
      </c>
      <c r="R537">
        <v>47</v>
      </c>
      <c r="S537">
        <v>44</v>
      </c>
      <c r="T537">
        <v>0</v>
      </c>
      <c r="U537">
        <v>58</v>
      </c>
      <c r="V537">
        <v>139</v>
      </c>
      <c r="W537">
        <v>81</v>
      </c>
      <c r="X537">
        <v>31</v>
      </c>
      <c r="Y537">
        <v>0.25600000000000001</v>
      </c>
      <c r="Z537">
        <v>0.33400000000000002</v>
      </c>
      <c r="AA537">
        <v>0.42599999999999999</v>
      </c>
    </row>
    <row r="538" spans="1:27" x14ac:dyDescent="0.2">
      <c r="A538" s="52">
        <v>2017</v>
      </c>
      <c r="B538" t="s">
        <v>165</v>
      </c>
      <c r="C538" t="s">
        <v>163</v>
      </c>
      <c r="D538">
        <v>162</v>
      </c>
      <c r="E538">
        <v>5478</v>
      </c>
      <c r="F538" s="1">
        <v>694</v>
      </c>
      <c r="G538">
        <v>1340</v>
      </c>
      <c r="H538">
        <f t="shared" si="17"/>
        <v>854</v>
      </c>
      <c r="I538">
        <v>226</v>
      </c>
      <c r="J538">
        <v>32</v>
      </c>
      <c r="K538">
        <v>228</v>
      </c>
      <c r="L538">
        <v>545</v>
      </c>
      <c r="M538">
        <v>55</v>
      </c>
      <c r="N538">
        <f t="shared" si="16"/>
        <v>3538</v>
      </c>
      <c r="O538">
        <v>671</v>
      </c>
      <c r="P538">
        <v>33</v>
      </c>
      <c r="Q538">
        <v>1538</v>
      </c>
      <c r="R538">
        <v>16</v>
      </c>
      <c r="S538">
        <v>48</v>
      </c>
      <c r="T538">
        <v>5</v>
      </c>
      <c r="U538">
        <v>57</v>
      </c>
      <c r="V538">
        <v>115</v>
      </c>
      <c r="W538">
        <v>88</v>
      </c>
      <c r="X538">
        <v>34</v>
      </c>
      <c r="Y538">
        <v>0.245</v>
      </c>
      <c r="Z538">
        <v>0.317</v>
      </c>
      <c r="AA538">
        <v>0.42199999999999999</v>
      </c>
    </row>
    <row r="539" spans="1:27" x14ac:dyDescent="0.2">
      <c r="A539" s="52">
        <v>2017</v>
      </c>
      <c r="B539" t="s">
        <v>95</v>
      </c>
      <c r="C539" t="s">
        <v>163</v>
      </c>
      <c r="D539">
        <v>162</v>
      </c>
      <c r="E539">
        <v>5430</v>
      </c>
      <c r="F539" s="1">
        <v>799</v>
      </c>
      <c r="G539">
        <v>1326</v>
      </c>
      <c r="H539">
        <f t="shared" si="17"/>
        <v>813</v>
      </c>
      <c r="I539">
        <v>255</v>
      </c>
      <c r="J539">
        <v>21</v>
      </c>
      <c r="K539">
        <v>237</v>
      </c>
      <c r="L539">
        <v>544</v>
      </c>
      <c r="M539">
        <v>81</v>
      </c>
      <c r="N539">
        <f t="shared" si="16"/>
        <v>3479</v>
      </c>
      <c r="O539">
        <v>756</v>
      </c>
      <c r="P539">
        <v>18</v>
      </c>
      <c r="Q539">
        <v>1493</v>
      </c>
      <c r="R539">
        <v>27</v>
      </c>
      <c r="S539">
        <v>39</v>
      </c>
      <c r="T539">
        <v>1</v>
      </c>
      <c r="U539">
        <v>74</v>
      </c>
      <c r="V539">
        <v>110</v>
      </c>
      <c r="W539">
        <v>113</v>
      </c>
      <c r="X539">
        <v>44</v>
      </c>
      <c r="Y539">
        <v>0.24399999999999999</v>
      </c>
      <c r="Z539">
        <v>0.32</v>
      </c>
      <c r="AA539">
        <v>0.43</v>
      </c>
    </row>
    <row r="540" spans="1:27" x14ac:dyDescent="0.2">
      <c r="A540" s="52">
        <v>2017</v>
      </c>
      <c r="B540" t="s">
        <v>97</v>
      </c>
      <c r="C540" t="s">
        <v>163</v>
      </c>
      <c r="D540">
        <v>162</v>
      </c>
      <c r="E540">
        <v>5499</v>
      </c>
      <c r="F540" s="1">
        <v>693</v>
      </c>
      <c r="G540">
        <v>1320</v>
      </c>
      <c r="H540">
        <f t="shared" si="17"/>
        <v>824</v>
      </c>
      <c r="I540">
        <v>269</v>
      </c>
      <c r="J540">
        <v>5</v>
      </c>
      <c r="K540">
        <v>222</v>
      </c>
      <c r="L540">
        <v>542</v>
      </c>
      <c r="M540">
        <v>51</v>
      </c>
      <c r="N540">
        <f t="shared" si="16"/>
        <v>3586</v>
      </c>
      <c r="O540">
        <v>661</v>
      </c>
      <c r="P540">
        <v>12</v>
      </c>
      <c r="Q540">
        <v>1327</v>
      </c>
      <c r="R540">
        <v>25</v>
      </c>
      <c r="S540">
        <v>35</v>
      </c>
      <c r="T540">
        <v>2</v>
      </c>
      <c r="U540">
        <v>66</v>
      </c>
      <c r="V540">
        <v>153</v>
      </c>
      <c r="W540">
        <v>53</v>
      </c>
      <c r="X540">
        <v>24</v>
      </c>
      <c r="Y540">
        <v>0.24</v>
      </c>
      <c r="Z540">
        <v>0.312</v>
      </c>
      <c r="AA540">
        <v>0.41199999999999998</v>
      </c>
    </row>
    <row r="541" spans="1:27" x14ac:dyDescent="0.2">
      <c r="A541" s="52">
        <v>2017</v>
      </c>
      <c r="B541" t="s">
        <v>101</v>
      </c>
      <c r="C541" t="s">
        <v>38</v>
      </c>
      <c r="D541">
        <v>162</v>
      </c>
      <c r="E541">
        <v>5553</v>
      </c>
      <c r="F541" s="1">
        <v>819</v>
      </c>
      <c r="G541">
        <v>1477</v>
      </c>
      <c r="H541">
        <f t="shared" si="17"/>
        <v>920</v>
      </c>
      <c r="I541">
        <v>311</v>
      </c>
      <c r="J541">
        <v>31</v>
      </c>
      <c r="K541">
        <v>215</v>
      </c>
      <c r="L541">
        <v>542</v>
      </c>
      <c r="M541">
        <v>31</v>
      </c>
      <c r="N541">
        <f t="shared" si="16"/>
        <v>3503</v>
      </c>
      <c r="O541">
        <v>796</v>
      </c>
      <c r="P541">
        <v>56</v>
      </c>
      <c r="Q541">
        <v>1327</v>
      </c>
      <c r="R541">
        <v>43</v>
      </c>
      <c r="S541">
        <v>45</v>
      </c>
      <c r="T541">
        <v>0</v>
      </c>
      <c r="U541">
        <v>62</v>
      </c>
      <c r="V541">
        <v>116</v>
      </c>
      <c r="W541">
        <v>108</v>
      </c>
      <c r="X541">
        <v>30</v>
      </c>
      <c r="Y541">
        <v>0.26600000000000001</v>
      </c>
      <c r="Z541">
        <v>0.33200000000000002</v>
      </c>
      <c r="AA541">
        <v>0.44900000000000001</v>
      </c>
    </row>
    <row r="542" spans="1:27" x14ac:dyDescent="0.2">
      <c r="A542" s="52">
        <v>2018</v>
      </c>
      <c r="B542" t="s">
        <v>37</v>
      </c>
      <c r="C542" t="s">
        <v>163</v>
      </c>
      <c r="D542">
        <v>162</v>
      </c>
      <c r="E542">
        <v>5472</v>
      </c>
      <c r="F542" s="1">
        <v>721</v>
      </c>
      <c r="G542">
        <v>1323</v>
      </c>
      <c r="H542">
        <f t="shared" si="17"/>
        <v>837</v>
      </c>
      <c r="I542">
        <v>249</v>
      </c>
      <c r="J542">
        <v>23</v>
      </c>
      <c r="K542">
        <v>214</v>
      </c>
      <c r="L542">
        <v>514</v>
      </c>
      <c r="M542">
        <v>73</v>
      </c>
      <c r="N542">
        <f t="shared" si="16"/>
        <v>3562</v>
      </c>
      <c r="O542">
        <v>690</v>
      </c>
      <c r="P542">
        <v>38</v>
      </c>
      <c r="Q542">
        <v>1300</v>
      </c>
      <c r="R542">
        <v>7</v>
      </c>
      <c r="S542">
        <v>39</v>
      </c>
      <c r="T542">
        <v>3</v>
      </c>
      <c r="U542">
        <v>64</v>
      </c>
      <c r="V542">
        <v>111</v>
      </c>
      <c r="W542">
        <v>89</v>
      </c>
      <c r="X542">
        <v>22</v>
      </c>
      <c r="Y542">
        <v>0.24199999999999999</v>
      </c>
      <c r="Z542">
        <v>0.313</v>
      </c>
      <c r="AA542">
        <v>0.41299999999999998</v>
      </c>
    </row>
    <row r="543" spans="1:27" x14ac:dyDescent="0.2">
      <c r="A543" s="52">
        <v>2018</v>
      </c>
      <c r="B543" t="s">
        <v>40</v>
      </c>
      <c r="C543" t="s">
        <v>38</v>
      </c>
      <c r="D543">
        <v>162</v>
      </c>
      <c r="E543">
        <v>5460</v>
      </c>
      <c r="F543" s="1">
        <v>693</v>
      </c>
      <c r="G543">
        <v>1283</v>
      </c>
      <c r="H543">
        <f t="shared" si="17"/>
        <v>798</v>
      </c>
      <c r="I543">
        <v>259</v>
      </c>
      <c r="J543">
        <v>50</v>
      </c>
      <c r="K543">
        <v>176</v>
      </c>
      <c r="L543">
        <v>560</v>
      </c>
      <c r="M543">
        <v>52</v>
      </c>
      <c r="N543">
        <f t="shared" si="16"/>
        <v>3565</v>
      </c>
      <c r="O543">
        <v>658</v>
      </c>
      <c r="P543">
        <v>36</v>
      </c>
      <c r="Q543">
        <v>1460</v>
      </c>
      <c r="R543">
        <v>38</v>
      </c>
      <c r="S543">
        <v>45</v>
      </c>
      <c r="T543">
        <v>2</v>
      </c>
      <c r="U543">
        <v>65</v>
      </c>
      <c r="V543">
        <v>110</v>
      </c>
      <c r="W543">
        <v>79</v>
      </c>
      <c r="X543">
        <v>25</v>
      </c>
      <c r="Y543">
        <v>0.23499999999999999</v>
      </c>
      <c r="Z543">
        <v>0.31</v>
      </c>
      <c r="AA543">
        <v>0.39700000000000002</v>
      </c>
    </row>
    <row r="544" spans="1:27" x14ac:dyDescent="0.2">
      <c r="A544" s="52">
        <v>2018</v>
      </c>
      <c r="B544" t="s">
        <v>42</v>
      </c>
      <c r="C544" t="s">
        <v>38</v>
      </c>
      <c r="D544">
        <v>162</v>
      </c>
      <c r="E544">
        <v>5582</v>
      </c>
      <c r="F544" s="1">
        <v>759</v>
      </c>
      <c r="G544">
        <v>1433</v>
      </c>
      <c r="H544">
        <f t="shared" si="17"/>
        <v>915</v>
      </c>
      <c r="I544">
        <v>314</v>
      </c>
      <c r="J544">
        <v>29</v>
      </c>
      <c r="K544">
        <v>175</v>
      </c>
      <c r="L544">
        <v>511</v>
      </c>
      <c r="M544">
        <v>66</v>
      </c>
      <c r="N544">
        <f t="shared" si="16"/>
        <v>3572</v>
      </c>
      <c r="O544">
        <v>717</v>
      </c>
      <c r="P544">
        <v>53</v>
      </c>
      <c r="Q544">
        <v>1290</v>
      </c>
      <c r="R544">
        <v>49</v>
      </c>
      <c r="S544">
        <v>43</v>
      </c>
      <c r="T544">
        <v>0</v>
      </c>
      <c r="U544">
        <v>69</v>
      </c>
      <c r="V544">
        <v>99</v>
      </c>
      <c r="W544">
        <v>90</v>
      </c>
      <c r="X544">
        <v>36</v>
      </c>
      <c r="Y544">
        <v>0.25700000000000001</v>
      </c>
      <c r="Z544">
        <v>0.32400000000000001</v>
      </c>
      <c r="AA544">
        <v>0.41699999999999998</v>
      </c>
    </row>
    <row r="545" spans="1:27" x14ac:dyDescent="0.2">
      <c r="A545" s="52">
        <v>2018</v>
      </c>
      <c r="B545" t="s">
        <v>45</v>
      </c>
      <c r="C545" t="s">
        <v>163</v>
      </c>
      <c r="D545">
        <v>162</v>
      </c>
      <c r="E545">
        <v>5507</v>
      </c>
      <c r="F545" s="1">
        <v>622</v>
      </c>
      <c r="G545">
        <v>1317</v>
      </c>
      <c r="H545">
        <f t="shared" si="17"/>
        <v>872</v>
      </c>
      <c r="I545">
        <v>242</v>
      </c>
      <c r="J545">
        <v>15</v>
      </c>
      <c r="K545">
        <v>188</v>
      </c>
      <c r="L545">
        <v>422</v>
      </c>
      <c r="M545">
        <v>57</v>
      </c>
      <c r="N545">
        <f t="shared" si="16"/>
        <v>3711</v>
      </c>
      <c r="O545">
        <v>593</v>
      </c>
      <c r="P545">
        <v>19</v>
      </c>
      <c r="Q545">
        <v>1412</v>
      </c>
      <c r="R545">
        <v>13</v>
      </c>
      <c r="S545">
        <v>35</v>
      </c>
      <c r="T545">
        <v>0</v>
      </c>
      <c r="U545">
        <v>50</v>
      </c>
      <c r="V545">
        <v>132</v>
      </c>
      <c r="W545">
        <v>81</v>
      </c>
      <c r="X545">
        <v>22</v>
      </c>
      <c r="Y545">
        <v>0.23899999999999999</v>
      </c>
      <c r="Z545">
        <v>0.29799999999999999</v>
      </c>
      <c r="AA545">
        <v>0.39100000000000001</v>
      </c>
    </row>
    <row r="546" spans="1:27" x14ac:dyDescent="0.2">
      <c r="A546" s="52">
        <v>2018</v>
      </c>
      <c r="B546" t="s">
        <v>47</v>
      </c>
      <c r="C546" t="s">
        <v>163</v>
      </c>
      <c r="D546">
        <v>162</v>
      </c>
      <c r="E546">
        <v>5623</v>
      </c>
      <c r="F546" s="1">
        <v>876</v>
      </c>
      <c r="G546">
        <v>1509</v>
      </c>
      <c r="H546">
        <f t="shared" si="17"/>
        <v>915</v>
      </c>
      <c r="I546">
        <v>355</v>
      </c>
      <c r="J546">
        <v>31</v>
      </c>
      <c r="K546">
        <v>208</v>
      </c>
      <c r="L546">
        <v>569</v>
      </c>
      <c r="M546">
        <v>55</v>
      </c>
      <c r="N546">
        <f t="shared" si="16"/>
        <v>3490</v>
      </c>
      <c r="O546">
        <v>829</v>
      </c>
      <c r="P546">
        <v>38</v>
      </c>
      <c r="Q546">
        <v>1253</v>
      </c>
      <c r="R546">
        <v>7</v>
      </c>
      <c r="S546">
        <v>48</v>
      </c>
      <c r="T546">
        <v>0</v>
      </c>
      <c r="U546">
        <v>81</v>
      </c>
      <c r="V546">
        <v>130</v>
      </c>
      <c r="W546">
        <v>125</v>
      </c>
      <c r="X546">
        <v>31</v>
      </c>
      <c r="Y546">
        <v>0.26800000000000002</v>
      </c>
      <c r="Z546">
        <v>0.33900000000000002</v>
      </c>
      <c r="AA546">
        <v>0.45300000000000001</v>
      </c>
    </row>
    <row r="547" spans="1:27" x14ac:dyDescent="0.2">
      <c r="A547" s="52">
        <v>2018</v>
      </c>
      <c r="B547" t="s">
        <v>157</v>
      </c>
      <c r="C547" t="s">
        <v>38</v>
      </c>
      <c r="D547">
        <v>163</v>
      </c>
      <c r="E547">
        <v>5624</v>
      </c>
      <c r="F547" s="1">
        <v>761</v>
      </c>
      <c r="G547">
        <v>1453</v>
      </c>
      <c r="H547">
        <f t="shared" si="17"/>
        <v>966</v>
      </c>
      <c r="I547">
        <v>286</v>
      </c>
      <c r="J547">
        <v>34</v>
      </c>
      <c r="K547">
        <v>167</v>
      </c>
      <c r="L547">
        <v>576</v>
      </c>
      <c r="M547">
        <v>78</v>
      </c>
      <c r="N547">
        <f t="shared" si="16"/>
        <v>3517</v>
      </c>
      <c r="O547">
        <v>722</v>
      </c>
      <c r="P547">
        <v>67</v>
      </c>
      <c r="Q547">
        <v>1388</v>
      </c>
      <c r="R547">
        <v>40</v>
      </c>
      <c r="S547">
        <v>46</v>
      </c>
      <c r="T547">
        <v>5</v>
      </c>
      <c r="U547">
        <v>79</v>
      </c>
      <c r="V547">
        <v>107</v>
      </c>
      <c r="W547">
        <v>66</v>
      </c>
      <c r="X547">
        <v>38</v>
      </c>
      <c r="Y547">
        <v>0.25800000000000001</v>
      </c>
      <c r="Z547">
        <v>0.33300000000000002</v>
      </c>
      <c r="AA547">
        <v>0.41</v>
      </c>
    </row>
    <row r="548" spans="1:27" x14ac:dyDescent="0.2">
      <c r="A548" s="52">
        <v>2018</v>
      </c>
      <c r="B548" t="s">
        <v>157</v>
      </c>
      <c r="C548" t="s">
        <v>163</v>
      </c>
      <c r="D548">
        <v>162</v>
      </c>
      <c r="E548">
        <v>5523</v>
      </c>
      <c r="F548" s="1">
        <v>656</v>
      </c>
      <c r="G548">
        <v>1332</v>
      </c>
      <c r="H548">
        <f t="shared" si="17"/>
        <v>851</v>
      </c>
      <c r="I548">
        <v>259</v>
      </c>
      <c r="J548">
        <v>40</v>
      </c>
      <c r="K548">
        <v>182</v>
      </c>
      <c r="L548">
        <v>425</v>
      </c>
      <c r="M548">
        <v>66</v>
      </c>
      <c r="N548">
        <f t="shared" si="16"/>
        <v>3700</v>
      </c>
      <c r="O548">
        <v>639</v>
      </c>
      <c r="P548">
        <v>18</v>
      </c>
      <c r="Q548">
        <v>1594</v>
      </c>
      <c r="R548">
        <v>24</v>
      </c>
      <c r="S548">
        <v>32</v>
      </c>
      <c r="T548">
        <v>1</v>
      </c>
      <c r="U548">
        <v>71</v>
      </c>
      <c r="V548">
        <v>99</v>
      </c>
      <c r="W548">
        <v>98</v>
      </c>
      <c r="X548">
        <v>41</v>
      </c>
      <c r="Y548">
        <v>0.24099999999999999</v>
      </c>
      <c r="Z548">
        <v>0.30199999999999999</v>
      </c>
      <c r="AA548">
        <v>0.40100000000000002</v>
      </c>
    </row>
    <row r="549" spans="1:27" x14ac:dyDescent="0.2">
      <c r="A549" s="52">
        <v>2018</v>
      </c>
      <c r="B549" t="s">
        <v>53</v>
      </c>
      <c r="C549" t="s">
        <v>38</v>
      </c>
      <c r="D549">
        <v>162</v>
      </c>
      <c r="E549">
        <v>5532</v>
      </c>
      <c r="F549" s="1">
        <v>696</v>
      </c>
      <c r="G549">
        <v>1404</v>
      </c>
      <c r="H549">
        <f t="shared" si="17"/>
        <v>956</v>
      </c>
      <c r="I549">
        <v>251</v>
      </c>
      <c r="J549">
        <v>25</v>
      </c>
      <c r="K549">
        <v>172</v>
      </c>
      <c r="L549">
        <v>559</v>
      </c>
      <c r="M549">
        <v>65</v>
      </c>
      <c r="N549">
        <f t="shared" si="16"/>
        <v>3504</v>
      </c>
      <c r="O549">
        <v>665</v>
      </c>
      <c r="P549">
        <v>35</v>
      </c>
      <c r="Q549">
        <v>1376</v>
      </c>
      <c r="R549">
        <v>49</v>
      </c>
      <c r="S549">
        <v>35</v>
      </c>
      <c r="T549">
        <v>0</v>
      </c>
      <c r="U549">
        <v>46</v>
      </c>
      <c r="V549">
        <v>128</v>
      </c>
      <c r="W549">
        <v>77</v>
      </c>
      <c r="X549">
        <v>33</v>
      </c>
      <c r="Y549">
        <v>0.254</v>
      </c>
      <c r="Z549">
        <v>0.32800000000000001</v>
      </c>
      <c r="AA549">
        <v>0.40100000000000002</v>
      </c>
    </row>
    <row r="550" spans="1:27" x14ac:dyDescent="0.2">
      <c r="A550" s="52">
        <v>2018</v>
      </c>
      <c r="B550" t="s">
        <v>55</v>
      </c>
      <c r="C550" t="s">
        <v>163</v>
      </c>
      <c r="D550">
        <v>162</v>
      </c>
      <c r="E550">
        <v>5595</v>
      </c>
      <c r="F550" s="1">
        <v>818</v>
      </c>
      <c r="G550">
        <v>1447</v>
      </c>
      <c r="H550">
        <f t="shared" si="17"/>
        <v>915</v>
      </c>
      <c r="I550">
        <v>297</v>
      </c>
      <c r="J550">
        <v>19</v>
      </c>
      <c r="K550">
        <v>216</v>
      </c>
      <c r="L550">
        <v>554</v>
      </c>
      <c r="M550">
        <v>80</v>
      </c>
      <c r="N550">
        <f t="shared" si="16"/>
        <v>3514</v>
      </c>
      <c r="O550">
        <v>786</v>
      </c>
      <c r="P550">
        <v>32</v>
      </c>
      <c r="Q550">
        <v>1189</v>
      </c>
      <c r="R550">
        <v>25</v>
      </c>
      <c r="S550">
        <v>44</v>
      </c>
      <c r="T550">
        <v>2</v>
      </c>
      <c r="U550">
        <v>68</v>
      </c>
      <c r="V550">
        <v>98</v>
      </c>
      <c r="W550">
        <v>135</v>
      </c>
      <c r="X550">
        <v>36</v>
      </c>
      <c r="Y550">
        <v>0.25900000000000001</v>
      </c>
      <c r="Z550">
        <v>0.33200000000000002</v>
      </c>
      <c r="AA550">
        <v>0.434</v>
      </c>
    </row>
    <row r="551" spans="1:27" x14ac:dyDescent="0.2">
      <c r="A551" s="52">
        <v>2018</v>
      </c>
      <c r="B551" t="s">
        <v>57</v>
      </c>
      <c r="C551" t="s">
        <v>38</v>
      </c>
      <c r="D551">
        <v>163</v>
      </c>
      <c r="E551">
        <v>5541</v>
      </c>
      <c r="F551" s="1">
        <v>780</v>
      </c>
      <c r="G551">
        <v>1418</v>
      </c>
      <c r="H551">
        <f t="shared" si="17"/>
        <v>886</v>
      </c>
      <c r="I551">
        <v>280</v>
      </c>
      <c r="J551">
        <v>42</v>
      </c>
      <c r="K551">
        <v>210</v>
      </c>
      <c r="L551">
        <v>507</v>
      </c>
      <c r="M551">
        <v>51</v>
      </c>
      <c r="N551">
        <f t="shared" si="16"/>
        <v>3565</v>
      </c>
      <c r="O551">
        <v>748</v>
      </c>
      <c r="P551">
        <v>38</v>
      </c>
      <c r="Q551">
        <v>1397</v>
      </c>
      <c r="R551">
        <v>42</v>
      </c>
      <c r="S551">
        <v>37</v>
      </c>
      <c r="T551">
        <v>0</v>
      </c>
      <c r="U551">
        <v>68</v>
      </c>
      <c r="V551">
        <v>114</v>
      </c>
      <c r="W551">
        <v>95</v>
      </c>
      <c r="X551">
        <v>33</v>
      </c>
      <c r="Y551">
        <v>0.25600000000000001</v>
      </c>
      <c r="Z551">
        <v>0.32200000000000001</v>
      </c>
      <c r="AA551">
        <v>0.435</v>
      </c>
    </row>
    <row r="552" spans="1:27" x14ac:dyDescent="0.2">
      <c r="A552" s="52">
        <v>2018</v>
      </c>
      <c r="B552" t="s">
        <v>59</v>
      </c>
      <c r="C552" t="s">
        <v>163</v>
      </c>
      <c r="D552">
        <v>162</v>
      </c>
      <c r="E552">
        <v>5494</v>
      </c>
      <c r="F552" s="1">
        <v>630</v>
      </c>
      <c r="G552">
        <v>1326</v>
      </c>
      <c r="H552">
        <f t="shared" si="17"/>
        <v>872</v>
      </c>
      <c r="I552">
        <v>284</v>
      </c>
      <c r="J552">
        <v>35</v>
      </c>
      <c r="K552">
        <v>135</v>
      </c>
      <c r="L552">
        <v>428</v>
      </c>
      <c r="M552">
        <v>52</v>
      </c>
      <c r="N552">
        <f t="shared" si="16"/>
        <v>3688</v>
      </c>
      <c r="O552">
        <v>597</v>
      </c>
      <c r="P552">
        <v>18</v>
      </c>
      <c r="Q552">
        <v>1341</v>
      </c>
      <c r="R552">
        <v>15</v>
      </c>
      <c r="S552">
        <v>40</v>
      </c>
      <c r="T552">
        <v>0</v>
      </c>
      <c r="U552">
        <v>81</v>
      </c>
      <c r="V552">
        <v>110</v>
      </c>
      <c r="W552">
        <v>70</v>
      </c>
      <c r="X552">
        <v>30</v>
      </c>
      <c r="Y552">
        <v>0.24099999999999999</v>
      </c>
      <c r="Z552">
        <v>0.3</v>
      </c>
      <c r="AA552">
        <v>0.38</v>
      </c>
    </row>
    <row r="553" spans="1:27" x14ac:dyDescent="0.2">
      <c r="A553" s="52">
        <v>2018</v>
      </c>
      <c r="B553" t="s">
        <v>63</v>
      </c>
      <c r="C553" t="s">
        <v>163</v>
      </c>
      <c r="D553">
        <v>162</v>
      </c>
      <c r="E553">
        <v>5453</v>
      </c>
      <c r="F553" s="1">
        <v>797</v>
      </c>
      <c r="G553">
        <v>1390</v>
      </c>
      <c r="H553">
        <f t="shared" si="17"/>
        <v>889</v>
      </c>
      <c r="I553">
        <v>278</v>
      </c>
      <c r="J553">
        <v>18</v>
      </c>
      <c r="K553">
        <v>205</v>
      </c>
      <c r="L553">
        <v>565</v>
      </c>
      <c r="M553">
        <v>61</v>
      </c>
      <c r="N553">
        <f t="shared" si="16"/>
        <v>3437</v>
      </c>
      <c r="O553">
        <v>763</v>
      </c>
      <c r="P553">
        <v>19</v>
      </c>
      <c r="Q553">
        <v>1197</v>
      </c>
      <c r="R553">
        <v>14</v>
      </c>
      <c r="S553">
        <v>45</v>
      </c>
      <c r="T553">
        <v>8</v>
      </c>
      <c r="U553">
        <v>69</v>
      </c>
      <c r="V553">
        <v>156</v>
      </c>
      <c r="W553">
        <v>71</v>
      </c>
      <c r="X553">
        <v>26</v>
      </c>
      <c r="Y553">
        <v>0.255</v>
      </c>
      <c r="Z553">
        <v>0.32900000000000001</v>
      </c>
      <c r="AA553">
        <v>0.42499999999999999</v>
      </c>
    </row>
    <row r="554" spans="1:27" x14ac:dyDescent="0.2">
      <c r="A554" s="52">
        <v>2018</v>
      </c>
      <c r="B554" t="s">
        <v>164</v>
      </c>
      <c r="C554" t="s">
        <v>163</v>
      </c>
      <c r="D554">
        <v>162</v>
      </c>
      <c r="E554">
        <v>5505</v>
      </c>
      <c r="F554" s="1">
        <v>638</v>
      </c>
      <c r="G554">
        <v>1350</v>
      </c>
      <c r="H554">
        <f t="shared" si="17"/>
        <v>883</v>
      </c>
      <c r="I554">
        <v>283</v>
      </c>
      <c r="J554">
        <v>29</v>
      </c>
      <c r="K554">
        <v>155</v>
      </c>
      <c r="L554">
        <v>427</v>
      </c>
      <c r="M554">
        <v>67</v>
      </c>
      <c r="N554">
        <f t="shared" si="16"/>
        <v>3661</v>
      </c>
      <c r="O554">
        <v>606</v>
      </c>
      <c r="P554">
        <v>13</v>
      </c>
      <c r="Q554">
        <v>1310</v>
      </c>
      <c r="R554">
        <v>24</v>
      </c>
      <c r="S554">
        <v>40</v>
      </c>
      <c r="T554">
        <v>0</v>
      </c>
      <c r="U554">
        <v>60</v>
      </c>
      <c r="V554">
        <v>123</v>
      </c>
      <c r="W554">
        <v>117</v>
      </c>
      <c r="X554">
        <v>38</v>
      </c>
      <c r="Y554">
        <v>0.245</v>
      </c>
      <c r="Z554">
        <v>0.30499999999999999</v>
      </c>
      <c r="AA554">
        <v>0.39200000000000002</v>
      </c>
    </row>
    <row r="555" spans="1:27" x14ac:dyDescent="0.2">
      <c r="A555" s="52">
        <v>2018</v>
      </c>
      <c r="B555" t="s">
        <v>159</v>
      </c>
      <c r="C555" t="s">
        <v>38</v>
      </c>
      <c r="D555">
        <v>163</v>
      </c>
      <c r="E555">
        <v>5572</v>
      </c>
      <c r="F555" s="1">
        <v>804</v>
      </c>
      <c r="G555">
        <v>1394</v>
      </c>
      <c r="H555">
        <f t="shared" si="17"/>
        <v>830</v>
      </c>
      <c r="I555">
        <v>296</v>
      </c>
      <c r="J555">
        <v>33</v>
      </c>
      <c r="K555">
        <v>235</v>
      </c>
      <c r="L555">
        <v>647</v>
      </c>
      <c r="M555">
        <v>61</v>
      </c>
      <c r="N555">
        <f t="shared" si="16"/>
        <v>3470</v>
      </c>
      <c r="O555">
        <v>756</v>
      </c>
      <c r="P555">
        <v>47</v>
      </c>
      <c r="Q555">
        <v>1436</v>
      </c>
      <c r="R555">
        <v>39</v>
      </c>
      <c r="S555">
        <v>39</v>
      </c>
      <c r="T555">
        <v>0</v>
      </c>
      <c r="U555">
        <v>65</v>
      </c>
      <c r="V555">
        <v>119</v>
      </c>
      <c r="W555">
        <v>75</v>
      </c>
      <c r="X555">
        <v>24</v>
      </c>
      <c r="Y555">
        <v>0.25</v>
      </c>
      <c r="Z555">
        <v>0.33300000000000002</v>
      </c>
      <c r="AA555">
        <v>0.442</v>
      </c>
    </row>
    <row r="556" spans="1:27" x14ac:dyDescent="0.2">
      <c r="A556" s="52">
        <v>2018</v>
      </c>
      <c r="B556" t="s">
        <v>104</v>
      </c>
      <c r="C556" t="s">
        <v>38</v>
      </c>
      <c r="D556">
        <v>161</v>
      </c>
      <c r="E556">
        <v>5488</v>
      </c>
      <c r="F556" s="1">
        <v>589</v>
      </c>
      <c r="G556">
        <v>1303</v>
      </c>
      <c r="H556">
        <f t="shared" si="17"/>
        <v>929</v>
      </c>
      <c r="I556">
        <v>222</v>
      </c>
      <c r="J556">
        <v>24</v>
      </c>
      <c r="K556">
        <v>128</v>
      </c>
      <c r="L556">
        <v>455</v>
      </c>
      <c r="M556">
        <v>73</v>
      </c>
      <c r="N556">
        <f t="shared" si="16"/>
        <v>3657</v>
      </c>
      <c r="O556">
        <v>554</v>
      </c>
      <c r="P556">
        <v>26</v>
      </c>
      <c r="Q556">
        <v>1384</v>
      </c>
      <c r="R556">
        <v>32</v>
      </c>
      <c r="S556">
        <v>31</v>
      </c>
      <c r="T556">
        <v>4</v>
      </c>
      <c r="U556">
        <v>82</v>
      </c>
      <c r="V556">
        <v>119</v>
      </c>
      <c r="W556">
        <v>45</v>
      </c>
      <c r="X556">
        <v>31</v>
      </c>
      <c r="Y556">
        <v>0.23699999999999999</v>
      </c>
      <c r="Z556">
        <v>0.30299999999999999</v>
      </c>
      <c r="AA556">
        <v>0.35699999999999998</v>
      </c>
    </row>
    <row r="557" spans="1:27" x14ac:dyDescent="0.2">
      <c r="A557" s="52">
        <v>2018</v>
      </c>
      <c r="B557" t="s">
        <v>69</v>
      </c>
      <c r="C557" t="s">
        <v>38</v>
      </c>
      <c r="D557">
        <v>163</v>
      </c>
      <c r="E557">
        <v>5542</v>
      </c>
      <c r="F557" s="1">
        <v>754</v>
      </c>
      <c r="G557">
        <v>1398</v>
      </c>
      <c r="H557">
        <f t="shared" si="17"/>
        <v>904</v>
      </c>
      <c r="I557">
        <v>252</v>
      </c>
      <c r="J557">
        <v>24</v>
      </c>
      <c r="K557">
        <v>218</v>
      </c>
      <c r="L557">
        <v>537</v>
      </c>
      <c r="M557">
        <v>58</v>
      </c>
      <c r="N557">
        <f t="shared" si="16"/>
        <v>3549</v>
      </c>
      <c r="O557">
        <v>711</v>
      </c>
      <c r="P557">
        <v>32</v>
      </c>
      <c r="Q557">
        <v>1458</v>
      </c>
      <c r="R557">
        <v>29</v>
      </c>
      <c r="S557">
        <v>41</v>
      </c>
      <c r="T557">
        <v>3</v>
      </c>
      <c r="U557">
        <v>76</v>
      </c>
      <c r="V557">
        <v>128</v>
      </c>
      <c r="W557">
        <v>124</v>
      </c>
      <c r="X557">
        <v>32</v>
      </c>
      <c r="Y557">
        <v>0.252</v>
      </c>
      <c r="Z557">
        <v>0.32300000000000001</v>
      </c>
      <c r="AA557">
        <v>0.42399999999999999</v>
      </c>
    </row>
    <row r="558" spans="1:27" x14ac:dyDescent="0.2">
      <c r="A558" s="52">
        <v>2018</v>
      </c>
      <c r="B558" t="s">
        <v>71</v>
      </c>
      <c r="C558" t="s">
        <v>163</v>
      </c>
      <c r="D558">
        <v>162</v>
      </c>
      <c r="E558">
        <v>5526</v>
      </c>
      <c r="F558" s="1">
        <v>738</v>
      </c>
      <c r="G558">
        <v>1380</v>
      </c>
      <c r="H558">
        <f t="shared" si="17"/>
        <v>874</v>
      </c>
      <c r="I558">
        <v>318</v>
      </c>
      <c r="J558">
        <v>22</v>
      </c>
      <c r="K558">
        <v>166</v>
      </c>
      <c r="L558">
        <v>534</v>
      </c>
      <c r="M558">
        <v>37</v>
      </c>
      <c r="N558">
        <f t="shared" si="16"/>
        <v>3575</v>
      </c>
      <c r="O558">
        <v>704</v>
      </c>
      <c r="P558">
        <v>25</v>
      </c>
      <c r="Q558">
        <v>1328</v>
      </c>
      <c r="R558">
        <v>19</v>
      </c>
      <c r="S558">
        <v>38</v>
      </c>
      <c r="T558">
        <v>0</v>
      </c>
      <c r="U558">
        <v>49</v>
      </c>
      <c r="V558">
        <v>89</v>
      </c>
      <c r="W558">
        <v>47</v>
      </c>
      <c r="X558">
        <v>27</v>
      </c>
      <c r="Y558">
        <v>0.25</v>
      </c>
      <c r="Z558">
        <v>0.318</v>
      </c>
      <c r="AA558">
        <v>0.40500000000000003</v>
      </c>
    </row>
    <row r="559" spans="1:27" x14ac:dyDescent="0.2">
      <c r="A559" s="52">
        <v>2018</v>
      </c>
      <c r="B559" t="s">
        <v>158</v>
      </c>
      <c r="C559" t="s">
        <v>38</v>
      </c>
      <c r="D559">
        <v>162</v>
      </c>
      <c r="E559">
        <v>5468</v>
      </c>
      <c r="F559" s="1">
        <v>676</v>
      </c>
      <c r="G559">
        <v>1282</v>
      </c>
      <c r="H559">
        <f t="shared" si="17"/>
        <v>813</v>
      </c>
      <c r="I559">
        <v>265</v>
      </c>
      <c r="J559">
        <v>34</v>
      </c>
      <c r="K559">
        <v>170</v>
      </c>
      <c r="L559">
        <v>566</v>
      </c>
      <c r="M559">
        <v>73</v>
      </c>
      <c r="N559">
        <f t="shared" si="16"/>
        <v>3547</v>
      </c>
      <c r="O559">
        <v>649</v>
      </c>
      <c r="P559">
        <v>36</v>
      </c>
      <c r="Q559">
        <v>1404</v>
      </c>
      <c r="R559">
        <v>28</v>
      </c>
      <c r="S559">
        <v>42</v>
      </c>
      <c r="T559">
        <v>0</v>
      </c>
      <c r="U559">
        <v>61</v>
      </c>
      <c r="V559">
        <v>116</v>
      </c>
      <c r="W559">
        <v>71</v>
      </c>
      <c r="X559">
        <v>39</v>
      </c>
      <c r="Y559">
        <v>0.23400000000000001</v>
      </c>
      <c r="Z559">
        <v>0.312</v>
      </c>
      <c r="AA559">
        <v>0.38900000000000001</v>
      </c>
    </row>
    <row r="560" spans="1:27" x14ac:dyDescent="0.2">
      <c r="A560" s="52">
        <v>2018</v>
      </c>
      <c r="B560" t="s">
        <v>158</v>
      </c>
      <c r="C560" t="s">
        <v>163</v>
      </c>
      <c r="D560">
        <v>162</v>
      </c>
      <c r="E560">
        <v>5515</v>
      </c>
      <c r="F560" s="1">
        <v>851</v>
      </c>
      <c r="G560">
        <v>1374</v>
      </c>
      <c r="H560">
        <f t="shared" si="17"/>
        <v>815</v>
      </c>
      <c r="I560">
        <v>269</v>
      </c>
      <c r="J560">
        <v>23</v>
      </c>
      <c r="K560">
        <v>267</v>
      </c>
      <c r="L560">
        <v>625</v>
      </c>
      <c r="M560">
        <v>62</v>
      </c>
      <c r="N560">
        <f t="shared" si="16"/>
        <v>3454</v>
      </c>
      <c r="O560">
        <v>821</v>
      </c>
      <c r="P560">
        <v>21</v>
      </c>
      <c r="Q560">
        <v>1421</v>
      </c>
      <c r="R560">
        <v>10</v>
      </c>
      <c r="S560">
        <v>59</v>
      </c>
      <c r="T560">
        <v>0</v>
      </c>
      <c r="U560">
        <v>62</v>
      </c>
      <c r="V560">
        <v>107</v>
      </c>
      <c r="W560">
        <v>63</v>
      </c>
      <c r="X560">
        <v>21</v>
      </c>
      <c r="Y560">
        <v>0.249</v>
      </c>
      <c r="Z560">
        <v>0.32900000000000001</v>
      </c>
      <c r="AA560">
        <v>0.45100000000000001</v>
      </c>
    </row>
    <row r="561" spans="1:27" x14ac:dyDescent="0.2">
      <c r="A561" s="52">
        <v>2018</v>
      </c>
      <c r="B561" t="s">
        <v>79</v>
      </c>
      <c r="C561" t="s">
        <v>163</v>
      </c>
      <c r="D561">
        <v>162</v>
      </c>
      <c r="E561">
        <v>5579</v>
      </c>
      <c r="F561" s="1">
        <v>813</v>
      </c>
      <c r="G561">
        <v>1407</v>
      </c>
      <c r="H561">
        <f t="shared" si="17"/>
        <v>838</v>
      </c>
      <c r="I561">
        <v>322</v>
      </c>
      <c r="J561">
        <v>20</v>
      </c>
      <c r="K561">
        <v>227</v>
      </c>
      <c r="L561">
        <v>550</v>
      </c>
      <c r="M561">
        <v>76</v>
      </c>
      <c r="N561">
        <f t="shared" si="16"/>
        <v>3546</v>
      </c>
      <c r="O561">
        <v>778</v>
      </c>
      <c r="P561">
        <v>18</v>
      </c>
      <c r="Q561">
        <v>1381</v>
      </c>
      <c r="R561">
        <v>6</v>
      </c>
      <c r="S561">
        <v>44</v>
      </c>
      <c r="T561">
        <v>0</v>
      </c>
      <c r="U561">
        <v>62</v>
      </c>
      <c r="V561">
        <v>136</v>
      </c>
      <c r="W561">
        <v>35</v>
      </c>
      <c r="X561">
        <v>21</v>
      </c>
      <c r="Y561">
        <v>0.252</v>
      </c>
      <c r="Z561">
        <v>0.32500000000000001</v>
      </c>
      <c r="AA561">
        <v>0.439</v>
      </c>
    </row>
    <row r="562" spans="1:27" x14ac:dyDescent="0.2">
      <c r="A562" s="52">
        <v>2018</v>
      </c>
      <c r="B562" t="s">
        <v>81</v>
      </c>
      <c r="C562" t="s">
        <v>38</v>
      </c>
      <c r="D562">
        <v>162</v>
      </c>
      <c r="E562">
        <v>5424</v>
      </c>
      <c r="F562" s="1">
        <v>677</v>
      </c>
      <c r="G562">
        <v>1271</v>
      </c>
      <c r="H562">
        <f t="shared" si="17"/>
        <v>814</v>
      </c>
      <c r="I562">
        <v>241</v>
      </c>
      <c r="J562">
        <v>30</v>
      </c>
      <c r="K562">
        <v>186</v>
      </c>
      <c r="L562">
        <v>582</v>
      </c>
      <c r="M562">
        <v>64</v>
      </c>
      <c r="N562">
        <f t="shared" si="16"/>
        <v>3507</v>
      </c>
      <c r="O562">
        <v>653</v>
      </c>
      <c r="P562">
        <v>33</v>
      </c>
      <c r="Q562">
        <v>1520</v>
      </c>
      <c r="R562">
        <v>32</v>
      </c>
      <c r="S562">
        <v>32</v>
      </c>
      <c r="T562">
        <v>2</v>
      </c>
      <c r="U562">
        <v>53</v>
      </c>
      <c r="V562">
        <v>102</v>
      </c>
      <c r="W562">
        <v>69</v>
      </c>
      <c r="X562">
        <v>26</v>
      </c>
      <c r="Y562">
        <v>0.23400000000000001</v>
      </c>
      <c r="Z562">
        <v>0.314</v>
      </c>
      <c r="AA562">
        <v>0.39300000000000002</v>
      </c>
    </row>
    <row r="563" spans="1:27" x14ac:dyDescent="0.2">
      <c r="A563" s="52">
        <v>2018</v>
      </c>
      <c r="B563" t="s">
        <v>83</v>
      </c>
      <c r="C563" t="s">
        <v>38</v>
      </c>
      <c r="D563">
        <v>161</v>
      </c>
      <c r="E563">
        <v>5447</v>
      </c>
      <c r="F563" s="1">
        <v>692</v>
      </c>
      <c r="G563">
        <v>1381</v>
      </c>
      <c r="H563">
        <f t="shared" si="17"/>
        <v>896</v>
      </c>
      <c r="I563">
        <v>290</v>
      </c>
      <c r="J563">
        <v>38</v>
      </c>
      <c r="K563">
        <v>157</v>
      </c>
      <c r="L563">
        <v>474</v>
      </c>
      <c r="M563">
        <v>59</v>
      </c>
      <c r="N563">
        <f t="shared" si="16"/>
        <v>3533</v>
      </c>
      <c r="O563">
        <v>665</v>
      </c>
      <c r="P563">
        <v>38</v>
      </c>
      <c r="Q563">
        <v>1229</v>
      </c>
      <c r="R563">
        <v>31</v>
      </c>
      <c r="S563">
        <v>52</v>
      </c>
      <c r="T563">
        <v>3</v>
      </c>
      <c r="U563">
        <v>58</v>
      </c>
      <c r="V563">
        <v>121</v>
      </c>
      <c r="W563">
        <v>70</v>
      </c>
      <c r="X563">
        <v>38</v>
      </c>
      <c r="Y563">
        <v>0.254</v>
      </c>
      <c r="Z563">
        <v>0.317</v>
      </c>
      <c r="AA563">
        <v>0.40699999999999997</v>
      </c>
    </row>
    <row r="564" spans="1:27" x14ac:dyDescent="0.2">
      <c r="A564" s="52">
        <v>2018</v>
      </c>
      <c r="B564" t="s">
        <v>161</v>
      </c>
      <c r="C564" t="s">
        <v>38</v>
      </c>
      <c r="D564">
        <v>162</v>
      </c>
      <c r="E564">
        <v>5486</v>
      </c>
      <c r="F564" s="1">
        <v>617</v>
      </c>
      <c r="G564">
        <v>1289</v>
      </c>
      <c r="H564">
        <f t="shared" si="17"/>
        <v>847</v>
      </c>
      <c r="I564">
        <v>250</v>
      </c>
      <c r="J564">
        <v>30</v>
      </c>
      <c r="K564">
        <v>162</v>
      </c>
      <c r="L564">
        <v>471</v>
      </c>
      <c r="M564">
        <v>31</v>
      </c>
      <c r="N564">
        <f t="shared" si="16"/>
        <v>3695</v>
      </c>
      <c r="O564">
        <v>583</v>
      </c>
      <c r="P564">
        <v>28</v>
      </c>
      <c r="Q564">
        <v>1523</v>
      </c>
      <c r="R564">
        <v>35</v>
      </c>
      <c r="S564">
        <v>36</v>
      </c>
      <c r="T564">
        <v>0</v>
      </c>
      <c r="U564">
        <v>57</v>
      </c>
      <c r="V564">
        <v>122</v>
      </c>
      <c r="W564">
        <v>95</v>
      </c>
      <c r="X564">
        <v>36</v>
      </c>
      <c r="Y564">
        <v>0.23499999999999999</v>
      </c>
      <c r="Z564">
        <v>0.29699999999999999</v>
      </c>
      <c r="AA564">
        <v>0.38</v>
      </c>
    </row>
    <row r="565" spans="1:27" x14ac:dyDescent="0.2">
      <c r="A565" s="52">
        <v>2018</v>
      </c>
      <c r="B565" t="s">
        <v>87</v>
      </c>
      <c r="C565" t="s">
        <v>163</v>
      </c>
      <c r="D565">
        <v>162</v>
      </c>
      <c r="E565">
        <v>5513</v>
      </c>
      <c r="F565" s="1">
        <v>677</v>
      </c>
      <c r="G565">
        <v>1402</v>
      </c>
      <c r="H565">
        <f t="shared" si="17"/>
        <v>938</v>
      </c>
      <c r="I565">
        <v>256</v>
      </c>
      <c r="J565">
        <v>32</v>
      </c>
      <c r="K565">
        <v>176</v>
      </c>
      <c r="L565">
        <v>430</v>
      </c>
      <c r="M565">
        <v>70</v>
      </c>
      <c r="N565">
        <f t="shared" si="16"/>
        <v>3611</v>
      </c>
      <c r="O565">
        <v>644</v>
      </c>
      <c r="P565">
        <v>17</v>
      </c>
      <c r="Q565">
        <v>1221</v>
      </c>
      <c r="R565">
        <v>29</v>
      </c>
      <c r="S565">
        <v>41</v>
      </c>
      <c r="T565">
        <v>4</v>
      </c>
      <c r="U565">
        <v>56</v>
      </c>
      <c r="V565">
        <v>128</v>
      </c>
      <c r="W565">
        <v>79</v>
      </c>
      <c r="X565">
        <v>37</v>
      </c>
      <c r="Y565">
        <v>0.254</v>
      </c>
      <c r="Z565">
        <v>0.314</v>
      </c>
      <c r="AA565">
        <v>0.40799999999999997</v>
      </c>
    </row>
    <row r="566" spans="1:27" x14ac:dyDescent="0.2">
      <c r="A566" s="52">
        <v>2018</v>
      </c>
      <c r="B566" t="s">
        <v>21</v>
      </c>
      <c r="C566" t="s">
        <v>38</v>
      </c>
      <c r="D566">
        <v>162</v>
      </c>
      <c r="E566">
        <v>5541</v>
      </c>
      <c r="F566" s="1">
        <v>603</v>
      </c>
      <c r="G566">
        <v>1324</v>
      </c>
      <c r="H566">
        <f t="shared" si="17"/>
        <v>906</v>
      </c>
      <c r="I566">
        <v>255</v>
      </c>
      <c r="J566">
        <v>30</v>
      </c>
      <c r="K566">
        <v>133</v>
      </c>
      <c r="L566">
        <v>448</v>
      </c>
      <c r="M566">
        <v>49</v>
      </c>
      <c r="N566">
        <f t="shared" si="16"/>
        <v>3720</v>
      </c>
      <c r="O566">
        <v>573</v>
      </c>
      <c r="P566">
        <v>40</v>
      </c>
      <c r="Q566">
        <v>1467</v>
      </c>
      <c r="R566">
        <v>33</v>
      </c>
      <c r="S566">
        <v>42</v>
      </c>
      <c r="T566">
        <v>0</v>
      </c>
      <c r="U566">
        <v>61</v>
      </c>
      <c r="V566">
        <v>113</v>
      </c>
      <c r="W566">
        <v>77</v>
      </c>
      <c r="X566">
        <v>34</v>
      </c>
      <c r="Y566">
        <v>0.23899999999999999</v>
      </c>
      <c r="Z566">
        <v>0.3</v>
      </c>
      <c r="AA566">
        <v>0.36799999999999999</v>
      </c>
    </row>
    <row r="567" spans="1:27" x14ac:dyDescent="0.2">
      <c r="A567" s="52">
        <v>2018</v>
      </c>
      <c r="B567" t="s">
        <v>156</v>
      </c>
      <c r="C567" t="s">
        <v>38</v>
      </c>
      <c r="D567">
        <v>162</v>
      </c>
      <c r="E567">
        <v>5498</v>
      </c>
      <c r="F567" s="1">
        <v>759</v>
      </c>
      <c r="G567">
        <v>1369</v>
      </c>
      <c r="H567">
        <f t="shared" si="17"/>
        <v>907</v>
      </c>
      <c r="I567">
        <v>248</v>
      </c>
      <c r="J567">
        <v>9</v>
      </c>
      <c r="K567">
        <v>205</v>
      </c>
      <c r="L567">
        <v>525</v>
      </c>
      <c r="M567">
        <v>80</v>
      </c>
      <c r="N567">
        <f t="shared" si="16"/>
        <v>3524</v>
      </c>
      <c r="O567">
        <v>725</v>
      </c>
      <c r="P567">
        <v>40</v>
      </c>
      <c r="Q567">
        <v>1380</v>
      </c>
      <c r="R567">
        <v>46</v>
      </c>
      <c r="S567">
        <v>48</v>
      </c>
      <c r="T567">
        <v>3</v>
      </c>
      <c r="U567">
        <v>57</v>
      </c>
      <c r="V567">
        <v>92</v>
      </c>
      <c r="W567">
        <v>63</v>
      </c>
      <c r="X567">
        <v>32</v>
      </c>
      <c r="Y567">
        <v>0.249</v>
      </c>
      <c r="Z567">
        <v>0.32100000000000001</v>
      </c>
      <c r="AA567">
        <v>0.40899999999999997</v>
      </c>
    </row>
    <row r="568" spans="1:27" x14ac:dyDescent="0.2">
      <c r="A568" s="52">
        <v>2018</v>
      </c>
      <c r="B568" t="s">
        <v>165</v>
      </c>
      <c r="C568" t="s">
        <v>163</v>
      </c>
      <c r="D568">
        <v>162</v>
      </c>
      <c r="E568">
        <v>5475</v>
      </c>
      <c r="F568" s="1">
        <v>716</v>
      </c>
      <c r="G568">
        <v>1415</v>
      </c>
      <c r="H568">
        <f t="shared" si="17"/>
        <v>948</v>
      </c>
      <c r="I568">
        <v>274</v>
      </c>
      <c r="J568">
        <v>43</v>
      </c>
      <c r="K568">
        <v>150</v>
      </c>
      <c r="L568">
        <v>540</v>
      </c>
      <c r="M568">
        <v>101</v>
      </c>
      <c r="N568">
        <f t="shared" si="16"/>
        <v>3419</v>
      </c>
      <c r="O568">
        <v>664</v>
      </c>
      <c r="P568">
        <v>17</v>
      </c>
      <c r="Q568">
        <v>1388</v>
      </c>
      <c r="R568">
        <v>28</v>
      </c>
      <c r="S568">
        <v>50</v>
      </c>
      <c r="T568">
        <v>1</v>
      </c>
      <c r="U568">
        <v>55</v>
      </c>
      <c r="V568">
        <v>122</v>
      </c>
      <c r="W568">
        <v>128</v>
      </c>
      <c r="X568">
        <v>51</v>
      </c>
      <c r="Y568">
        <v>0.25800000000000001</v>
      </c>
      <c r="Z568">
        <v>0.33300000000000002</v>
      </c>
      <c r="AA568">
        <v>0.40600000000000003</v>
      </c>
    </row>
    <row r="569" spans="1:27" x14ac:dyDescent="0.2">
      <c r="A569" s="52">
        <v>2018</v>
      </c>
      <c r="B569" t="s">
        <v>95</v>
      </c>
      <c r="C569" t="s">
        <v>163</v>
      </c>
      <c r="D569">
        <v>162</v>
      </c>
      <c r="E569">
        <v>5453</v>
      </c>
      <c r="F569" s="1">
        <v>737</v>
      </c>
      <c r="G569">
        <v>1308</v>
      </c>
      <c r="H569">
        <f t="shared" si="17"/>
        <v>824</v>
      </c>
      <c r="I569">
        <v>266</v>
      </c>
      <c r="J569">
        <v>24</v>
      </c>
      <c r="K569">
        <v>194</v>
      </c>
      <c r="L569">
        <v>555</v>
      </c>
      <c r="M569">
        <v>88</v>
      </c>
      <c r="N569">
        <f t="shared" si="16"/>
        <v>3502</v>
      </c>
      <c r="O569">
        <v>696</v>
      </c>
      <c r="P569">
        <v>16</v>
      </c>
      <c r="Q569">
        <v>1484</v>
      </c>
      <c r="R569">
        <v>33</v>
      </c>
      <c r="S569">
        <v>34</v>
      </c>
      <c r="T569">
        <v>0</v>
      </c>
      <c r="U569">
        <v>67</v>
      </c>
      <c r="V569">
        <v>104</v>
      </c>
      <c r="W569">
        <v>74</v>
      </c>
      <c r="X569">
        <v>35</v>
      </c>
      <c r="Y569">
        <v>0.24</v>
      </c>
      <c r="Z569">
        <v>0.318</v>
      </c>
      <c r="AA569">
        <v>0.40400000000000003</v>
      </c>
    </row>
    <row r="570" spans="1:27" x14ac:dyDescent="0.2">
      <c r="A570" s="52">
        <v>2018</v>
      </c>
      <c r="B570" t="s">
        <v>97</v>
      </c>
      <c r="C570" t="s">
        <v>163</v>
      </c>
      <c r="D570">
        <v>162</v>
      </c>
      <c r="E570">
        <v>5477</v>
      </c>
      <c r="F570" s="1">
        <v>709</v>
      </c>
      <c r="G570">
        <v>1336</v>
      </c>
      <c r="H570">
        <f t="shared" si="17"/>
        <v>783</v>
      </c>
      <c r="I570">
        <v>320</v>
      </c>
      <c r="J570">
        <v>16</v>
      </c>
      <c r="K570">
        <v>217</v>
      </c>
      <c r="L570">
        <v>499</v>
      </c>
      <c r="M570">
        <v>58</v>
      </c>
      <c r="N570">
        <f t="shared" si="16"/>
        <v>3584</v>
      </c>
      <c r="O570">
        <v>680</v>
      </c>
      <c r="P570">
        <v>15</v>
      </c>
      <c r="Q570">
        <v>1387</v>
      </c>
      <c r="R570">
        <v>5</v>
      </c>
      <c r="S570">
        <v>37</v>
      </c>
      <c r="T570">
        <v>0</v>
      </c>
      <c r="U570">
        <v>60</v>
      </c>
      <c r="V570">
        <v>118</v>
      </c>
      <c r="W570">
        <v>47</v>
      </c>
      <c r="X570">
        <v>30</v>
      </c>
      <c r="Y570">
        <v>0.24399999999999999</v>
      </c>
      <c r="Z570">
        <v>0.312</v>
      </c>
      <c r="AA570">
        <v>0.42699999999999999</v>
      </c>
    </row>
    <row r="571" spans="1:27" x14ac:dyDescent="0.2">
      <c r="A571" s="52">
        <v>2018</v>
      </c>
      <c r="B571" t="s">
        <v>101</v>
      </c>
      <c r="C571" t="s">
        <v>38</v>
      </c>
      <c r="D571">
        <v>162</v>
      </c>
      <c r="E571">
        <v>5517</v>
      </c>
      <c r="F571" s="1">
        <v>771</v>
      </c>
      <c r="G571">
        <v>1402</v>
      </c>
      <c r="H571">
        <f t="shared" si="17"/>
        <v>902</v>
      </c>
      <c r="I571">
        <v>284</v>
      </c>
      <c r="J571">
        <v>25</v>
      </c>
      <c r="K571">
        <v>191</v>
      </c>
      <c r="L571">
        <v>631</v>
      </c>
      <c r="M571">
        <v>59</v>
      </c>
      <c r="N571">
        <f t="shared" si="16"/>
        <v>3425</v>
      </c>
      <c r="O571">
        <v>737</v>
      </c>
      <c r="P571">
        <v>56</v>
      </c>
      <c r="Q571">
        <v>1289</v>
      </c>
      <c r="R571">
        <v>41</v>
      </c>
      <c r="S571">
        <v>40</v>
      </c>
      <c r="T571">
        <v>0</v>
      </c>
      <c r="U571">
        <v>49</v>
      </c>
      <c r="V571">
        <v>104</v>
      </c>
      <c r="W571">
        <v>119</v>
      </c>
      <c r="X571">
        <v>33</v>
      </c>
      <c r="Y571">
        <v>0.254</v>
      </c>
      <c r="Z571">
        <v>0.33500000000000002</v>
      </c>
      <c r="AA571">
        <v>0.41899999999999998</v>
      </c>
    </row>
    <row r="572" spans="1:27" x14ac:dyDescent="0.2">
      <c r="C572" s="52"/>
    </row>
    <row r="573" spans="1:27" x14ac:dyDescent="0.2">
      <c r="C573" s="52"/>
    </row>
    <row r="574" spans="1:27" x14ac:dyDescent="0.2">
      <c r="C574" s="52"/>
    </row>
    <row r="575" spans="1:27" x14ac:dyDescent="0.2">
      <c r="C575" s="52"/>
    </row>
    <row r="576" spans="1:27" x14ac:dyDescent="0.2">
      <c r="C576" s="52"/>
    </row>
    <row r="577" spans="3:3" x14ac:dyDescent="0.2">
      <c r="C577" s="52"/>
    </row>
    <row r="578" spans="3:3" x14ac:dyDescent="0.2">
      <c r="C578" s="52"/>
    </row>
    <row r="579" spans="3:3" x14ac:dyDescent="0.2">
      <c r="C579" s="52"/>
    </row>
    <row r="580" spans="3:3" x14ac:dyDescent="0.2">
      <c r="C580" s="52"/>
    </row>
    <row r="581" spans="3:3" x14ac:dyDescent="0.2">
      <c r="C581" s="52"/>
    </row>
    <row r="582" spans="3:3" x14ac:dyDescent="0.2">
      <c r="C582" s="52"/>
    </row>
    <row r="583" spans="3:3" x14ac:dyDescent="0.2">
      <c r="C583" s="52"/>
    </row>
    <row r="584" spans="3:3" x14ac:dyDescent="0.2">
      <c r="C584" s="52"/>
    </row>
    <row r="585" spans="3:3" x14ac:dyDescent="0.2">
      <c r="C585" s="52"/>
    </row>
    <row r="586" spans="3:3" x14ac:dyDescent="0.2">
      <c r="C586" s="52"/>
    </row>
    <row r="587" spans="3:3" x14ac:dyDescent="0.2">
      <c r="C587" s="52"/>
    </row>
    <row r="588" spans="3:3" x14ac:dyDescent="0.2">
      <c r="C588" s="52"/>
    </row>
    <row r="589" spans="3:3" x14ac:dyDescent="0.2">
      <c r="C589" s="52"/>
    </row>
    <row r="590" spans="3:3" x14ac:dyDescent="0.2">
      <c r="C590" s="52"/>
    </row>
    <row r="591" spans="3:3" x14ac:dyDescent="0.2">
      <c r="C591" s="52"/>
    </row>
    <row r="592" spans="3:3" x14ac:dyDescent="0.2">
      <c r="C592" s="52"/>
    </row>
    <row r="593" spans="3:3" x14ac:dyDescent="0.2">
      <c r="C593" s="52"/>
    </row>
    <row r="594" spans="3:3" x14ac:dyDescent="0.2">
      <c r="C594" s="52"/>
    </row>
    <row r="595" spans="3:3" x14ac:dyDescent="0.2">
      <c r="C595" s="52"/>
    </row>
    <row r="596" spans="3:3" x14ac:dyDescent="0.2">
      <c r="C596" s="52"/>
    </row>
    <row r="597" spans="3:3" x14ac:dyDescent="0.2">
      <c r="C597" s="52"/>
    </row>
    <row r="598" spans="3:3" x14ac:dyDescent="0.2">
      <c r="C598" s="52"/>
    </row>
    <row r="599" spans="3:3" x14ac:dyDescent="0.2">
      <c r="C599" s="52"/>
    </row>
    <row r="600" spans="3:3" x14ac:dyDescent="0.2">
      <c r="C600" s="52"/>
    </row>
    <row r="601" spans="3:3" x14ac:dyDescent="0.2">
      <c r="C601" s="52"/>
    </row>
  </sheetData>
  <sortState xmlns:xlrd2="http://schemas.microsoft.com/office/spreadsheetml/2017/richdata2" ref="A543:AC571">
    <sortCondition ref="B542:B57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ACAEF-573D-4273-9EE0-3AEC4A01899A}">
  <sheetPr codeName="Sheet5"/>
  <dimension ref="A1:BH571"/>
  <sheetViews>
    <sheetView zoomScale="79" workbookViewId="0">
      <pane ySplit="1" topLeftCell="A2" activePane="bottomLeft" state="frozen"/>
      <selection pane="bottomLeft" activeCell="M2" sqref="M2"/>
    </sheetView>
  </sheetViews>
  <sheetFormatPr baseColWidth="10" defaultColWidth="8.83203125" defaultRowHeight="16" x14ac:dyDescent="0.2"/>
  <cols>
    <col min="1" max="1" width="9" style="52"/>
    <col min="3" max="3" width="11.83203125" customWidth="1"/>
    <col min="13" max="13" width="8.83203125" style="1"/>
    <col min="30" max="31" width="8.83203125" style="1"/>
  </cols>
  <sheetData>
    <row r="1" spans="1:60" s="55" customFormat="1" ht="19" x14ac:dyDescent="0.25">
      <c r="A1" s="54" t="s">
        <v>106</v>
      </c>
      <c r="B1" s="54" t="s">
        <v>166</v>
      </c>
      <c r="C1" s="54" t="s">
        <v>183</v>
      </c>
      <c r="D1" s="54" t="s">
        <v>167</v>
      </c>
      <c r="E1" s="54" t="s">
        <v>168</v>
      </c>
      <c r="F1" s="54" t="s">
        <v>25</v>
      </c>
      <c r="G1" s="54" t="s">
        <v>26</v>
      </c>
      <c r="H1" s="54" t="s">
        <v>169</v>
      </c>
      <c r="I1" s="54" t="s">
        <v>27</v>
      </c>
      <c r="J1" s="54" t="s">
        <v>170</v>
      </c>
      <c r="K1" s="54" t="s">
        <v>137</v>
      </c>
      <c r="L1" s="54" t="s">
        <v>12</v>
      </c>
      <c r="M1" s="69" t="s">
        <v>22</v>
      </c>
      <c r="N1" s="54" t="s">
        <v>136</v>
      </c>
      <c r="O1" s="54" t="s">
        <v>13</v>
      </c>
      <c r="P1" s="54" t="s">
        <v>14</v>
      </c>
      <c r="Q1" s="54" t="s">
        <v>15</v>
      </c>
      <c r="R1" s="54" t="s">
        <v>23</v>
      </c>
      <c r="S1" s="54" t="s">
        <v>16</v>
      </c>
      <c r="T1" s="54" t="s">
        <v>171</v>
      </c>
      <c r="U1" s="54" t="s">
        <v>145</v>
      </c>
      <c r="V1" s="54" t="s">
        <v>17</v>
      </c>
      <c r="W1" s="54" t="s">
        <v>172</v>
      </c>
      <c r="X1" s="54" t="s">
        <v>21</v>
      </c>
      <c r="Y1" s="54" t="s">
        <v>176</v>
      </c>
      <c r="Z1" s="54" t="s">
        <v>20</v>
      </c>
      <c r="AA1" s="54" t="s">
        <v>173</v>
      </c>
      <c r="AB1" s="54" t="s">
        <v>174</v>
      </c>
      <c r="AC1" s="54" t="s">
        <v>175</v>
      </c>
      <c r="AD1" s="69" t="s">
        <v>8</v>
      </c>
      <c r="AE1" s="69" t="s">
        <v>9</v>
      </c>
      <c r="AF1" s="54" t="s">
        <v>24</v>
      </c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</row>
    <row r="2" spans="1:60" x14ac:dyDescent="0.2">
      <c r="A2" s="52">
        <v>2000</v>
      </c>
      <c r="B2" t="s">
        <v>37</v>
      </c>
      <c r="C2" t="s">
        <v>163</v>
      </c>
      <c r="D2">
        <v>603</v>
      </c>
      <c r="E2">
        <v>162</v>
      </c>
      <c r="F2">
        <v>5</v>
      </c>
      <c r="G2">
        <v>3</v>
      </c>
      <c r="H2">
        <v>157</v>
      </c>
      <c r="I2">
        <v>46</v>
      </c>
      <c r="J2">
        <v>1448</v>
      </c>
      <c r="K2">
        <v>6401</v>
      </c>
      <c r="L2">
        <v>1534</v>
      </c>
      <c r="M2" s="1">
        <v>869</v>
      </c>
      <c r="N2">
        <f>L2-(O2+P2+Q2)</f>
        <v>1007</v>
      </c>
      <c r="O2">
        <v>276</v>
      </c>
      <c r="P2">
        <v>23</v>
      </c>
      <c r="Q2">
        <v>228</v>
      </c>
      <c r="R2">
        <v>805</v>
      </c>
      <c r="S2">
        <v>662</v>
      </c>
      <c r="T2">
        <v>44</v>
      </c>
      <c r="U2">
        <f>K2-(L2+S2+Z2)</f>
        <v>4169</v>
      </c>
      <c r="V2">
        <v>846</v>
      </c>
      <c r="W2">
        <v>40</v>
      </c>
      <c r="X2">
        <v>53</v>
      </c>
      <c r="Y2">
        <v>47</v>
      </c>
      <c r="Z2">
        <v>36</v>
      </c>
      <c r="AA2">
        <v>10</v>
      </c>
      <c r="AB2">
        <v>159</v>
      </c>
      <c r="AC2">
        <v>96</v>
      </c>
      <c r="AD2" s="1">
        <v>82</v>
      </c>
      <c r="AE2" s="1">
        <v>80</v>
      </c>
      <c r="AF2">
        <v>5</v>
      </c>
    </row>
    <row r="3" spans="1:60" x14ac:dyDescent="0.2">
      <c r="A3" s="52">
        <v>2000</v>
      </c>
      <c r="B3" t="s">
        <v>40</v>
      </c>
      <c r="C3" t="s">
        <v>38</v>
      </c>
      <c r="D3">
        <v>552</v>
      </c>
      <c r="E3">
        <v>162</v>
      </c>
      <c r="F3">
        <v>16</v>
      </c>
      <c r="G3">
        <v>8</v>
      </c>
      <c r="H3">
        <v>146</v>
      </c>
      <c r="I3">
        <v>38</v>
      </c>
      <c r="J3">
        <v>1443.2</v>
      </c>
      <c r="K3">
        <v>6158</v>
      </c>
      <c r="L3">
        <v>1441</v>
      </c>
      <c r="M3" s="1">
        <v>754</v>
      </c>
      <c r="N3">
        <f t="shared" ref="N3:N66" si="0">L3-(O3+P3+Q3)</f>
        <v>960</v>
      </c>
      <c r="O3">
        <v>261</v>
      </c>
      <c r="P3">
        <v>30</v>
      </c>
      <c r="Q3">
        <v>190</v>
      </c>
      <c r="R3">
        <v>699</v>
      </c>
      <c r="S3">
        <v>500</v>
      </c>
      <c r="T3">
        <v>53</v>
      </c>
      <c r="U3">
        <f t="shared" ref="U3:U66" si="1">K3-(L3+S3+Z3)</f>
        <v>4175</v>
      </c>
      <c r="V3">
        <v>1220</v>
      </c>
      <c r="W3">
        <v>72</v>
      </c>
      <c r="X3">
        <v>45</v>
      </c>
      <c r="Y3">
        <v>30</v>
      </c>
      <c r="Z3">
        <v>42</v>
      </c>
      <c r="AA3">
        <v>10</v>
      </c>
      <c r="AB3">
        <v>111</v>
      </c>
      <c r="AC3">
        <v>71</v>
      </c>
      <c r="AD3" s="1">
        <v>85</v>
      </c>
      <c r="AE3" s="1">
        <v>77</v>
      </c>
      <c r="AF3">
        <v>4.3600000000000003</v>
      </c>
    </row>
    <row r="4" spans="1:60" x14ac:dyDescent="0.2">
      <c r="A4" s="52">
        <v>2000</v>
      </c>
      <c r="B4" t="s">
        <v>42</v>
      </c>
      <c r="C4" t="s">
        <v>38</v>
      </c>
      <c r="D4">
        <v>538</v>
      </c>
      <c r="E4">
        <v>162</v>
      </c>
      <c r="F4">
        <v>13</v>
      </c>
      <c r="G4">
        <v>9</v>
      </c>
      <c r="H4">
        <v>149</v>
      </c>
      <c r="I4">
        <v>53</v>
      </c>
      <c r="J4">
        <v>1440.1</v>
      </c>
      <c r="K4">
        <v>6165</v>
      </c>
      <c r="L4">
        <v>1428</v>
      </c>
      <c r="M4" s="1">
        <v>714</v>
      </c>
      <c r="N4">
        <f t="shared" si="0"/>
        <v>979</v>
      </c>
      <c r="O4">
        <v>263</v>
      </c>
      <c r="P4">
        <v>21</v>
      </c>
      <c r="Q4">
        <v>165</v>
      </c>
      <c r="R4">
        <v>648</v>
      </c>
      <c r="S4">
        <v>484</v>
      </c>
      <c r="T4">
        <v>52</v>
      </c>
      <c r="U4">
        <f t="shared" si="1"/>
        <v>4216</v>
      </c>
      <c r="V4">
        <v>1093</v>
      </c>
      <c r="W4">
        <v>64</v>
      </c>
      <c r="X4">
        <v>37</v>
      </c>
      <c r="Y4">
        <v>23</v>
      </c>
      <c r="Z4">
        <v>37</v>
      </c>
      <c r="AA4">
        <v>6</v>
      </c>
      <c r="AB4">
        <v>121</v>
      </c>
      <c r="AC4">
        <v>92</v>
      </c>
      <c r="AD4" s="1">
        <v>95</v>
      </c>
      <c r="AE4" s="1">
        <v>67</v>
      </c>
      <c r="AF4">
        <v>4.05</v>
      </c>
    </row>
    <row r="5" spans="1:60" x14ac:dyDescent="0.2">
      <c r="A5" s="52">
        <v>2000</v>
      </c>
      <c r="B5" t="s">
        <v>45</v>
      </c>
      <c r="C5" t="s">
        <v>163</v>
      </c>
      <c r="D5">
        <v>558</v>
      </c>
      <c r="E5">
        <v>162</v>
      </c>
      <c r="F5">
        <v>14</v>
      </c>
      <c r="G5">
        <v>6</v>
      </c>
      <c r="H5">
        <v>148</v>
      </c>
      <c r="I5">
        <v>33</v>
      </c>
      <c r="J5">
        <v>1433.1</v>
      </c>
      <c r="K5">
        <v>6433</v>
      </c>
      <c r="L5">
        <v>1547</v>
      </c>
      <c r="M5" s="1">
        <v>913</v>
      </c>
      <c r="N5">
        <f t="shared" si="0"/>
        <v>1010</v>
      </c>
      <c r="O5">
        <v>296</v>
      </c>
      <c r="P5">
        <v>39</v>
      </c>
      <c r="Q5">
        <v>202</v>
      </c>
      <c r="R5">
        <v>855</v>
      </c>
      <c r="S5">
        <v>665</v>
      </c>
      <c r="T5">
        <v>32</v>
      </c>
      <c r="U5">
        <f t="shared" si="1"/>
        <v>4185</v>
      </c>
      <c r="V5">
        <v>1017</v>
      </c>
      <c r="W5">
        <v>48</v>
      </c>
      <c r="X5">
        <v>57</v>
      </c>
      <c r="Y5">
        <v>51</v>
      </c>
      <c r="Z5">
        <v>36</v>
      </c>
      <c r="AA5">
        <v>1</v>
      </c>
      <c r="AB5">
        <v>127</v>
      </c>
      <c r="AC5">
        <v>89</v>
      </c>
      <c r="AD5" s="1">
        <v>74</v>
      </c>
      <c r="AE5" s="1">
        <v>88</v>
      </c>
      <c r="AF5">
        <v>5.37</v>
      </c>
    </row>
    <row r="6" spans="1:60" x14ac:dyDescent="0.2">
      <c r="A6" s="52">
        <v>2000</v>
      </c>
      <c r="B6" t="s">
        <v>47</v>
      </c>
      <c r="C6" t="s">
        <v>163</v>
      </c>
      <c r="D6">
        <v>587</v>
      </c>
      <c r="E6">
        <v>162</v>
      </c>
      <c r="F6">
        <v>7</v>
      </c>
      <c r="G6">
        <v>12</v>
      </c>
      <c r="H6">
        <v>155</v>
      </c>
      <c r="I6">
        <v>46</v>
      </c>
      <c r="J6">
        <v>1452.2</v>
      </c>
      <c r="K6">
        <v>6225</v>
      </c>
      <c r="L6">
        <v>1433</v>
      </c>
      <c r="M6" s="1">
        <v>745</v>
      </c>
      <c r="N6">
        <f t="shared" si="0"/>
        <v>952</v>
      </c>
      <c r="O6">
        <v>279</v>
      </c>
      <c r="P6">
        <v>29</v>
      </c>
      <c r="Q6">
        <v>173</v>
      </c>
      <c r="R6">
        <v>683</v>
      </c>
      <c r="S6">
        <v>498</v>
      </c>
      <c r="T6">
        <v>40</v>
      </c>
      <c r="U6">
        <f t="shared" si="1"/>
        <v>4236</v>
      </c>
      <c r="V6">
        <v>1121</v>
      </c>
      <c r="W6">
        <v>46</v>
      </c>
      <c r="X6">
        <v>49</v>
      </c>
      <c r="Y6">
        <v>33</v>
      </c>
      <c r="Z6">
        <v>58</v>
      </c>
      <c r="AA6">
        <v>2</v>
      </c>
      <c r="AB6">
        <v>98</v>
      </c>
      <c r="AC6">
        <v>75</v>
      </c>
      <c r="AD6" s="1">
        <v>85</v>
      </c>
      <c r="AE6" s="1">
        <v>77</v>
      </c>
      <c r="AF6">
        <v>4.2300000000000004</v>
      </c>
    </row>
    <row r="7" spans="1:60" x14ac:dyDescent="0.2">
      <c r="A7" s="52">
        <v>2000</v>
      </c>
      <c r="B7" t="s">
        <v>157</v>
      </c>
      <c r="C7" t="s">
        <v>38</v>
      </c>
      <c r="D7">
        <v>583</v>
      </c>
      <c r="E7">
        <v>162</v>
      </c>
      <c r="F7">
        <v>10</v>
      </c>
      <c r="G7">
        <v>5</v>
      </c>
      <c r="H7">
        <v>152</v>
      </c>
      <c r="I7">
        <v>39</v>
      </c>
      <c r="J7">
        <v>1454.2</v>
      </c>
      <c r="K7">
        <v>6451</v>
      </c>
      <c r="L7">
        <v>1505</v>
      </c>
      <c r="M7" s="1">
        <v>904</v>
      </c>
      <c r="N7">
        <f t="shared" si="0"/>
        <v>965</v>
      </c>
      <c r="O7">
        <v>280</v>
      </c>
      <c r="P7">
        <v>29</v>
      </c>
      <c r="Q7">
        <v>231</v>
      </c>
      <c r="R7">
        <v>849</v>
      </c>
      <c r="S7">
        <v>658</v>
      </c>
      <c r="T7">
        <v>45</v>
      </c>
      <c r="U7">
        <f t="shared" si="1"/>
        <v>4226</v>
      </c>
      <c r="V7">
        <v>1143</v>
      </c>
      <c r="W7">
        <v>62</v>
      </c>
      <c r="X7">
        <v>54</v>
      </c>
      <c r="Y7">
        <v>45</v>
      </c>
      <c r="Z7">
        <v>62</v>
      </c>
      <c r="AA7">
        <v>4</v>
      </c>
      <c r="AB7">
        <v>106</v>
      </c>
      <c r="AC7">
        <v>71</v>
      </c>
      <c r="AD7" s="1">
        <v>65</v>
      </c>
      <c r="AE7" s="1">
        <v>97</v>
      </c>
      <c r="AF7">
        <v>5.25</v>
      </c>
    </row>
    <row r="8" spans="1:60" x14ac:dyDescent="0.2">
      <c r="A8" s="52">
        <v>2000</v>
      </c>
      <c r="B8" t="s">
        <v>157</v>
      </c>
      <c r="C8" t="s">
        <v>163</v>
      </c>
      <c r="D8">
        <v>628</v>
      </c>
      <c r="E8">
        <v>162</v>
      </c>
      <c r="F8">
        <v>5</v>
      </c>
      <c r="G8">
        <v>7</v>
      </c>
      <c r="H8">
        <v>157</v>
      </c>
      <c r="I8">
        <v>43</v>
      </c>
      <c r="J8">
        <v>1450.1</v>
      </c>
      <c r="K8">
        <v>6337</v>
      </c>
      <c r="L8">
        <v>1509</v>
      </c>
      <c r="M8" s="1">
        <v>839</v>
      </c>
      <c r="N8">
        <f t="shared" si="0"/>
        <v>1018</v>
      </c>
      <c r="O8">
        <v>263</v>
      </c>
      <c r="P8">
        <v>33</v>
      </c>
      <c r="Q8">
        <v>195</v>
      </c>
      <c r="R8">
        <v>752</v>
      </c>
      <c r="S8">
        <v>614</v>
      </c>
      <c r="T8">
        <v>27</v>
      </c>
      <c r="U8">
        <f t="shared" si="1"/>
        <v>4160</v>
      </c>
      <c r="V8">
        <v>1037</v>
      </c>
      <c r="W8">
        <v>39</v>
      </c>
      <c r="X8">
        <v>49</v>
      </c>
      <c r="Y8">
        <v>43</v>
      </c>
      <c r="Z8">
        <v>54</v>
      </c>
      <c r="AA8">
        <v>8</v>
      </c>
      <c r="AB8">
        <v>156</v>
      </c>
      <c r="AC8">
        <v>91</v>
      </c>
      <c r="AD8" s="1">
        <v>95</v>
      </c>
      <c r="AE8" s="1">
        <v>67</v>
      </c>
      <c r="AF8">
        <v>4.67</v>
      </c>
    </row>
    <row r="9" spans="1:60" x14ac:dyDescent="0.2">
      <c r="A9" s="52">
        <v>2000</v>
      </c>
      <c r="B9" t="s">
        <v>53</v>
      </c>
      <c r="C9" t="s">
        <v>38</v>
      </c>
      <c r="D9">
        <v>550</v>
      </c>
      <c r="E9">
        <v>163</v>
      </c>
      <c r="F9">
        <v>8</v>
      </c>
      <c r="G9">
        <v>7</v>
      </c>
      <c r="H9">
        <v>155</v>
      </c>
      <c r="I9">
        <v>42</v>
      </c>
      <c r="J9">
        <v>1456.1</v>
      </c>
      <c r="K9">
        <v>6362</v>
      </c>
      <c r="L9">
        <v>1446</v>
      </c>
      <c r="M9" s="1">
        <v>765</v>
      </c>
      <c r="N9">
        <f t="shared" si="0"/>
        <v>884</v>
      </c>
      <c r="O9">
        <v>334</v>
      </c>
      <c r="P9">
        <v>38</v>
      </c>
      <c r="Q9">
        <v>190</v>
      </c>
      <c r="R9">
        <v>700</v>
      </c>
      <c r="S9">
        <v>659</v>
      </c>
      <c r="T9">
        <v>53</v>
      </c>
      <c r="U9">
        <f t="shared" si="1"/>
        <v>4214</v>
      </c>
      <c r="V9">
        <v>1015</v>
      </c>
      <c r="W9">
        <v>68</v>
      </c>
      <c r="X9">
        <v>48</v>
      </c>
      <c r="Y9">
        <v>96</v>
      </c>
      <c r="Z9">
        <v>43</v>
      </c>
      <c r="AA9">
        <v>5</v>
      </c>
      <c r="AB9">
        <v>130</v>
      </c>
      <c r="AC9">
        <v>73</v>
      </c>
      <c r="AD9" s="1">
        <v>85</v>
      </c>
      <c r="AE9" s="1">
        <v>77</v>
      </c>
      <c r="AF9">
        <v>4.33</v>
      </c>
    </row>
    <row r="10" spans="1:60" x14ac:dyDescent="0.2">
      <c r="A10" s="52">
        <v>2000</v>
      </c>
      <c r="B10" t="s">
        <v>55</v>
      </c>
      <c r="C10" t="s">
        <v>163</v>
      </c>
      <c r="D10">
        <v>624</v>
      </c>
      <c r="E10">
        <v>162</v>
      </c>
      <c r="F10">
        <v>6</v>
      </c>
      <c r="G10">
        <v>5</v>
      </c>
      <c r="H10">
        <v>156</v>
      </c>
      <c r="I10">
        <v>34</v>
      </c>
      <c r="J10">
        <v>1442.1</v>
      </c>
      <c r="K10">
        <v>6380</v>
      </c>
      <c r="L10">
        <v>1511</v>
      </c>
      <c r="M10" s="1">
        <v>816</v>
      </c>
      <c r="N10">
        <f t="shared" si="0"/>
        <v>1021</v>
      </c>
      <c r="O10">
        <v>288</v>
      </c>
      <c r="P10">
        <v>29</v>
      </c>
      <c r="Q10">
        <v>173</v>
      </c>
      <c r="R10">
        <v>775</v>
      </c>
      <c r="S10">
        <v>666</v>
      </c>
      <c r="T10">
        <v>45</v>
      </c>
      <c r="U10">
        <f t="shared" si="1"/>
        <v>4161</v>
      </c>
      <c r="V10">
        <v>1213</v>
      </c>
      <c r="W10">
        <v>34</v>
      </c>
      <c r="X10">
        <v>42</v>
      </c>
      <c r="Y10">
        <v>50</v>
      </c>
      <c r="Z10">
        <v>42</v>
      </c>
      <c r="AA10">
        <v>3</v>
      </c>
      <c r="AB10">
        <v>128</v>
      </c>
      <c r="AC10">
        <v>42</v>
      </c>
      <c r="AD10" s="1">
        <v>90</v>
      </c>
      <c r="AE10" s="1">
        <v>72</v>
      </c>
      <c r="AF10">
        <v>4.84</v>
      </c>
    </row>
    <row r="11" spans="1:60" x14ac:dyDescent="0.2">
      <c r="A11" s="52">
        <v>2000</v>
      </c>
      <c r="B11" t="s">
        <v>57</v>
      </c>
      <c r="C11" t="s">
        <v>38</v>
      </c>
      <c r="D11">
        <v>641</v>
      </c>
      <c r="E11">
        <v>162</v>
      </c>
      <c r="F11">
        <v>7</v>
      </c>
      <c r="G11">
        <v>2</v>
      </c>
      <c r="H11">
        <v>155</v>
      </c>
      <c r="I11">
        <v>33</v>
      </c>
      <c r="J11">
        <v>1430</v>
      </c>
      <c r="K11">
        <v>6340</v>
      </c>
      <c r="L11">
        <v>1568</v>
      </c>
      <c r="M11" s="1">
        <v>897</v>
      </c>
      <c r="N11">
        <f t="shared" si="0"/>
        <v>990</v>
      </c>
      <c r="O11">
        <v>319</v>
      </c>
      <c r="P11">
        <v>38</v>
      </c>
      <c r="Q11">
        <v>221</v>
      </c>
      <c r="R11">
        <v>836</v>
      </c>
      <c r="S11">
        <v>588</v>
      </c>
      <c r="T11">
        <v>72</v>
      </c>
      <c r="U11">
        <f t="shared" si="1"/>
        <v>4112</v>
      </c>
      <c r="V11">
        <v>1001</v>
      </c>
      <c r="W11">
        <v>53</v>
      </c>
      <c r="X11">
        <v>52</v>
      </c>
      <c r="Y11">
        <v>40</v>
      </c>
      <c r="Z11">
        <v>72</v>
      </c>
      <c r="AA11">
        <v>5</v>
      </c>
      <c r="AB11">
        <v>142</v>
      </c>
      <c r="AC11">
        <v>65</v>
      </c>
      <c r="AD11" s="1">
        <v>82</v>
      </c>
      <c r="AE11" s="1">
        <v>80</v>
      </c>
      <c r="AF11">
        <v>5.26</v>
      </c>
    </row>
    <row r="12" spans="1:60" x14ac:dyDescent="0.2">
      <c r="A12" s="52">
        <v>2000</v>
      </c>
      <c r="B12" t="s">
        <v>59</v>
      </c>
      <c r="C12" t="s">
        <v>163</v>
      </c>
      <c r="D12">
        <v>591</v>
      </c>
      <c r="E12">
        <v>162</v>
      </c>
      <c r="F12">
        <v>6</v>
      </c>
      <c r="G12">
        <v>6</v>
      </c>
      <c r="H12">
        <v>156</v>
      </c>
      <c r="I12">
        <v>44</v>
      </c>
      <c r="J12">
        <v>1443.1</v>
      </c>
      <c r="K12">
        <v>6295</v>
      </c>
      <c r="L12">
        <v>1583</v>
      </c>
      <c r="M12" s="1">
        <v>827</v>
      </c>
      <c r="N12">
        <f t="shared" si="0"/>
        <v>1059</v>
      </c>
      <c r="O12">
        <v>304</v>
      </c>
      <c r="P12">
        <v>43</v>
      </c>
      <c r="Q12">
        <v>177</v>
      </c>
      <c r="R12">
        <v>756</v>
      </c>
      <c r="S12">
        <v>496</v>
      </c>
      <c r="T12">
        <v>22</v>
      </c>
      <c r="U12">
        <f t="shared" si="1"/>
        <v>4169</v>
      </c>
      <c r="V12">
        <v>978</v>
      </c>
      <c r="W12">
        <v>33</v>
      </c>
      <c r="X12">
        <v>63</v>
      </c>
      <c r="Y12">
        <v>51</v>
      </c>
      <c r="Z12">
        <v>47</v>
      </c>
      <c r="AA12">
        <v>5</v>
      </c>
      <c r="AB12">
        <v>144</v>
      </c>
      <c r="AC12">
        <v>80</v>
      </c>
      <c r="AD12" s="1">
        <v>79</v>
      </c>
      <c r="AE12" s="1">
        <v>83</v>
      </c>
      <c r="AF12">
        <v>4.71</v>
      </c>
    </row>
    <row r="13" spans="1:60" x14ac:dyDescent="0.2">
      <c r="A13" s="52">
        <v>2000</v>
      </c>
      <c r="B13" t="s">
        <v>160</v>
      </c>
      <c r="C13" t="s">
        <v>38</v>
      </c>
      <c r="D13">
        <v>590</v>
      </c>
      <c r="E13">
        <v>161</v>
      </c>
      <c r="F13">
        <v>5</v>
      </c>
      <c r="G13">
        <v>4</v>
      </c>
      <c r="H13">
        <v>156</v>
      </c>
      <c r="I13">
        <v>48</v>
      </c>
      <c r="J13">
        <v>1429.2</v>
      </c>
      <c r="K13">
        <v>6307</v>
      </c>
      <c r="L13">
        <v>1477</v>
      </c>
      <c r="M13" s="1">
        <v>797</v>
      </c>
      <c r="N13">
        <f t="shared" si="0"/>
        <v>980</v>
      </c>
      <c r="O13">
        <v>284</v>
      </c>
      <c r="P13">
        <v>44</v>
      </c>
      <c r="Q13">
        <v>169</v>
      </c>
      <c r="R13">
        <v>729</v>
      </c>
      <c r="S13">
        <v>650</v>
      </c>
      <c r="T13">
        <v>56</v>
      </c>
      <c r="U13">
        <f t="shared" si="1"/>
        <v>4137</v>
      </c>
      <c r="V13">
        <v>1051</v>
      </c>
      <c r="W13">
        <v>68</v>
      </c>
      <c r="X13">
        <v>59</v>
      </c>
      <c r="Y13">
        <v>49</v>
      </c>
      <c r="Z13">
        <v>43</v>
      </c>
      <c r="AA13">
        <v>10</v>
      </c>
      <c r="AB13">
        <v>112</v>
      </c>
      <c r="AC13">
        <v>81</v>
      </c>
      <c r="AD13" s="1">
        <v>79</v>
      </c>
      <c r="AE13" s="1">
        <v>82</v>
      </c>
      <c r="AF13">
        <v>4.59</v>
      </c>
    </row>
    <row r="14" spans="1:60" x14ac:dyDescent="0.2">
      <c r="A14" s="52">
        <v>2000</v>
      </c>
      <c r="B14" t="s">
        <v>63</v>
      </c>
      <c r="C14" t="s">
        <v>38</v>
      </c>
      <c r="D14">
        <v>572</v>
      </c>
      <c r="E14">
        <v>162</v>
      </c>
      <c r="F14">
        <v>8</v>
      </c>
      <c r="G14">
        <v>2</v>
      </c>
      <c r="H14">
        <v>154</v>
      </c>
      <c r="I14">
        <v>30</v>
      </c>
      <c r="J14">
        <v>1437.2</v>
      </c>
      <c r="K14">
        <v>6455</v>
      </c>
      <c r="L14">
        <v>1596</v>
      </c>
      <c r="M14" s="1">
        <v>944</v>
      </c>
      <c r="N14">
        <f t="shared" si="0"/>
        <v>1005</v>
      </c>
      <c r="O14">
        <v>312</v>
      </c>
      <c r="P14">
        <v>45</v>
      </c>
      <c r="Q14">
        <v>234</v>
      </c>
      <c r="R14">
        <v>865</v>
      </c>
      <c r="S14">
        <v>598</v>
      </c>
      <c r="T14">
        <v>25</v>
      </c>
      <c r="U14">
        <f t="shared" si="1"/>
        <v>4201</v>
      </c>
      <c r="V14">
        <v>1064</v>
      </c>
      <c r="W14">
        <v>60</v>
      </c>
      <c r="X14">
        <v>64</v>
      </c>
      <c r="Y14">
        <v>55</v>
      </c>
      <c r="Z14">
        <v>60</v>
      </c>
      <c r="AA14">
        <v>3</v>
      </c>
      <c r="AB14">
        <v>123</v>
      </c>
      <c r="AC14">
        <v>93</v>
      </c>
      <c r="AD14" s="1">
        <v>72</v>
      </c>
      <c r="AE14" s="1">
        <v>90</v>
      </c>
      <c r="AF14">
        <v>5.42</v>
      </c>
    </row>
    <row r="15" spans="1:60" x14ac:dyDescent="0.2">
      <c r="A15" s="52">
        <v>2000</v>
      </c>
      <c r="B15" t="s">
        <v>164</v>
      </c>
      <c r="C15" t="s">
        <v>163</v>
      </c>
      <c r="D15">
        <v>491</v>
      </c>
      <c r="E15">
        <v>162</v>
      </c>
      <c r="F15">
        <v>10</v>
      </c>
      <c r="G15">
        <v>6</v>
      </c>
      <c r="H15">
        <v>152</v>
      </c>
      <c r="I15">
        <v>29</v>
      </c>
      <c r="J15">
        <v>1439.1</v>
      </c>
      <c r="K15">
        <v>6443</v>
      </c>
      <c r="L15">
        <v>1585</v>
      </c>
      <c r="M15" s="1">
        <v>930</v>
      </c>
      <c r="N15">
        <f t="shared" si="0"/>
        <v>1010</v>
      </c>
      <c r="O15">
        <v>309</v>
      </c>
      <c r="P15">
        <v>27</v>
      </c>
      <c r="Q15">
        <v>239</v>
      </c>
      <c r="R15">
        <v>876</v>
      </c>
      <c r="S15">
        <v>693</v>
      </c>
      <c r="T15">
        <v>35</v>
      </c>
      <c r="U15">
        <f t="shared" si="1"/>
        <v>4123</v>
      </c>
      <c r="V15">
        <v>927</v>
      </c>
      <c r="W15">
        <v>39</v>
      </c>
      <c r="X15">
        <v>45</v>
      </c>
      <c r="Y15">
        <v>77</v>
      </c>
      <c r="Z15">
        <v>42</v>
      </c>
      <c r="AA15">
        <v>5</v>
      </c>
      <c r="AB15">
        <v>159</v>
      </c>
      <c r="AC15">
        <v>67</v>
      </c>
      <c r="AD15" s="1">
        <v>77</v>
      </c>
      <c r="AE15" s="1">
        <v>85</v>
      </c>
      <c r="AF15">
        <v>5.48</v>
      </c>
    </row>
    <row r="16" spans="1:60" x14ac:dyDescent="0.2">
      <c r="A16" s="52">
        <v>2000</v>
      </c>
      <c r="B16" t="s">
        <v>159</v>
      </c>
      <c r="C16" t="s">
        <v>38</v>
      </c>
      <c r="D16">
        <v>533</v>
      </c>
      <c r="E16">
        <v>162</v>
      </c>
      <c r="F16">
        <v>9</v>
      </c>
      <c r="G16">
        <v>11</v>
      </c>
      <c r="H16">
        <v>153</v>
      </c>
      <c r="I16">
        <v>36</v>
      </c>
      <c r="J16">
        <v>1445</v>
      </c>
      <c r="K16">
        <v>6249</v>
      </c>
      <c r="L16">
        <v>1379</v>
      </c>
      <c r="M16" s="1">
        <v>729</v>
      </c>
      <c r="N16">
        <f t="shared" si="0"/>
        <v>901</v>
      </c>
      <c r="O16">
        <v>283</v>
      </c>
      <c r="P16">
        <v>19</v>
      </c>
      <c r="Q16">
        <v>176</v>
      </c>
      <c r="R16">
        <v>659</v>
      </c>
      <c r="S16">
        <v>600</v>
      </c>
      <c r="T16">
        <v>22</v>
      </c>
      <c r="U16">
        <f t="shared" si="1"/>
        <v>4195</v>
      </c>
      <c r="V16">
        <v>1154</v>
      </c>
      <c r="W16">
        <v>68</v>
      </c>
      <c r="X16">
        <v>30</v>
      </c>
      <c r="Y16">
        <v>60</v>
      </c>
      <c r="Z16">
        <v>75</v>
      </c>
      <c r="AA16">
        <v>6</v>
      </c>
      <c r="AB16">
        <v>125</v>
      </c>
      <c r="AC16">
        <v>90</v>
      </c>
      <c r="AD16" s="1">
        <v>86</v>
      </c>
      <c r="AE16" s="1">
        <v>76</v>
      </c>
      <c r="AF16">
        <v>4.0999999999999996</v>
      </c>
    </row>
    <row r="17" spans="1:32" x14ac:dyDescent="0.2">
      <c r="A17" s="52">
        <v>2000</v>
      </c>
      <c r="B17" t="s">
        <v>69</v>
      </c>
      <c r="C17" t="s">
        <v>38</v>
      </c>
      <c r="D17">
        <v>596</v>
      </c>
      <c r="E17">
        <v>163</v>
      </c>
      <c r="F17">
        <v>2</v>
      </c>
      <c r="G17">
        <v>7</v>
      </c>
      <c r="H17">
        <v>161</v>
      </c>
      <c r="I17">
        <v>29</v>
      </c>
      <c r="J17">
        <v>1466.1</v>
      </c>
      <c r="K17">
        <v>6497</v>
      </c>
      <c r="L17">
        <v>1501</v>
      </c>
      <c r="M17" s="1">
        <v>826</v>
      </c>
      <c r="N17">
        <f t="shared" si="0"/>
        <v>1040</v>
      </c>
      <c r="O17">
        <v>254</v>
      </c>
      <c r="P17">
        <v>33</v>
      </c>
      <c r="Q17">
        <v>174</v>
      </c>
      <c r="R17">
        <v>755</v>
      </c>
      <c r="S17">
        <v>728</v>
      </c>
      <c r="T17">
        <v>87</v>
      </c>
      <c r="U17">
        <f t="shared" si="1"/>
        <v>4203</v>
      </c>
      <c r="V17">
        <v>967</v>
      </c>
      <c r="W17">
        <v>67</v>
      </c>
      <c r="X17">
        <v>52</v>
      </c>
      <c r="Y17">
        <v>60</v>
      </c>
      <c r="Z17">
        <v>65</v>
      </c>
      <c r="AA17">
        <v>6</v>
      </c>
      <c r="AB17">
        <v>156</v>
      </c>
      <c r="AC17">
        <v>81</v>
      </c>
      <c r="AD17" s="1">
        <v>73</v>
      </c>
      <c r="AE17" s="1">
        <v>89</v>
      </c>
      <c r="AF17">
        <v>4.63</v>
      </c>
    </row>
    <row r="18" spans="1:32" x14ac:dyDescent="0.2">
      <c r="A18" s="52">
        <v>2000</v>
      </c>
      <c r="B18" t="s">
        <v>71</v>
      </c>
      <c r="C18" t="s">
        <v>163</v>
      </c>
      <c r="D18">
        <v>574</v>
      </c>
      <c r="E18">
        <v>162</v>
      </c>
      <c r="F18">
        <v>6</v>
      </c>
      <c r="G18">
        <v>4</v>
      </c>
      <c r="H18">
        <v>156</v>
      </c>
      <c r="I18">
        <v>35</v>
      </c>
      <c r="J18">
        <v>1432.2</v>
      </c>
      <c r="K18">
        <v>6336</v>
      </c>
      <c r="L18">
        <v>1634</v>
      </c>
      <c r="M18" s="1">
        <v>880</v>
      </c>
      <c r="N18">
        <f t="shared" si="0"/>
        <v>1070</v>
      </c>
      <c r="O18">
        <v>319</v>
      </c>
      <c r="P18">
        <v>33</v>
      </c>
      <c r="Q18">
        <v>212</v>
      </c>
      <c r="R18">
        <v>821</v>
      </c>
      <c r="S18">
        <v>516</v>
      </c>
      <c r="T18">
        <v>12</v>
      </c>
      <c r="U18">
        <f t="shared" si="1"/>
        <v>4151</v>
      </c>
      <c r="V18">
        <v>1042</v>
      </c>
      <c r="W18">
        <v>41</v>
      </c>
      <c r="X18">
        <v>46</v>
      </c>
      <c r="Y18">
        <v>68</v>
      </c>
      <c r="Z18">
        <v>35</v>
      </c>
      <c r="AA18">
        <v>4</v>
      </c>
      <c r="AB18">
        <v>121</v>
      </c>
      <c r="AC18">
        <v>63</v>
      </c>
      <c r="AD18" s="1">
        <v>69</v>
      </c>
      <c r="AE18" s="1">
        <v>93</v>
      </c>
      <c r="AF18">
        <v>5.16</v>
      </c>
    </row>
    <row r="19" spans="1:32" x14ac:dyDescent="0.2">
      <c r="A19" s="52">
        <v>2000</v>
      </c>
      <c r="B19" t="s">
        <v>73</v>
      </c>
      <c r="C19" t="s">
        <v>38</v>
      </c>
      <c r="D19">
        <v>614</v>
      </c>
      <c r="E19">
        <v>162</v>
      </c>
      <c r="F19">
        <v>4</v>
      </c>
      <c r="G19">
        <v>7</v>
      </c>
      <c r="H19">
        <v>158</v>
      </c>
      <c r="I19">
        <v>39</v>
      </c>
      <c r="J19">
        <v>1424.2</v>
      </c>
      <c r="K19">
        <v>6340</v>
      </c>
      <c r="L19">
        <v>1575</v>
      </c>
      <c r="M19" s="1">
        <v>902</v>
      </c>
      <c r="N19">
        <f t="shared" si="0"/>
        <v>1047</v>
      </c>
      <c r="O19">
        <v>309</v>
      </c>
      <c r="P19">
        <v>38</v>
      </c>
      <c r="Q19">
        <v>181</v>
      </c>
      <c r="R19">
        <v>813</v>
      </c>
      <c r="S19">
        <v>579</v>
      </c>
      <c r="T19">
        <v>40</v>
      </c>
      <c r="U19">
        <f t="shared" si="1"/>
        <v>4126</v>
      </c>
      <c r="V19">
        <v>1011</v>
      </c>
      <c r="W19">
        <v>66</v>
      </c>
      <c r="X19">
        <v>58</v>
      </c>
      <c r="Y19">
        <v>55</v>
      </c>
      <c r="Z19">
        <v>60</v>
      </c>
      <c r="AA19">
        <v>7</v>
      </c>
      <c r="AB19">
        <v>128</v>
      </c>
      <c r="AC19">
        <v>86</v>
      </c>
      <c r="AD19" s="1">
        <v>67</v>
      </c>
      <c r="AE19" s="1">
        <v>95</v>
      </c>
      <c r="AF19">
        <v>5.14</v>
      </c>
    </row>
    <row r="20" spans="1:32" x14ac:dyDescent="0.2">
      <c r="A20" s="52">
        <v>2000</v>
      </c>
      <c r="B20" t="s">
        <v>158</v>
      </c>
      <c r="C20" t="s">
        <v>38</v>
      </c>
      <c r="D20">
        <v>573</v>
      </c>
      <c r="E20">
        <v>162</v>
      </c>
      <c r="F20">
        <v>8</v>
      </c>
      <c r="G20">
        <v>10</v>
      </c>
      <c r="H20">
        <v>154</v>
      </c>
      <c r="I20">
        <v>49</v>
      </c>
      <c r="J20">
        <v>1450</v>
      </c>
      <c r="K20">
        <v>6276</v>
      </c>
      <c r="L20">
        <v>1398</v>
      </c>
      <c r="M20" s="1">
        <v>738</v>
      </c>
      <c r="N20">
        <f t="shared" si="0"/>
        <v>919</v>
      </c>
      <c r="O20">
        <v>286</v>
      </c>
      <c r="P20">
        <v>29</v>
      </c>
      <c r="Q20">
        <v>164</v>
      </c>
      <c r="R20">
        <v>670</v>
      </c>
      <c r="S20">
        <v>574</v>
      </c>
      <c r="T20">
        <v>42</v>
      </c>
      <c r="U20">
        <f t="shared" si="1"/>
        <v>4244</v>
      </c>
      <c r="V20">
        <v>1164</v>
      </c>
      <c r="W20">
        <v>56</v>
      </c>
      <c r="X20">
        <v>46</v>
      </c>
      <c r="Y20">
        <v>34</v>
      </c>
      <c r="Z20">
        <v>60</v>
      </c>
      <c r="AA20">
        <v>7</v>
      </c>
      <c r="AB20">
        <v>97</v>
      </c>
      <c r="AC20">
        <v>80</v>
      </c>
      <c r="AD20" s="1">
        <v>94</v>
      </c>
      <c r="AE20" s="1">
        <v>68</v>
      </c>
      <c r="AF20">
        <v>4.16</v>
      </c>
    </row>
    <row r="21" spans="1:32" x14ac:dyDescent="0.2">
      <c r="A21" s="52">
        <v>2000</v>
      </c>
      <c r="B21" t="s">
        <v>158</v>
      </c>
      <c r="C21" t="s">
        <v>163</v>
      </c>
      <c r="D21">
        <v>543</v>
      </c>
      <c r="E21">
        <v>161</v>
      </c>
      <c r="F21">
        <v>9</v>
      </c>
      <c r="G21">
        <v>6</v>
      </c>
      <c r="H21">
        <v>152</v>
      </c>
      <c r="I21">
        <v>40</v>
      </c>
      <c r="J21">
        <v>1424.1</v>
      </c>
      <c r="K21">
        <v>6256</v>
      </c>
      <c r="L21">
        <v>1458</v>
      </c>
      <c r="M21" s="1">
        <v>814</v>
      </c>
      <c r="N21">
        <f t="shared" si="0"/>
        <v>960</v>
      </c>
      <c r="O21">
        <v>296</v>
      </c>
      <c r="P21">
        <v>25</v>
      </c>
      <c r="Q21">
        <v>177</v>
      </c>
      <c r="R21">
        <v>753</v>
      </c>
      <c r="S21">
        <v>577</v>
      </c>
      <c r="T21">
        <v>23</v>
      </c>
      <c r="U21">
        <f t="shared" si="1"/>
        <v>4169</v>
      </c>
      <c r="V21">
        <v>1040</v>
      </c>
      <c r="W21">
        <v>45</v>
      </c>
      <c r="X21">
        <v>48</v>
      </c>
      <c r="Y21">
        <v>49</v>
      </c>
      <c r="Z21">
        <v>52</v>
      </c>
      <c r="AA21">
        <v>6</v>
      </c>
      <c r="AB21">
        <v>109</v>
      </c>
      <c r="AC21">
        <v>85</v>
      </c>
      <c r="AD21" s="1">
        <v>87</v>
      </c>
      <c r="AE21" s="1">
        <v>74</v>
      </c>
      <c r="AF21">
        <v>4.76</v>
      </c>
    </row>
    <row r="22" spans="1:32" x14ac:dyDescent="0.2">
      <c r="A22" s="52">
        <v>2000</v>
      </c>
      <c r="B22" t="s">
        <v>79</v>
      </c>
      <c r="C22" t="s">
        <v>163</v>
      </c>
      <c r="D22">
        <v>542</v>
      </c>
      <c r="E22">
        <v>161</v>
      </c>
      <c r="F22">
        <v>7</v>
      </c>
      <c r="G22">
        <v>11</v>
      </c>
      <c r="H22">
        <v>154</v>
      </c>
      <c r="I22">
        <v>43</v>
      </c>
      <c r="J22">
        <v>1435.1</v>
      </c>
      <c r="K22">
        <v>6355</v>
      </c>
      <c r="L22">
        <v>1535</v>
      </c>
      <c r="M22" s="1">
        <v>813</v>
      </c>
      <c r="N22">
        <f t="shared" si="0"/>
        <v>1043</v>
      </c>
      <c r="O22">
        <v>308</v>
      </c>
      <c r="P22">
        <v>26</v>
      </c>
      <c r="Q22">
        <v>158</v>
      </c>
      <c r="R22">
        <v>730</v>
      </c>
      <c r="S22">
        <v>615</v>
      </c>
      <c r="T22">
        <v>57</v>
      </c>
      <c r="U22">
        <f t="shared" si="1"/>
        <v>4157</v>
      </c>
      <c r="V22">
        <v>963</v>
      </c>
      <c r="W22">
        <v>35</v>
      </c>
      <c r="X22">
        <v>51</v>
      </c>
      <c r="Y22">
        <v>46</v>
      </c>
      <c r="Z22">
        <v>48</v>
      </c>
      <c r="AA22">
        <v>1</v>
      </c>
      <c r="AB22">
        <v>139</v>
      </c>
      <c r="AC22">
        <v>74</v>
      </c>
      <c r="AD22" s="1">
        <v>91</v>
      </c>
      <c r="AE22" s="1">
        <v>70</v>
      </c>
      <c r="AF22">
        <v>4.58</v>
      </c>
    </row>
    <row r="23" spans="1:32" x14ac:dyDescent="0.2">
      <c r="A23" s="52">
        <v>2000</v>
      </c>
      <c r="B23" t="s">
        <v>81</v>
      </c>
      <c r="C23" t="s">
        <v>38</v>
      </c>
      <c r="D23">
        <v>576</v>
      </c>
      <c r="E23">
        <v>162</v>
      </c>
      <c r="F23">
        <v>8</v>
      </c>
      <c r="G23">
        <v>6</v>
      </c>
      <c r="H23">
        <v>154</v>
      </c>
      <c r="I23">
        <v>34</v>
      </c>
      <c r="J23">
        <v>1438.2</v>
      </c>
      <c r="K23">
        <v>6314</v>
      </c>
      <c r="L23">
        <v>1458</v>
      </c>
      <c r="M23" s="1">
        <v>830</v>
      </c>
      <c r="N23">
        <f t="shared" si="0"/>
        <v>887</v>
      </c>
      <c r="O23">
        <v>337</v>
      </c>
      <c r="P23">
        <v>33</v>
      </c>
      <c r="Q23">
        <v>201</v>
      </c>
      <c r="R23">
        <v>763</v>
      </c>
      <c r="S23">
        <v>640</v>
      </c>
      <c r="T23">
        <v>32</v>
      </c>
      <c r="U23">
        <f t="shared" si="1"/>
        <v>4174</v>
      </c>
      <c r="V23">
        <v>1123</v>
      </c>
      <c r="W23">
        <v>74</v>
      </c>
      <c r="X23">
        <v>53</v>
      </c>
      <c r="Y23">
        <v>54</v>
      </c>
      <c r="Z23">
        <v>42</v>
      </c>
      <c r="AA23">
        <v>3</v>
      </c>
      <c r="AB23">
        <v>111</v>
      </c>
      <c r="AC23">
        <v>67</v>
      </c>
      <c r="AD23" s="1">
        <v>65</v>
      </c>
      <c r="AE23" s="1">
        <v>97</v>
      </c>
      <c r="AF23">
        <v>4.7699999999999996</v>
      </c>
    </row>
    <row r="24" spans="1:32" x14ac:dyDescent="0.2">
      <c r="A24" s="52">
        <v>2000</v>
      </c>
      <c r="B24" t="s">
        <v>83</v>
      </c>
      <c r="C24" t="s">
        <v>38</v>
      </c>
      <c r="D24">
        <v>628</v>
      </c>
      <c r="E24">
        <v>162</v>
      </c>
      <c r="F24">
        <v>5</v>
      </c>
      <c r="G24">
        <v>7</v>
      </c>
      <c r="H24">
        <v>157</v>
      </c>
      <c r="I24">
        <v>27</v>
      </c>
      <c r="J24">
        <v>1449</v>
      </c>
      <c r="K24">
        <v>6514</v>
      </c>
      <c r="L24">
        <v>1554</v>
      </c>
      <c r="M24" s="1">
        <v>888</v>
      </c>
      <c r="N24">
        <f t="shared" si="0"/>
        <v>1043</v>
      </c>
      <c r="O24">
        <v>313</v>
      </c>
      <c r="P24">
        <v>35</v>
      </c>
      <c r="Q24">
        <v>163</v>
      </c>
      <c r="R24">
        <v>795</v>
      </c>
      <c r="S24">
        <v>711</v>
      </c>
      <c r="T24">
        <v>61</v>
      </c>
      <c r="U24">
        <f t="shared" si="1"/>
        <v>4189</v>
      </c>
      <c r="V24">
        <v>1070</v>
      </c>
      <c r="W24">
        <v>70</v>
      </c>
      <c r="X24">
        <v>55</v>
      </c>
      <c r="Y24">
        <v>67</v>
      </c>
      <c r="Z24">
        <v>60</v>
      </c>
      <c r="AA24">
        <v>6</v>
      </c>
      <c r="AB24">
        <v>146</v>
      </c>
      <c r="AC24">
        <v>91</v>
      </c>
      <c r="AD24" s="1">
        <v>69</v>
      </c>
      <c r="AE24" s="1">
        <v>93</v>
      </c>
      <c r="AF24">
        <v>4.9400000000000004</v>
      </c>
    </row>
    <row r="25" spans="1:32" x14ac:dyDescent="0.2">
      <c r="A25" s="52">
        <v>2000</v>
      </c>
      <c r="B25" t="s">
        <v>161</v>
      </c>
      <c r="C25" t="s">
        <v>38</v>
      </c>
      <c r="D25">
        <v>605</v>
      </c>
      <c r="E25">
        <v>162</v>
      </c>
      <c r="F25">
        <v>5</v>
      </c>
      <c r="G25">
        <v>5</v>
      </c>
      <c r="H25">
        <v>157</v>
      </c>
      <c r="I25">
        <v>46</v>
      </c>
      <c r="J25">
        <v>1459.1</v>
      </c>
      <c r="K25">
        <v>6414</v>
      </c>
      <c r="L25">
        <v>1443</v>
      </c>
      <c r="M25" s="1">
        <v>815</v>
      </c>
      <c r="N25">
        <f t="shared" si="0"/>
        <v>965</v>
      </c>
      <c r="O25">
        <v>260</v>
      </c>
      <c r="P25">
        <v>27</v>
      </c>
      <c r="Q25">
        <v>191</v>
      </c>
      <c r="R25">
        <v>733</v>
      </c>
      <c r="S25">
        <v>649</v>
      </c>
      <c r="T25">
        <v>50</v>
      </c>
      <c r="U25">
        <f t="shared" si="1"/>
        <v>4254</v>
      </c>
      <c r="V25">
        <v>1071</v>
      </c>
      <c r="W25">
        <v>59</v>
      </c>
      <c r="X25">
        <v>41</v>
      </c>
      <c r="Y25">
        <v>66</v>
      </c>
      <c r="Z25">
        <v>68</v>
      </c>
      <c r="AA25">
        <v>7</v>
      </c>
      <c r="AB25">
        <v>124</v>
      </c>
      <c r="AC25">
        <v>108</v>
      </c>
      <c r="AD25" s="1">
        <v>76</v>
      </c>
      <c r="AE25" s="1">
        <v>86</v>
      </c>
      <c r="AF25">
        <v>4.5199999999999996</v>
      </c>
    </row>
    <row r="26" spans="1:32" x14ac:dyDescent="0.2">
      <c r="A26" s="52">
        <v>2000</v>
      </c>
      <c r="B26" t="s">
        <v>87</v>
      </c>
      <c r="C26" t="s">
        <v>163</v>
      </c>
      <c r="D26">
        <v>545</v>
      </c>
      <c r="E26">
        <v>162</v>
      </c>
      <c r="F26">
        <v>4</v>
      </c>
      <c r="G26">
        <v>10</v>
      </c>
      <c r="H26">
        <v>158</v>
      </c>
      <c r="I26">
        <v>44</v>
      </c>
      <c r="J26">
        <v>1441.2</v>
      </c>
      <c r="K26">
        <v>6269</v>
      </c>
      <c r="L26">
        <v>1442</v>
      </c>
      <c r="M26" s="1">
        <v>780</v>
      </c>
      <c r="N26">
        <f t="shared" si="0"/>
        <v>957</v>
      </c>
      <c r="O26">
        <v>292</v>
      </c>
      <c r="P26">
        <v>26</v>
      </c>
      <c r="Q26">
        <v>167</v>
      </c>
      <c r="R26">
        <v>720</v>
      </c>
      <c r="S26">
        <v>634</v>
      </c>
      <c r="T26">
        <v>37</v>
      </c>
      <c r="U26">
        <f t="shared" si="1"/>
        <v>4155</v>
      </c>
      <c r="V26">
        <v>998</v>
      </c>
      <c r="W26">
        <v>39</v>
      </c>
      <c r="X26">
        <v>55</v>
      </c>
      <c r="Y26">
        <v>43</v>
      </c>
      <c r="Z26">
        <v>38</v>
      </c>
      <c r="AA26">
        <v>6</v>
      </c>
      <c r="AB26">
        <v>154</v>
      </c>
      <c r="AC26">
        <v>64</v>
      </c>
      <c r="AD26" s="1">
        <v>91</v>
      </c>
      <c r="AE26" s="1">
        <v>71</v>
      </c>
      <c r="AF26">
        <v>4.49</v>
      </c>
    </row>
    <row r="27" spans="1:32" x14ac:dyDescent="0.2">
      <c r="A27" s="52">
        <v>2000</v>
      </c>
      <c r="B27" t="s">
        <v>21</v>
      </c>
      <c r="C27" t="s">
        <v>38</v>
      </c>
      <c r="D27">
        <v>546</v>
      </c>
      <c r="E27">
        <v>162</v>
      </c>
      <c r="F27">
        <v>9</v>
      </c>
      <c r="G27">
        <v>15</v>
      </c>
      <c r="H27">
        <v>153</v>
      </c>
      <c r="I27">
        <v>47</v>
      </c>
      <c r="J27">
        <v>1444.1</v>
      </c>
      <c r="K27">
        <v>6270</v>
      </c>
      <c r="L27">
        <v>1452</v>
      </c>
      <c r="M27" s="1">
        <v>747</v>
      </c>
      <c r="N27">
        <f t="shared" si="0"/>
        <v>997</v>
      </c>
      <c r="O27">
        <v>265</v>
      </c>
      <c r="P27">
        <v>39</v>
      </c>
      <c r="Q27">
        <v>151</v>
      </c>
      <c r="R27">
        <v>675</v>
      </c>
      <c r="S27">
        <v>623</v>
      </c>
      <c r="T27">
        <v>26</v>
      </c>
      <c r="U27">
        <f t="shared" si="1"/>
        <v>4154</v>
      </c>
      <c r="V27">
        <v>1076</v>
      </c>
      <c r="W27">
        <v>85</v>
      </c>
      <c r="X27">
        <v>63</v>
      </c>
      <c r="Y27">
        <v>43</v>
      </c>
      <c r="Z27">
        <v>41</v>
      </c>
      <c r="AA27">
        <v>4</v>
      </c>
      <c r="AB27">
        <v>138</v>
      </c>
      <c r="AC27">
        <v>58</v>
      </c>
      <c r="AD27" s="1">
        <v>97</v>
      </c>
      <c r="AE27" s="1">
        <v>65</v>
      </c>
      <c r="AF27">
        <v>4.21</v>
      </c>
    </row>
    <row r="28" spans="1:32" x14ac:dyDescent="0.2">
      <c r="A28" s="52">
        <v>2000</v>
      </c>
      <c r="B28" t="s">
        <v>156</v>
      </c>
      <c r="C28" t="s">
        <v>38</v>
      </c>
      <c r="D28">
        <v>548</v>
      </c>
      <c r="E28">
        <v>162</v>
      </c>
      <c r="F28">
        <v>10</v>
      </c>
      <c r="G28">
        <v>7</v>
      </c>
      <c r="H28">
        <v>152</v>
      </c>
      <c r="I28">
        <v>37</v>
      </c>
      <c r="J28">
        <v>1433.2</v>
      </c>
      <c r="K28">
        <v>6200</v>
      </c>
      <c r="L28">
        <v>1403</v>
      </c>
      <c r="M28" s="1">
        <v>771</v>
      </c>
      <c r="N28">
        <f t="shared" si="0"/>
        <v>880</v>
      </c>
      <c r="O28">
        <v>299</v>
      </c>
      <c r="P28">
        <v>28</v>
      </c>
      <c r="Q28">
        <v>196</v>
      </c>
      <c r="R28">
        <v>698</v>
      </c>
      <c r="S28">
        <v>606</v>
      </c>
      <c r="T28">
        <v>28</v>
      </c>
      <c r="U28">
        <f t="shared" si="1"/>
        <v>4129</v>
      </c>
      <c r="V28">
        <v>1100</v>
      </c>
      <c r="W28">
        <v>69</v>
      </c>
      <c r="X28">
        <v>52</v>
      </c>
      <c r="Y28">
        <v>49</v>
      </c>
      <c r="Z28">
        <v>62</v>
      </c>
      <c r="AA28">
        <v>9</v>
      </c>
      <c r="AB28">
        <v>120</v>
      </c>
      <c r="AC28">
        <v>63</v>
      </c>
      <c r="AD28" s="1">
        <v>95</v>
      </c>
      <c r="AE28" s="1">
        <v>67</v>
      </c>
      <c r="AF28">
        <v>4.38</v>
      </c>
    </row>
    <row r="29" spans="1:32" x14ac:dyDescent="0.2">
      <c r="A29" s="52">
        <v>2000</v>
      </c>
      <c r="B29" t="s">
        <v>165</v>
      </c>
      <c r="C29" t="s">
        <v>163</v>
      </c>
      <c r="D29">
        <v>562</v>
      </c>
      <c r="E29">
        <v>161</v>
      </c>
      <c r="F29">
        <v>10</v>
      </c>
      <c r="G29">
        <v>8</v>
      </c>
      <c r="H29">
        <v>151</v>
      </c>
      <c r="I29">
        <v>38</v>
      </c>
      <c r="J29">
        <v>1431.1</v>
      </c>
      <c r="K29">
        <v>6283</v>
      </c>
      <c r="L29">
        <v>1553</v>
      </c>
      <c r="M29" s="1">
        <v>842</v>
      </c>
      <c r="N29">
        <f t="shared" si="0"/>
        <v>1012</v>
      </c>
      <c r="O29">
        <v>307</v>
      </c>
      <c r="P29">
        <v>36</v>
      </c>
      <c r="Q29">
        <v>198</v>
      </c>
      <c r="R29">
        <v>773</v>
      </c>
      <c r="S29">
        <v>533</v>
      </c>
      <c r="T29">
        <v>33</v>
      </c>
      <c r="U29">
        <f t="shared" si="1"/>
        <v>4131</v>
      </c>
      <c r="V29">
        <v>955</v>
      </c>
      <c r="W29">
        <v>42</v>
      </c>
      <c r="X29">
        <v>45</v>
      </c>
      <c r="Y29">
        <v>57</v>
      </c>
      <c r="Z29">
        <v>66</v>
      </c>
      <c r="AA29">
        <v>3</v>
      </c>
      <c r="AB29">
        <v>136</v>
      </c>
      <c r="AC29">
        <v>80</v>
      </c>
      <c r="AD29" s="1">
        <v>69</v>
      </c>
      <c r="AE29" s="1">
        <v>92</v>
      </c>
      <c r="AF29">
        <v>4.8600000000000003</v>
      </c>
    </row>
    <row r="30" spans="1:32" x14ac:dyDescent="0.2">
      <c r="A30" s="52">
        <v>2000</v>
      </c>
      <c r="B30" t="s">
        <v>95</v>
      </c>
      <c r="C30" t="s">
        <v>163</v>
      </c>
      <c r="D30">
        <v>577</v>
      </c>
      <c r="E30">
        <v>162</v>
      </c>
      <c r="F30">
        <v>3</v>
      </c>
      <c r="G30">
        <v>4</v>
      </c>
      <c r="H30">
        <v>159</v>
      </c>
      <c r="I30">
        <v>39</v>
      </c>
      <c r="J30">
        <v>1429</v>
      </c>
      <c r="K30">
        <v>6559</v>
      </c>
      <c r="L30">
        <v>1683</v>
      </c>
      <c r="M30" s="1">
        <v>974</v>
      </c>
      <c r="N30">
        <f t="shared" si="0"/>
        <v>1080</v>
      </c>
      <c r="O30">
        <v>367</v>
      </c>
      <c r="P30">
        <v>34</v>
      </c>
      <c r="Q30">
        <v>202</v>
      </c>
      <c r="R30">
        <v>876</v>
      </c>
      <c r="S30">
        <v>661</v>
      </c>
      <c r="T30">
        <v>40</v>
      </c>
      <c r="U30">
        <f t="shared" si="1"/>
        <v>4152</v>
      </c>
      <c r="V30">
        <v>918</v>
      </c>
      <c r="W30">
        <v>42</v>
      </c>
      <c r="X30">
        <v>62</v>
      </c>
      <c r="Y30">
        <v>40</v>
      </c>
      <c r="Z30">
        <v>63</v>
      </c>
      <c r="AA30">
        <v>6</v>
      </c>
      <c r="AB30">
        <v>132</v>
      </c>
      <c r="AC30">
        <v>91</v>
      </c>
      <c r="AD30" s="1">
        <v>71</v>
      </c>
      <c r="AE30" s="1">
        <v>91</v>
      </c>
      <c r="AF30">
        <v>5.52</v>
      </c>
    </row>
    <row r="31" spans="1:32" x14ac:dyDescent="0.2">
      <c r="A31" s="52">
        <v>2000</v>
      </c>
      <c r="B31" t="s">
        <v>97</v>
      </c>
      <c r="C31" t="s">
        <v>163</v>
      </c>
      <c r="D31">
        <v>550</v>
      </c>
      <c r="E31">
        <v>162</v>
      </c>
      <c r="F31">
        <v>15</v>
      </c>
      <c r="G31">
        <v>4</v>
      </c>
      <c r="H31">
        <v>147</v>
      </c>
      <c r="I31">
        <v>37</v>
      </c>
      <c r="J31">
        <v>1437.1</v>
      </c>
      <c r="K31">
        <v>6377</v>
      </c>
      <c r="L31">
        <v>1615</v>
      </c>
      <c r="M31" s="1">
        <v>908</v>
      </c>
      <c r="N31">
        <f t="shared" si="0"/>
        <v>1059</v>
      </c>
      <c r="O31">
        <v>338</v>
      </c>
      <c r="P31">
        <v>23</v>
      </c>
      <c r="Q31">
        <v>195</v>
      </c>
      <c r="R31">
        <v>823</v>
      </c>
      <c r="S31">
        <v>560</v>
      </c>
      <c r="T31">
        <v>19</v>
      </c>
      <c r="U31">
        <f t="shared" si="1"/>
        <v>4138</v>
      </c>
      <c r="V31">
        <v>978</v>
      </c>
      <c r="W31">
        <v>44</v>
      </c>
      <c r="X31">
        <v>40</v>
      </c>
      <c r="Y31">
        <v>37</v>
      </c>
      <c r="Z31">
        <v>64</v>
      </c>
      <c r="AA31">
        <v>3</v>
      </c>
      <c r="AB31">
        <v>142</v>
      </c>
      <c r="AC31">
        <v>66</v>
      </c>
      <c r="AD31" s="1">
        <v>83</v>
      </c>
      <c r="AE31" s="1">
        <v>79</v>
      </c>
      <c r="AF31">
        <v>5.15</v>
      </c>
    </row>
    <row r="32" spans="1:32" x14ac:dyDescent="0.2">
      <c r="A32" s="52">
        <v>2001</v>
      </c>
      <c r="B32" t="s">
        <v>37</v>
      </c>
      <c r="C32" t="s">
        <v>163</v>
      </c>
      <c r="D32">
        <v>546</v>
      </c>
      <c r="E32">
        <v>162</v>
      </c>
      <c r="F32">
        <v>6</v>
      </c>
      <c r="G32">
        <v>1</v>
      </c>
      <c r="H32">
        <v>156</v>
      </c>
      <c r="I32">
        <v>43</v>
      </c>
      <c r="J32">
        <v>1437.2</v>
      </c>
      <c r="K32">
        <v>6195</v>
      </c>
      <c r="L32">
        <v>1452</v>
      </c>
      <c r="M32" s="1">
        <v>730</v>
      </c>
      <c r="N32">
        <f t="shared" si="0"/>
        <v>980</v>
      </c>
      <c r="O32">
        <v>285</v>
      </c>
      <c r="P32">
        <v>19</v>
      </c>
      <c r="Q32">
        <v>168</v>
      </c>
      <c r="R32">
        <v>671</v>
      </c>
      <c r="S32">
        <v>525</v>
      </c>
      <c r="T32">
        <v>47</v>
      </c>
      <c r="U32">
        <f t="shared" si="1"/>
        <v>4154</v>
      </c>
      <c r="V32">
        <v>947</v>
      </c>
      <c r="W32">
        <v>37</v>
      </c>
      <c r="X32">
        <v>39</v>
      </c>
      <c r="Y32">
        <v>46</v>
      </c>
      <c r="Z32">
        <v>64</v>
      </c>
      <c r="AA32">
        <v>2</v>
      </c>
      <c r="AB32">
        <v>112</v>
      </c>
      <c r="AC32">
        <v>76</v>
      </c>
      <c r="AD32" s="1">
        <v>75</v>
      </c>
      <c r="AE32" s="1">
        <v>87</v>
      </c>
      <c r="AF32">
        <v>4.2</v>
      </c>
    </row>
    <row r="33" spans="1:32" x14ac:dyDescent="0.2">
      <c r="A33" s="52">
        <v>2001</v>
      </c>
      <c r="B33" t="s">
        <v>40</v>
      </c>
      <c r="C33" t="s">
        <v>38</v>
      </c>
      <c r="D33">
        <v>583</v>
      </c>
      <c r="E33">
        <v>162</v>
      </c>
      <c r="F33">
        <v>12</v>
      </c>
      <c r="G33">
        <v>13</v>
      </c>
      <c r="H33">
        <v>150</v>
      </c>
      <c r="I33">
        <v>34</v>
      </c>
      <c r="J33">
        <v>1459.2</v>
      </c>
      <c r="K33">
        <v>6090</v>
      </c>
      <c r="L33">
        <v>1352</v>
      </c>
      <c r="M33" s="1">
        <v>677</v>
      </c>
      <c r="N33">
        <f t="shared" si="0"/>
        <v>907</v>
      </c>
      <c r="O33">
        <v>228</v>
      </c>
      <c r="P33">
        <v>22</v>
      </c>
      <c r="Q33">
        <v>195</v>
      </c>
      <c r="R33">
        <v>627</v>
      </c>
      <c r="S33">
        <v>461</v>
      </c>
      <c r="T33">
        <v>30</v>
      </c>
      <c r="U33">
        <f t="shared" si="1"/>
        <v>4218</v>
      </c>
      <c r="V33">
        <v>1297</v>
      </c>
      <c r="W33">
        <v>64</v>
      </c>
      <c r="X33">
        <v>41</v>
      </c>
      <c r="Y33">
        <v>45</v>
      </c>
      <c r="Z33">
        <v>59</v>
      </c>
      <c r="AA33">
        <v>6</v>
      </c>
      <c r="AB33">
        <v>120</v>
      </c>
      <c r="AC33">
        <v>62</v>
      </c>
      <c r="AD33" s="1">
        <v>92</v>
      </c>
      <c r="AE33" s="1">
        <v>70</v>
      </c>
      <c r="AF33">
        <v>3.87</v>
      </c>
    </row>
    <row r="34" spans="1:32" x14ac:dyDescent="0.2">
      <c r="A34" s="52">
        <v>2001</v>
      </c>
      <c r="B34" s="53" t="s">
        <v>42</v>
      </c>
      <c r="C34" t="s">
        <v>38</v>
      </c>
      <c r="D34">
        <v>573</v>
      </c>
      <c r="E34">
        <v>162</v>
      </c>
      <c r="F34">
        <v>5</v>
      </c>
      <c r="G34">
        <v>13</v>
      </c>
      <c r="H34">
        <v>157</v>
      </c>
      <c r="I34">
        <v>41</v>
      </c>
      <c r="J34">
        <v>1447.1</v>
      </c>
      <c r="K34">
        <v>6089</v>
      </c>
      <c r="L34">
        <v>1363</v>
      </c>
      <c r="M34" s="1">
        <v>643</v>
      </c>
      <c r="N34">
        <f t="shared" si="0"/>
        <v>960</v>
      </c>
      <c r="O34">
        <v>228</v>
      </c>
      <c r="P34">
        <v>22</v>
      </c>
      <c r="Q34">
        <v>153</v>
      </c>
      <c r="R34">
        <v>578</v>
      </c>
      <c r="S34">
        <v>499</v>
      </c>
      <c r="T34">
        <v>77</v>
      </c>
      <c r="U34">
        <f t="shared" si="1"/>
        <v>4194</v>
      </c>
      <c r="V34">
        <v>1133</v>
      </c>
      <c r="W34">
        <v>53</v>
      </c>
      <c r="X34">
        <v>54</v>
      </c>
      <c r="Y34">
        <v>41</v>
      </c>
      <c r="Z34">
        <v>33</v>
      </c>
      <c r="AA34">
        <v>8</v>
      </c>
      <c r="AB34">
        <v>107</v>
      </c>
      <c r="AC34">
        <v>65</v>
      </c>
      <c r="AD34" s="1">
        <v>88</v>
      </c>
      <c r="AE34" s="1">
        <v>74</v>
      </c>
      <c r="AF34">
        <v>3.59</v>
      </c>
    </row>
    <row r="35" spans="1:32" x14ac:dyDescent="0.2">
      <c r="A35" s="52">
        <v>2001</v>
      </c>
      <c r="B35" t="s">
        <v>45</v>
      </c>
      <c r="C35" t="s">
        <v>163</v>
      </c>
      <c r="D35">
        <v>554</v>
      </c>
      <c r="E35">
        <v>162</v>
      </c>
      <c r="F35">
        <v>10</v>
      </c>
      <c r="G35">
        <v>6</v>
      </c>
      <c r="H35">
        <v>152</v>
      </c>
      <c r="I35">
        <v>31</v>
      </c>
      <c r="J35">
        <v>1432.1</v>
      </c>
      <c r="K35">
        <v>6273</v>
      </c>
      <c r="L35">
        <v>1504</v>
      </c>
      <c r="M35" s="1">
        <v>829</v>
      </c>
      <c r="N35">
        <f t="shared" si="0"/>
        <v>965</v>
      </c>
      <c r="O35">
        <v>316</v>
      </c>
      <c r="P35">
        <v>29</v>
      </c>
      <c r="Q35">
        <v>194</v>
      </c>
      <c r="R35">
        <v>744</v>
      </c>
      <c r="S35">
        <v>528</v>
      </c>
      <c r="T35">
        <v>28</v>
      </c>
      <c r="U35">
        <f t="shared" si="1"/>
        <v>4167</v>
      </c>
      <c r="V35">
        <v>938</v>
      </c>
      <c r="W35">
        <v>31</v>
      </c>
      <c r="X35">
        <v>41</v>
      </c>
      <c r="Y35">
        <v>37</v>
      </c>
      <c r="Z35">
        <v>74</v>
      </c>
      <c r="AA35">
        <v>5</v>
      </c>
      <c r="AB35">
        <v>110</v>
      </c>
      <c r="AC35">
        <v>83</v>
      </c>
      <c r="AD35" s="1">
        <v>63</v>
      </c>
      <c r="AE35" s="1">
        <v>98</v>
      </c>
      <c r="AF35">
        <v>4.67</v>
      </c>
    </row>
    <row r="36" spans="1:32" x14ac:dyDescent="0.2">
      <c r="A36" s="52">
        <v>2001</v>
      </c>
      <c r="B36" t="s">
        <v>47</v>
      </c>
      <c r="C36" t="s">
        <v>163</v>
      </c>
      <c r="D36">
        <v>585</v>
      </c>
      <c r="E36">
        <v>161</v>
      </c>
      <c r="F36">
        <v>3</v>
      </c>
      <c r="G36">
        <v>9</v>
      </c>
      <c r="H36">
        <v>158</v>
      </c>
      <c r="I36">
        <v>48</v>
      </c>
      <c r="J36">
        <v>1448</v>
      </c>
      <c r="K36">
        <v>6272</v>
      </c>
      <c r="L36">
        <v>1412</v>
      </c>
      <c r="M36" s="1">
        <v>745</v>
      </c>
      <c r="N36">
        <f t="shared" si="0"/>
        <v>959</v>
      </c>
      <c r="O36">
        <v>280</v>
      </c>
      <c r="P36">
        <v>27</v>
      </c>
      <c r="Q36">
        <v>146</v>
      </c>
      <c r="R36">
        <v>667</v>
      </c>
      <c r="S36">
        <v>544</v>
      </c>
      <c r="T36">
        <v>50</v>
      </c>
      <c r="U36">
        <f t="shared" si="1"/>
        <v>4223</v>
      </c>
      <c r="V36">
        <v>1259</v>
      </c>
      <c r="W36">
        <v>39</v>
      </c>
      <c r="X36">
        <v>45</v>
      </c>
      <c r="Y36">
        <v>54</v>
      </c>
      <c r="Z36">
        <v>93</v>
      </c>
      <c r="AA36">
        <v>7</v>
      </c>
      <c r="AB36">
        <v>101</v>
      </c>
      <c r="AC36">
        <v>79</v>
      </c>
      <c r="AD36" s="1">
        <v>82</v>
      </c>
      <c r="AE36" s="1">
        <v>79</v>
      </c>
      <c r="AF36">
        <v>4.1500000000000004</v>
      </c>
    </row>
    <row r="37" spans="1:32" x14ac:dyDescent="0.2">
      <c r="A37" s="52">
        <v>2001</v>
      </c>
      <c r="B37" t="s">
        <v>157</v>
      </c>
      <c r="C37" t="s">
        <v>38</v>
      </c>
      <c r="D37">
        <v>614</v>
      </c>
      <c r="E37">
        <v>162</v>
      </c>
      <c r="F37">
        <v>8</v>
      </c>
      <c r="G37">
        <v>6</v>
      </c>
      <c r="H37">
        <v>154</v>
      </c>
      <c r="I37">
        <v>41</v>
      </c>
      <c r="J37">
        <v>1437</v>
      </c>
      <c r="K37">
        <v>6159</v>
      </c>
      <c r="L37">
        <v>1357</v>
      </c>
      <c r="M37" s="1">
        <v>701</v>
      </c>
      <c r="N37">
        <f t="shared" si="0"/>
        <v>892</v>
      </c>
      <c r="O37">
        <v>276</v>
      </c>
      <c r="P37">
        <v>25</v>
      </c>
      <c r="Q37">
        <v>164</v>
      </c>
      <c r="R37">
        <v>643</v>
      </c>
      <c r="S37">
        <v>550</v>
      </c>
      <c r="T37">
        <v>43</v>
      </c>
      <c r="U37">
        <f t="shared" si="1"/>
        <v>4202</v>
      </c>
      <c r="V37">
        <v>1344</v>
      </c>
      <c r="W37">
        <v>60</v>
      </c>
      <c r="X37">
        <v>41</v>
      </c>
      <c r="Y37">
        <v>48</v>
      </c>
      <c r="Z37">
        <v>50</v>
      </c>
      <c r="AA37">
        <v>5</v>
      </c>
      <c r="AB37">
        <v>91</v>
      </c>
      <c r="AC37">
        <v>77</v>
      </c>
      <c r="AD37" s="1">
        <v>88</v>
      </c>
      <c r="AE37" s="1">
        <v>74</v>
      </c>
      <c r="AF37">
        <v>4.03</v>
      </c>
    </row>
    <row r="38" spans="1:32" x14ac:dyDescent="0.2">
      <c r="A38" s="52">
        <v>2001</v>
      </c>
      <c r="B38" t="s">
        <v>157</v>
      </c>
      <c r="C38" t="s">
        <v>163</v>
      </c>
      <c r="D38">
        <v>568</v>
      </c>
      <c r="E38">
        <v>162</v>
      </c>
      <c r="F38">
        <v>8</v>
      </c>
      <c r="G38">
        <v>7</v>
      </c>
      <c r="H38">
        <v>154</v>
      </c>
      <c r="I38">
        <v>51</v>
      </c>
      <c r="J38">
        <v>1433.1</v>
      </c>
      <c r="K38">
        <v>6200</v>
      </c>
      <c r="L38">
        <v>1465</v>
      </c>
      <c r="M38" s="1">
        <v>795</v>
      </c>
      <c r="N38">
        <f t="shared" si="0"/>
        <v>968</v>
      </c>
      <c r="O38">
        <v>289</v>
      </c>
      <c r="P38">
        <v>27</v>
      </c>
      <c r="Q38">
        <v>181</v>
      </c>
      <c r="R38">
        <v>725</v>
      </c>
      <c r="S38">
        <v>500</v>
      </c>
      <c r="T38">
        <v>38</v>
      </c>
      <c r="U38">
        <f t="shared" si="1"/>
        <v>4147</v>
      </c>
      <c r="V38">
        <v>921</v>
      </c>
      <c r="W38">
        <v>48</v>
      </c>
      <c r="X38">
        <v>56</v>
      </c>
      <c r="Y38">
        <v>57</v>
      </c>
      <c r="Z38">
        <v>88</v>
      </c>
      <c r="AA38">
        <v>5</v>
      </c>
      <c r="AB38">
        <v>130</v>
      </c>
      <c r="AC38">
        <v>81</v>
      </c>
      <c r="AD38" s="1">
        <v>83</v>
      </c>
      <c r="AE38" s="1">
        <v>79</v>
      </c>
      <c r="AF38">
        <v>4.55</v>
      </c>
    </row>
    <row r="39" spans="1:32" x14ac:dyDescent="0.2">
      <c r="A39" s="52">
        <v>2001</v>
      </c>
      <c r="B39" t="s">
        <v>53</v>
      </c>
      <c r="C39" t="s">
        <v>38</v>
      </c>
      <c r="D39">
        <v>623</v>
      </c>
      <c r="E39">
        <v>162</v>
      </c>
      <c r="F39">
        <v>2</v>
      </c>
      <c r="G39">
        <v>2</v>
      </c>
      <c r="H39">
        <v>160</v>
      </c>
      <c r="I39">
        <v>35</v>
      </c>
      <c r="J39">
        <v>1442.2</v>
      </c>
      <c r="K39">
        <v>6324</v>
      </c>
      <c r="L39">
        <v>1572</v>
      </c>
      <c r="M39" s="1">
        <v>850</v>
      </c>
      <c r="N39">
        <f t="shared" si="0"/>
        <v>1002</v>
      </c>
      <c r="O39">
        <v>344</v>
      </c>
      <c r="P39">
        <v>28</v>
      </c>
      <c r="Q39">
        <v>198</v>
      </c>
      <c r="R39">
        <v>765</v>
      </c>
      <c r="S39">
        <v>515</v>
      </c>
      <c r="T39">
        <v>46</v>
      </c>
      <c r="U39">
        <f t="shared" si="1"/>
        <v>4189</v>
      </c>
      <c r="V39">
        <v>943</v>
      </c>
      <c r="W39">
        <v>69</v>
      </c>
      <c r="X39">
        <v>50</v>
      </c>
      <c r="Y39">
        <v>53</v>
      </c>
      <c r="Z39">
        <v>48</v>
      </c>
      <c r="AA39">
        <v>4</v>
      </c>
      <c r="AB39">
        <v>108</v>
      </c>
      <c r="AC39">
        <v>91</v>
      </c>
      <c r="AD39" s="1">
        <v>66</v>
      </c>
      <c r="AE39" s="1">
        <v>96</v>
      </c>
      <c r="AF39">
        <v>4.7699999999999996</v>
      </c>
    </row>
    <row r="40" spans="1:32" x14ac:dyDescent="0.2">
      <c r="A40" s="52">
        <v>2001</v>
      </c>
      <c r="B40" t="s">
        <v>55</v>
      </c>
      <c r="C40" t="s">
        <v>163</v>
      </c>
      <c r="D40">
        <v>645</v>
      </c>
      <c r="E40">
        <v>162</v>
      </c>
      <c r="F40">
        <v>3</v>
      </c>
      <c r="G40">
        <v>4</v>
      </c>
      <c r="H40">
        <v>159</v>
      </c>
      <c r="I40">
        <v>42</v>
      </c>
      <c r="J40">
        <v>1446.2</v>
      </c>
      <c r="K40">
        <v>6312</v>
      </c>
      <c r="L40">
        <v>1512</v>
      </c>
      <c r="M40" s="1">
        <v>821</v>
      </c>
      <c r="N40">
        <f t="shared" si="0"/>
        <v>1017</v>
      </c>
      <c r="O40">
        <v>320</v>
      </c>
      <c r="P40">
        <v>27</v>
      </c>
      <c r="Q40">
        <v>148</v>
      </c>
      <c r="R40">
        <v>746</v>
      </c>
      <c r="S40">
        <v>573</v>
      </c>
      <c r="T40">
        <v>44</v>
      </c>
      <c r="U40">
        <f t="shared" si="1"/>
        <v>4178</v>
      </c>
      <c r="V40">
        <v>1218</v>
      </c>
      <c r="W40">
        <v>48</v>
      </c>
      <c r="X40">
        <v>50</v>
      </c>
      <c r="Y40">
        <v>58</v>
      </c>
      <c r="Z40">
        <v>49</v>
      </c>
      <c r="AA40">
        <v>11</v>
      </c>
      <c r="AB40">
        <v>115</v>
      </c>
      <c r="AC40">
        <v>59</v>
      </c>
      <c r="AD40" s="1">
        <v>91</v>
      </c>
      <c r="AE40" s="1">
        <v>71</v>
      </c>
      <c r="AF40">
        <v>4.6399999999999997</v>
      </c>
    </row>
    <row r="41" spans="1:32" x14ac:dyDescent="0.2">
      <c r="A41" s="52">
        <v>2001</v>
      </c>
      <c r="B41" t="s">
        <v>57</v>
      </c>
      <c r="C41" t="s">
        <v>38</v>
      </c>
      <c r="D41">
        <v>638</v>
      </c>
      <c r="E41">
        <v>162</v>
      </c>
      <c r="F41">
        <v>8</v>
      </c>
      <c r="G41">
        <v>8</v>
      </c>
      <c r="H41">
        <v>154</v>
      </c>
      <c r="I41">
        <v>26</v>
      </c>
      <c r="J41">
        <v>1430</v>
      </c>
      <c r="K41">
        <v>6306</v>
      </c>
      <c r="L41">
        <v>1522</v>
      </c>
      <c r="M41" s="1">
        <v>906</v>
      </c>
      <c r="N41">
        <f t="shared" si="0"/>
        <v>897</v>
      </c>
      <c r="O41">
        <v>351</v>
      </c>
      <c r="P41">
        <v>35</v>
      </c>
      <c r="Q41">
        <v>239</v>
      </c>
      <c r="R41">
        <v>841</v>
      </c>
      <c r="S41">
        <v>598</v>
      </c>
      <c r="T41">
        <v>71</v>
      </c>
      <c r="U41">
        <f t="shared" si="1"/>
        <v>4122</v>
      </c>
      <c r="V41">
        <v>1058</v>
      </c>
      <c r="W41">
        <v>60</v>
      </c>
      <c r="X41">
        <v>43</v>
      </c>
      <c r="Y41">
        <v>38</v>
      </c>
      <c r="Z41">
        <v>64</v>
      </c>
      <c r="AA41">
        <v>1</v>
      </c>
      <c r="AB41">
        <v>135</v>
      </c>
      <c r="AC41">
        <v>59</v>
      </c>
      <c r="AD41" s="1">
        <v>73</v>
      </c>
      <c r="AE41" s="1">
        <v>89</v>
      </c>
      <c r="AF41">
        <v>5.29</v>
      </c>
    </row>
    <row r="42" spans="1:32" x14ac:dyDescent="0.2">
      <c r="A42" s="52">
        <v>2001</v>
      </c>
      <c r="B42" t="s">
        <v>59</v>
      </c>
      <c r="C42" t="s">
        <v>163</v>
      </c>
      <c r="D42">
        <v>553</v>
      </c>
      <c r="E42">
        <v>162</v>
      </c>
      <c r="F42">
        <v>16</v>
      </c>
      <c r="G42">
        <v>2</v>
      </c>
      <c r="H42">
        <v>146</v>
      </c>
      <c r="I42">
        <v>34</v>
      </c>
      <c r="J42">
        <v>1429.1</v>
      </c>
      <c r="K42">
        <v>6361</v>
      </c>
      <c r="L42">
        <v>1624</v>
      </c>
      <c r="M42" s="1">
        <v>876</v>
      </c>
      <c r="N42">
        <f t="shared" si="0"/>
        <v>1062</v>
      </c>
      <c r="O42">
        <v>333</v>
      </c>
      <c r="P42">
        <v>49</v>
      </c>
      <c r="Q42">
        <v>180</v>
      </c>
      <c r="R42">
        <v>795</v>
      </c>
      <c r="S42">
        <v>553</v>
      </c>
      <c r="T42">
        <v>56</v>
      </c>
      <c r="U42">
        <f t="shared" si="1"/>
        <v>4111</v>
      </c>
      <c r="V42">
        <v>859</v>
      </c>
      <c r="W42">
        <v>51</v>
      </c>
      <c r="X42">
        <v>52</v>
      </c>
      <c r="Y42">
        <v>40</v>
      </c>
      <c r="Z42">
        <v>73</v>
      </c>
      <c r="AA42">
        <v>4</v>
      </c>
      <c r="AB42">
        <v>145</v>
      </c>
      <c r="AC42">
        <v>82</v>
      </c>
      <c r="AD42" s="1">
        <v>66</v>
      </c>
      <c r="AE42" s="1">
        <v>96</v>
      </c>
      <c r="AF42">
        <v>5.01</v>
      </c>
    </row>
    <row r="43" spans="1:32" x14ac:dyDescent="0.2">
      <c r="A43" s="52">
        <v>2001</v>
      </c>
      <c r="B43" t="s">
        <v>160</v>
      </c>
      <c r="C43" t="s">
        <v>38</v>
      </c>
      <c r="D43">
        <v>592</v>
      </c>
      <c r="E43">
        <v>162</v>
      </c>
      <c r="F43">
        <v>5</v>
      </c>
      <c r="G43">
        <v>11</v>
      </c>
      <c r="H43">
        <v>157</v>
      </c>
      <c r="I43">
        <v>32</v>
      </c>
      <c r="J43">
        <v>1438</v>
      </c>
      <c r="K43">
        <v>6227</v>
      </c>
      <c r="L43">
        <v>1397</v>
      </c>
      <c r="M43" s="1">
        <v>744</v>
      </c>
      <c r="N43">
        <f t="shared" si="0"/>
        <v>911</v>
      </c>
      <c r="O43">
        <v>289</v>
      </c>
      <c r="P43">
        <v>46</v>
      </c>
      <c r="Q43">
        <v>151</v>
      </c>
      <c r="R43">
        <v>691</v>
      </c>
      <c r="S43">
        <v>617</v>
      </c>
      <c r="T43">
        <v>53</v>
      </c>
      <c r="U43">
        <f t="shared" si="1"/>
        <v>4143</v>
      </c>
      <c r="V43">
        <v>1119</v>
      </c>
      <c r="W43">
        <v>63</v>
      </c>
      <c r="X43">
        <v>44</v>
      </c>
      <c r="Y43">
        <v>40</v>
      </c>
      <c r="Z43">
        <v>70</v>
      </c>
      <c r="AA43">
        <v>3</v>
      </c>
      <c r="AB43">
        <v>144</v>
      </c>
      <c r="AC43">
        <v>77</v>
      </c>
      <c r="AD43" s="1">
        <v>76</v>
      </c>
      <c r="AE43" s="1">
        <v>86</v>
      </c>
      <c r="AF43">
        <v>4.32</v>
      </c>
    </row>
    <row r="44" spans="1:32" x14ac:dyDescent="0.2">
      <c r="A44" s="52">
        <v>2001</v>
      </c>
      <c r="B44" t="s">
        <v>63</v>
      </c>
      <c r="C44" t="s">
        <v>38</v>
      </c>
      <c r="D44">
        <v>567</v>
      </c>
      <c r="E44">
        <v>162</v>
      </c>
      <c r="F44">
        <v>7</v>
      </c>
      <c r="G44">
        <v>6</v>
      </c>
      <c r="H44">
        <v>155</v>
      </c>
      <c r="I44">
        <v>48</v>
      </c>
      <c r="J44">
        <v>1454.2</v>
      </c>
      <c r="K44">
        <v>6236</v>
      </c>
      <c r="L44">
        <v>1453</v>
      </c>
      <c r="M44" s="1">
        <v>769</v>
      </c>
      <c r="N44">
        <f t="shared" si="0"/>
        <v>942</v>
      </c>
      <c r="O44">
        <v>262</v>
      </c>
      <c r="P44">
        <v>28</v>
      </c>
      <c r="Q44">
        <v>221</v>
      </c>
      <c r="R44">
        <v>709</v>
      </c>
      <c r="S44">
        <v>486</v>
      </c>
      <c r="T44">
        <v>22</v>
      </c>
      <c r="U44">
        <f t="shared" si="1"/>
        <v>4227</v>
      </c>
      <c r="V44">
        <v>1228</v>
      </c>
      <c r="W44">
        <v>62</v>
      </c>
      <c r="X44">
        <v>44</v>
      </c>
      <c r="Y44">
        <v>42</v>
      </c>
      <c r="Z44">
        <v>70</v>
      </c>
      <c r="AA44">
        <v>3</v>
      </c>
      <c r="AB44">
        <v>113</v>
      </c>
      <c r="AC44">
        <v>77</v>
      </c>
      <c r="AD44" s="1">
        <v>93</v>
      </c>
      <c r="AE44" s="1">
        <v>69</v>
      </c>
      <c r="AF44">
        <v>4.3899999999999997</v>
      </c>
    </row>
    <row r="45" spans="1:32" x14ac:dyDescent="0.2">
      <c r="A45" s="52">
        <v>2001</v>
      </c>
      <c r="B45" t="s">
        <v>164</v>
      </c>
      <c r="C45" t="s">
        <v>163</v>
      </c>
      <c r="D45">
        <v>558</v>
      </c>
      <c r="E45">
        <v>162</v>
      </c>
      <c r="F45">
        <v>5</v>
      </c>
      <c r="G45">
        <v>1</v>
      </c>
      <c r="H45">
        <v>157</v>
      </c>
      <c r="I45">
        <v>30</v>
      </c>
      <c r="J45">
        <v>1440</v>
      </c>
      <c r="K45">
        <v>6289</v>
      </c>
      <c r="L45">
        <v>1537</v>
      </c>
      <c r="M45" s="1">
        <v>858</v>
      </c>
      <c r="N45">
        <f t="shared" si="0"/>
        <v>1028</v>
      </c>
      <c r="O45">
        <v>261</v>
      </c>
      <c r="P45">
        <v>39</v>
      </c>
      <c r="Q45">
        <v>209</v>
      </c>
      <c r="R45">
        <v>779</v>
      </c>
      <c r="S45">
        <v>576</v>
      </c>
      <c r="T45">
        <v>26</v>
      </c>
      <c r="U45">
        <f t="shared" si="1"/>
        <v>4115</v>
      </c>
      <c r="V45">
        <v>911</v>
      </c>
      <c r="W45">
        <v>33</v>
      </c>
      <c r="X45">
        <v>51</v>
      </c>
      <c r="Y45">
        <v>73</v>
      </c>
      <c r="Z45">
        <v>61</v>
      </c>
      <c r="AA45">
        <v>2</v>
      </c>
      <c r="AB45">
        <v>180</v>
      </c>
      <c r="AC45">
        <v>79</v>
      </c>
      <c r="AD45" s="1">
        <v>65</v>
      </c>
      <c r="AE45" s="1">
        <v>97</v>
      </c>
      <c r="AF45">
        <v>4.87</v>
      </c>
    </row>
    <row r="46" spans="1:32" x14ac:dyDescent="0.2">
      <c r="A46" s="52">
        <v>2001</v>
      </c>
      <c r="B46" t="s">
        <v>159</v>
      </c>
      <c r="C46" t="s">
        <v>38</v>
      </c>
      <c r="D46">
        <v>570</v>
      </c>
      <c r="E46">
        <v>162</v>
      </c>
      <c r="F46">
        <v>3</v>
      </c>
      <c r="G46">
        <v>5</v>
      </c>
      <c r="H46">
        <v>159</v>
      </c>
      <c r="I46">
        <v>46</v>
      </c>
      <c r="J46">
        <v>1450.2</v>
      </c>
      <c r="K46">
        <v>6201</v>
      </c>
      <c r="L46">
        <v>1387</v>
      </c>
      <c r="M46" s="1">
        <v>744</v>
      </c>
      <c r="N46">
        <f t="shared" si="0"/>
        <v>909</v>
      </c>
      <c r="O46">
        <v>268</v>
      </c>
      <c r="P46">
        <v>26</v>
      </c>
      <c r="Q46">
        <v>184</v>
      </c>
      <c r="R46">
        <v>685</v>
      </c>
      <c r="S46">
        <v>524</v>
      </c>
      <c r="T46">
        <v>37</v>
      </c>
      <c r="U46">
        <f t="shared" si="1"/>
        <v>4218</v>
      </c>
      <c r="V46">
        <v>1212</v>
      </c>
      <c r="W46">
        <v>69</v>
      </c>
      <c r="X46">
        <v>39</v>
      </c>
      <c r="Y46">
        <v>44</v>
      </c>
      <c r="Z46">
        <v>72</v>
      </c>
      <c r="AA46">
        <v>11</v>
      </c>
      <c r="AB46">
        <v>111</v>
      </c>
      <c r="AC46">
        <v>85</v>
      </c>
      <c r="AD46" s="1">
        <v>86</v>
      </c>
      <c r="AE46" s="1">
        <v>76</v>
      </c>
      <c r="AF46">
        <v>4.25</v>
      </c>
    </row>
    <row r="47" spans="1:32" x14ac:dyDescent="0.2">
      <c r="A47" s="52">
        <v>2001</v>
      </c>
      <c r="B47" t="s">
        <v>69</v>
      </c>
      <c r="C47" t="s">
        <v>38</v>
      </c>
      <c r="D47">
        <v>651</v>
      </c>
      <c r="E47">
        <v>162</v>
      </c>
      <c r="F47">
        <v>3</v>
      </c>
      <c r="G47">
        <v>8</v>
      </c>
      <c r="H47">
        <v>159</v>
      </c>
      <c r="I47">
        <v>28</v>
      </c>
      <c r="J47">
        <v>1436.1</v>
      </c>
      <c r="K47">
        <v>6338</v>
      </c>
      <c r="L47">
        <v>1452</v>
      </c>
      <c r="M47" s="1">
        <v>806</v>
      </c>
      <c r="N47">
        <f t="shared" si="0"/>
        <v>924</v>
      </c>
      <c r="O47">
        <v>293</v>
      </c>
      <c r="P47">
        <v>38</v>
      </c>
      <c r="Q47">
        <v>197</v>
      </c>
      <c r="R47">
        <v>740</v>
      </c>
      <c r="S47">
        <v>667</v>
      </c>
      <c r="T47">
        <v>107</v>
      </c>
      <c r="U47">
        <f t="shared" si="1"/>
        <v>4147</v>
      </c>
      <c r="V47">
        <v>1057</v>
      </c>
      <c r="W47">
        <v>81</v>
      </c>
      <c r="X47">
        <v>40</v>
      </c>
      <c r="Y47">
        <v>58</v>
      </c>
      <c r="Z47">
        <v>72</v>
      </c>
      <c r="AA47">
        <v>3</v>
      </c>
      <c r="AB47">
        <v>126</v>
      </c>
      <c r="AC47">
        <v>66</v>
      </c>
      <c r="AD47" s="1">
        <v>68</v>
      </c>
      <c r="AE47" s="1">
        <v>94</v>
      </c>
      <c r="AF47">
        <v>4.6399999999999997</v>
      </c>
    </row>
    <row r="48" spans="1:32" x14ac:dyDescent="0.2">
      <c r="A48" s="52">
        <v>2001</v>
      </c>
      <c r="B48" t="s">
        <v>71</v>
      </c>
      <c r="C48" t="s">
        <v>163</v>
      </c>
      <c r="D48">
        <v>564</v>
      </c>
      <c r="E48">
        <v>162</v>
      </c>
      <c r="F48">
        <v>12</v>
      </c>
      <c r="G48">
        <v>8</v>
      </c>
      <c r="H48">
        <v>150</v>
      </c>
      <c r="I48">
        <v>45</v>
      </c>
      <c r="J48">
        <v>1441.1</v>
      </c>
      <c r="K48">
        <v>6187</v>
      </c>
      <c r="L48">
        <v>1494</v>
      </c>
      <c r="M48" s="1">
        <v>766</v>
      </c>
      <c r="N48">
        <f t="shared" si="0"/>
        <v>967</v>
      </c>
      <c r="O48">
        <v>302</v>
      </c>
      <c r="P48">
        <v>33</v>
      </c>
      <c r="Q48">
        <v>192</v>
      </c>
      <c r="R48">
        <v>722</v>
      </c>
      <c r="S48">
        <v>445</v>
      </c>
      <c r="T48">
        <v>16</v>
      </c>
      <c r="U48">
        <f t="shared" si="1"/>
        <v>4192</v>
      </c>
      <c r="V48">
        <v>965</v>
      </c>
      <c r="W48">
        <v>55</v>
      </c>
      <c r="X48">
        <v>55</v>
      </c>
      <c r="Y48">
        <v>58</v>
      </c>
      <c r="Z48">
        <v>56</v>
      </c>
      <c r="AA48">
        <v>2</v>
      </c>
      <c r="AB48">
        <v>93</v>
      </c>
      <c r="AC48">
        <v>59</v>
      </c>
      <c r="AD48" s="1">
        <v>85</v>
      </c>
      <c r="AE48" s="1">
        <v>77</v>
      </c>
      <c r="AF48">
        <v>4.51</v>
      </c>
    </row>
    <row r="49" spans="1:32" x14ac:dyDescent="0.2">
      <c r="A49" s="52">
        <v>2001</v>
      </c>
      <c r="B49" t="s">
        <v>73</v>
      </c>
      <c r="C49" t="s">
        <v>38</v>
      </c>
      <c r="D49">
        <v>653</v>
      </c>
      <c r="E49">
        <v>162</v>
      </c>
      <c r="F49">
        <v>5</v>
      </c>
      <c r="G49">
        <v>11</v>
      </c>
      <c r="H49">
        <v>157</v>
      </c>
      <c r="I49">
        <v>28</v>
      </c>
      <c r="J49">
        <v>1431.1</v>
      </c>
      <c r="K49">
        <v>6250</v>
      </c>
      <c r="L49">
        <v>1509</v>
      </c>
      <c r="M49" s="1">
        <v>812</v>
      </c>
      <c r="N49">
        <f t="shared" si="0"/>
        <v>983</v>
      </c>
      <c r="O49">
        <v>306</v>
      </c>
      <c r="P49">
        <v>30</v>
      </c>
      <c r="Q49">
        <v>190</v>
      </c>
      <c r="R49">
        <v>745</v>
      </c>
      <c r="S49">
        <v>525</v>
      </c>
      <c r="T49">
        <v>40</v>
      </c>
      <c r="U49">
        <f t="shared" si="1"/>
        <v>4155</v>
      </c>
      <c r="V49">
        <v>1103</v>
      </c>
      <c r="W49">
        <v>74</v>
      </c>
      <c r="X49">
        <v>43</v>
      </c>
      <c r="Y49">
        <v>55</v>
      </c>
      <c r="Z49">
        <v>61</v>
      </c>
      <c r="AA49">
        <v>4</v>
      </c>
      <c r="AB49">
        <v>116</v>
      </c>
      <c r="AC49">
        <v>68</v>
      </c>
      <c r="AD49" s="1">
        <v>68</v>
      </c>
      <c r="AE49" s="1">
        <v>94</v>
      </c>
      <c r="AF49">
        <v>4.68</v>
      </c>
    </row>
    <row r="50" spans="1:32" x14ac:dyDescent="0.2">
      <c r="A50" s="52">
        <v>2001</v>
      </c>
      <c r="B50" t="s">
        <v>158</v>
      </c>
      <c r="C50" t="s">
        <v>38</v>
      </c>
      <c r="D50">
        <v>559</v>
      </c>
      <c r="E50">
        <v>162</v>
      </c>
      <c r="F50">
        <v>6</v>
      </c>
      <c r="G50">
        <v>14</v>
      </c>
      <c r="H50">
        <v>156</v>
      </c>
      <c r="I50">
        <v>48</v>
      </c>
      <c r="J50">
        <v>1445.2</v>
      </c>
      <c r="K50">
        <v>6107</v>
      </c>
      <c r="L50">
        <v>1418</v>
      </c>
      <c r="M50" s="1">
        <v>713</v>
      </c>
      <c r="N50">
        <f t="shared" si="0"/>
        <v>933</v>
      </c>
      <c r="O50">
        <v>266</v>
      </c>
      <c r="P50">
        <v>33</v>
      </c>
      <c r="Q50">
        <v>186</v>
      </c>
      <c r="R50">
        <v>654</v>
      </c>
      <c r="S50">
        <v>438</v>
      </c>
      <c r="T50">
        <v>60</v>
      </c>
      <c r="U50">
        <f t="shared" si="1"/>
        <v>4208</v>
      </c>
      <c r="V50">
        <v>1191</v>
      </c>
      <c r="W50">
        <v>63</v>
      </c>
      <c r="X50">
        <v>50</v>
      </c>
      <c r="Y50">
        <v>53</v>
      </c>
      <c r="Z50">
        <v>43</v>
      </c>
      <c r="AA50">
        <v>7</v>
      </c>
      <c r="AB50">
        <v>105</v>
      </c>
      <c r="AC50">
        <v>75</v>
      </c>
      <c r="AD50" s="1">
        <v>82</v>
      </c>
      <c r="AE50" s="1">
        <v>80</v>
      </c>
      <c r="AF50">
        <v>4.07</v>
      </c>
    </row>
    <row r="51" spans="1:32" x14ac:dyDescent="0.2">
      <c r="A51" s="52">
        <v>2001</v>
      </c>
      <c r="B51" t="s">
        <v>158</v>
      </c>
      <c r="C51" t="s">
        <v>163</v>
      </c>
      <c r="D51">
        <v>523</v>
      </c>
      <c r="E51">
        <v>161</v>
      </c>
      <c r="F51">
        <v>7</v>
      </c>
      <c r="G51">
        <v>9</v>
      </c>
      <c r="H51">
        <v>154</v>
      </c>
      <c r="I51">
        <v>57</v>
      </c>
      <c r="J51">
        <v>1451.1</v>
      </c>
      <c r="K51">
        <v>6174</v>
      </c>
      <c r="L51">
        <v>1429</v>
      </c>
      <c r="M51" s="1">
        <v>713</v>
      </c>
      <c r="N51">
        <f t="shared" si="0"/>
        <v>980</v>
      </c>
      <c r="O51">
        <v>266</v>
      </c>
      <c r="P51">
        <v>25</v>
      </c>
      <c r="Q51">
        <v>158</v>
      </c>
      <c r="R51">
        <v>649</v>
      </c>
      <c r="S51">
        <v>465</v>
      </c>
      <c r="T51">
        <v>29</v>
      </c>
      <c r="U51">
        <f t="shared" si="1"/>
        <v>4225</v>
      </c>
      <c r="V51">
        <v>1266</v>
      </c>
      <c r="W51">
        <v>37</v>
      </c>
      <c r="X51">
        <v>47</v>
      </c>
      <c r="Y51">
        <v>54</v>
      </c>
      <c r="Z51">
        <v>55</v>
      </c>
      <c r="AA51">
        <v>6</v>
      </c>
      <c r="AB51">
        <v>105</v>
      </c>
      <c r="AC51">
        <v>79</v>
      </c>
      <c r="AD51" s="1">
        <v>95</v>
      </c>
      <c r="AE51" s="1">
        <v>65</v>
      </c>
      <c r="AF51">
        <v>4.0199999999999996</v>
      </c>
    </row>
    <row r="52" spans="1:32" x14ac:dyDescent="0.2">
      <c r="A52" s="52">
        <v>2001</v>
      </c>
      <c r="B52" t="s">
        <v>79</v>
      </c>
      <c r="C52" t="s">
        <v>163</v>
      </c>
      <c r="D52">
        <v>578</v>
      </c>
      <c r="E52">
        <v>162</v>
      </c>
      <c r="F52">
        <v>13</v>
      </c>
      <c r="G52">
        <v>9</v>
      </c>
      <c r="H52">
        <v>149</v>
      </c>
      <c r="I52">
        <v>44</v>
      </c>
      <c r="J52">
        <v>1463.1</v>
      </c>
      <c r="K52">
        <v>6115</v>
      </c>
      <c r="L52">
        <v>1384</v>
      </c>
      <c r="M52" s="1">
        <v>645</v>
      </c>
      <c r="N52">
        <f t="shared" si="0"/>
        <v>986</v>
      </c>
      <c r="O52">
        <v>223</v>
      </c>
      <c r="P52">
        <v>22</v>
      </c>
      <c r="Q52">
        <v>153</v>
      </c>
      <c r="R52">
        <v>583</v>
      </c>
      <c r="S52">
        <v>440</v>
      </c>
      <c r="T52">
        <v>49</v>
      </c>
      <c r="U52">
        <f t="shared" si="1"/>
        <v>4245</v>
      </c>
      <c r="V52">
        <v>1117</v>
      </c>
      <c r="W52">
        <v>45</v>
      </c>
      <c r="X52">
        <v>33</v>
      </c>
      <c r="Y52">
        <v>42</v>
      </c>
      <c r="Z52">
        <v>46</v>
      </c>
      <c r="AA52">
        <v>3</v>
      </c>
      <c r="AB52">
        <v>119</v>
      </c>
      <c r="AC52">
        <v>75</v>
      </c>
      <c r="AD52" s="1">
        <v>102</v>
      </c>
      <c r="AE52" s="1">
        <v>60</v>
      </c>
      <c r="AF52">
        <v>3.59</v>
      </c>
    </row>
    <row r="53" spans="1:32" x14ac:dyDescent="0.2">
      <c r="A53" s="52">
        <v>2001</v>
      </c>
      <c r="B53" t="s">
        <v>81</v>
      </c>
      <c r="C53" t="s">
        <v>38</v>
      </c>
      <c r="D53">
        <v>635</v>
      </c>
      <c r="E53">
        <v>162</v>
      </c>
      <c r="F53">
        <v>8</v>
      </c>
      <c r="G53">
        <v>7</v>
      </c>
      <c r="H53">
        <v>154</v>
      </c>
      <c r="I53">
        <v>47</v>
      </c>
      <c r="J53">
        <v>1445.1</v>
      </c>
      <c r="K53">
        <v>6198</v>
      </c>
      <c r="L53">
        <v>1417</v>
      </c>
      <c r="M53" s="1">
        <v>719</v>
      </c>
      <c r="N53">
        <f t="shared" si="0"/>
        <v>887</v>
      </c>
      <c r="O53">
        <v>322</v>
      </c>
      <c r="P53">
        <v>38</v>
      </c>
      <c r="Q53">
        <v>170</v>
      </c>
      <c r="R53">
        <v>667</v>
      </c>
      <c r="S53">
        <v>527</v>
      </c>
      <c r="T53">
        <v>60</v>
      </c>
      <c r="U53">
        <f t="shared" si="1"/>
        <v>4184</v>
      </c>
      <c r="V53">
        <v>1086</v>
      </c>
      <c r="W53">
        <v>73</v>
      </c>
      <c r="X53">
        <v>49</v>
      </c>
      <c r="Y53">
        <v>40</v>
      </c>
      <c r="Z53">
        <v>70</v>
      </c>
      <c r="AA53">
        <v>6</v>
      </c>
      <c r="AB53">
        <v>120</v>
      </c>
      <c r="AC53">
        <v>61</v>
      </c>
      <c r="AD53" s="1">
        <v>86</v>
      </c>
      <c r="AE53" s="1">
        <v>76</v>
      </c>
      <c r="AF53">
        <v>4.1500000000000004</v>
      </c>
    </row>
    <row r="54" spans="1:32" x14ac:dyDescent="0.2">
      <c r="A54" s="52">
        <v>2001</v>
      </c>
      <c r="B54" t="s">
        <v>83</v>
      </c>
      <c r="C54" t="s">
        <v>38</v>
      </c>
      <c r="D54">
        <v>572</v>
      </c>
      <c r="E54">
        <v>162</v>
      </c>
      <c r="F54">
        <v>8</v>
      </c>
      <c r="G54">
        <v>9</v>
      </c>
      <c r="H54">
        <v>154</v>
      </c>
      <c r="I54">
        <v>36</v>
      </c>
      <c r="J54">
        <v>1416.1</v>
      </c>
      <c r="K54">
        <v>6222</v>
      </c>
      <c r="L54">
        <v>1493</v>
      </c>
      <c r="M54" s="1">
        <v>858</v>
      </c>
      <c r="N54">
        <f t="shared" si="0"/>
        <v>980</v>
      </c>
      <c r="O54">
        <v>310</v>
      </c>
      <c r="P54">
        <v>36</v>
      </c>
      <c r="Q54">
        <v>167</v>
      </c>
      <c r="R54">
        <v>794</v>
      </c>
      <c r="S54">
        <v>549</v>
      </c>
      <c r="T54">
        <v>74</v>
      </c>
      <c r="U54">
        <f t="shared" si="1"/>
        <v>4100</v>
      </c>
      <c r="V54">
        <v>908</v>
      </c>
      <c r="W54">
        <v>58</v>
      </c>
      <c r="X54">
        <v>50</v>
      </c>
      <c r="Y54">
        <v>49</v>
      </c>
      <c r="Z54">
        <v>80</v>
      </c>
      <c r="AA54">
        <v>4</v>
      </c>
      <c r="AB54">
        <v>141</v>
      </c>
      <c r="AC54">
        <v>86</v>
      </c>
      <c r="AD54" s="1">
        <v>62</v>
      </c>
      <c r="AE54" s="1">
        <v>100</v>
      </c>
      <c r="AF54">
        <v>5.05</v>
      </c>
    </row>
    <row r="55" spans="1:32" x14ac:dyDescent="0.2">
      <c r="A55" s="52">
        <v>2001</v>
      </c>
      <c r="B55" t="s">
        <v>161</v>
      </c>
      <c r="C55" t="s">
        <v>38</v>
      </c>
      <c r="D55">
        <v>584</v>
      </c>
      <c r="E55">
        <v>162</v>
      </c>
      <c r="F55">
        <v>5</v>
      </c>
      <c r="G55">
        <v>6</v>
      </c>
      <c r="H55">
        <v>157</v>
      </c>
      <c r="I55">
        <v>46</v>
      </c>
      <c r="J55">
        <v>1440.2</v>
      </c>
      <c r="K55">
        <v>6278</v>
      </c>
      <c r="L55">
        <v>1519</v>
      </c>
      <c r="M55" s="1">
        <v>812</v>
      </c>
      <c r="N55">
        <f t="shared" si="0"/>
        <v>972</v>
      </c>
      <c r="O55">
        <v>294</v>
      </c>
      <c r="P55">
        <v>34</v>
      </c>
      <c r="Q55">
        <v>219</v>
      </c>
      <c r="R55">
        <v>724</v>
      </c>
      <c r="S55">
        <v>476</v>
      </c>
      <c r="T55">
        <v>54</v>
      </c>
      <c r="U55">
        <f t="shared" si="1"/>
        <v>4227</v>
      </c>
      <c r="V55">
        <v>1088</v>
      </c>
      <c r="W55">
        <v>58</v>
      </c>
      <c r="X55">
        <v>47</v>
      </c>
      <c r="Y55">
        <v>46</v>
      </c>
      <c r="Z55">
        <v>56</v>
      </c>
      <c r="AA55">
        <v>5</v>
      </c>
      <c r="AB55">
        <v>99</v>
      </c>
      <c r="AC55">
        <v>100</v>
      </c>
      <c r="AD55" s="1">
        <v>79</v>
      </c>
      <c r="AE55" s="1">
        <v>83</v>
      </c>
      <c r="AF55">
        <v>4.5199999999999996</v>
      </c>
    </row>
    <row r="56" spans="1:32" x14ac:dyDescent="0.2">
      <c r="A56" s="52">
        <v>2001</v>
      </c>
      <c r="B56" t="s">
        <v>87</v>
      </c>
      <c r="C56" t="s">
        <v>163</v>
      </c>
      <c r="D56">
        <v>553</v>
      </c>
      <c r="E56">
        <v>162</v>
      </c>
      <c r="F56">
        <v>8</v>
      </c>
      <c r="G56">
        <v>14</v>
      </c>
      <c r="H56">
        <v>154</v>
      </c>
      <c r="I56">
        <v>56</v>
      </c>
      <c r="J56">
        <v>1465</v>
      </c>
      <c r="K56">
        <v>6096</v>
      </c>
      <c r="L56">
        <v>1293</v>
      </c>
      <c r="M56" s="1">
        <v>627</v>
      </c>
      <c r="N56">
        <f t="shared" si="0"/>
        <v>852</v>
      </c>
      <c r="O56">
        <v>259</v>
      </c>
      <c r="P56">
        <v>22</v>
      </c>
      <c r="Q56">
        <v>160</v>
      </c>
      <c r="R56">
        <v>576</v>
      </c>
      <c r="S56">
        <v>465</v>
      </c>
      <c r="T56">
        <v>28</v>
      </c>
      <c r="U56">
        <f t="shared" si="1"/>
        <v>4274</v>
      </c>
      <c r="V56">
        <v>1051</v>
      </c>
      <c r="W56">
        <v>33</v>
      </c>
      <c r="X56">
        <v>44</v>
      </c>
      <c r="Y56">
        <v>40</v>
      </c>
      <c r="Z56">
        <v>64</v>
      </c>
      <c r="AA56">
        <v>1</v>
      </c>
      <c r="AB56">
        <v>115</v>
      </c>
      <c r="AC56">
        <v>64</v>
      </c>
      <c r="AD56" s="1">
        <v>116</v>
      </c>
      <c r="AE56" s="1">
        <v>46</v>
      </c>
      <c r="AF56">
        <v>3.54</v>
      </c>
    </row>
    <row r="57" spans="1:32" x14ac:dyDescent="0.2">
      <c r="A57" s="52">
        <v>2001</v>
      </c>
      <c r="B57" t="s">
        <v>21</v>
      </c>
      <c r="C57" t="s">
        <v>38</v>
      </c>
      <c r="D57">
        <v>601</v>
      </c>
      <c r="E57">
        <v>162</v>
      </c>
      <c r="F57">
        <v>3</v>
      </c>
      <c r="G57">
        <v>8</v>
      </c>
      <c r="H57">
        <v>159</v>
      </c>
      <c r="I57">
        <v>47</v>
      </c>
      <c r="J57">
        <v>1463.1</v>
      </c>
      <c r="K57">
        <v>6294</v>
      </c>
      <c r="L57">
        <v>1437</v>
      </c>
      <c r="M57" s="1">
        <v>748</v>
      </c>
      <c r="N57">
        <f t="shared" si="0"/>
        <v>963</v>
      </c>
      <c r="O57">
        <v>286</v>
      </c>
      <c r="P57">
        <v>43</v>
      </c>
      <c r="Q57">
        <v>145</v>
      </c>
      <c r="R57">
        <v>680</v>
      </c>
      <c r="S57">
        <v>579</v>
      </c>
      <c r="T57">
        <v>49</v>
      </c>
      <c r="U57">
        <f t="shared" si="1"/>
        <v>4245</v>
      </c>
      <c r="V57">
        <v>1080</v>
      </c>
      <c r="W57">
        <v>58</v>
      </c>
      <c r="X57">
        <v>61</v>
      </c>
      <c r="Y57">
        <v>50</v>
      </c>
      <c r="Z57">
        <v>33</v>
      </c>
      <c r="AA57">
        <v>3</v>
      </c>
      <c r="AB57">
        <v>136</v>
      </c>
      <c r="AC57">
        <v>87</v>
      </c>
      <c r="AD57" s="1">
        <v>90</v>
      </c>
      <c r="AE57" s="1">
        <v>72</v>
      </c>
      <c r="AF57">
        <v>4.18</v>
      </c>
    </row>
    <row r="58" spans="1:32" x14ac:dyDescent="0.2">
      <c r="A58" s="52">
        <v>2001</v>
      </c>
      <c r="B58" t="s">
        <v>156</v>
      </c>
      <c r="C58" t="s">
        <v>38</v>
      </c>
      <c r="D58">
        <v>646</v>
      </c>
      <c r="E58">
        <v>162</v>
      </c>
      <c r="F58">
        <v>8</v>
      </c>
      <c r="G58">
        <v>11</v>
      </c>
      <c r="H58">
        <v>154</v>
      </c>
      <c r="I58">
        <v>38</v>
      </c>
      <c r="J58">
        <v>1435.1</v>
      </c>
      <c r="K58">
        <v>6121</v>
      </c>
      <c r="L58">
        <v>1389</v>
      </c>
      <c r="M58" s="1">
        <v>684</v>
      </c>
      <c r="N58">
        <f t="shared" si="0"/>
        <v>874</v>
      </c>
      <c r="O58">
        <v>296</v>
      </c>
      <c r="P58">
        <v>23</v>
      </c>
      <c r="Q58">
        <v>196</v>
      </c>
      <c r="R58">
        <v>627</v>
      </c>
      <c r="S58">
        <v>526</v>
      </c>
      <c r="T58">
        <v>36</v>
      </c>
      <c r="U58">
        <f t="shared" si="1"/>
        <v>4134</v>
      </c>
      <c r="V58">
        <v>1083</v>
      </c>
      <c r="W58">
        <v>72</v>
      </c>
      <c r="X58">
        <v>35</v>
      </c>
      <c r="Y58">
        <v>45</v>
      </c>
      <c r="Z58">
        <v>72</v>
      </c>
      <c r="AA58">
        <v>6</v>
      </c>
      <c r="AB58">
        <v>136</v>
      </c>
      <c r="AC58">
        <v>68</v>
      </c>
      <c r="AD58" s="1">
        <v>93</v>
      </c>
      <c r="AE58" s="1">
        <v>69</v>
      </c>
      <c r="AF58">
        <v>3.93</v>
      </c>
    </row>
    <row r="59" spans="1:32" x14ac:dyDescent="0.2">
      <c r="A59" s="52">
        <v>2001</v>
      </c>
      <c r="B59" t="s">
        <v>165</v>
      </c>
      <c r="C59" t="s">
        <v>163</v>
      </c>
      <c r="D59">
        <v>532</v>
      </c>
      <c r="E59">
        <v>162</v>
      </c>
      <c r="F59">
        <v>1</v>
      </c>
      <c r="G59">
        <v>6</v>
      </c>
      <c r="H59">
        <v>161</v>
      </c>
      <c r="I59">
        <v>30</v>
      </c>
      <c r="J59">
        <v>1423.2</v>
      </c>
      <c r="K59">
        <v>6288</v>
      </c>
      <c r="L59">
        <v>1513</v>
      </c>
      <c r="M59" s="1">
        <v>887</v>
      </c>
      <c r="N59">
        <f t="shared" si="0"/>
        <v>965</v>
      </c>
      <c r="O59">
        <v>312</v>
      </c>
      <c r="P59">
        <v>29</v>
      </c>
      <c r="Q59">
        <v>207</v>
      </c>
      <c r="R59">
        <v>780</v>
      </c>
      <c r="S59">
        <v>569</v>
      </c>
      <c r="T59">
        <v>21</v>
      </c>
      <c r="U59">
        <f t="shared" si="1"/>
        <v>4131</v>
      </c>
      <c r="V59">
        <v>1030</v>
      </c>
      <c r="W59">
        <v>36</v>
      </c>
      <c r="X59">
        <v>64</v>
      </c>
      <c r="Y59">
        <v>75</v>
      </c>
      <c r="Z59">
        <v>75</v>
      </c>
      <c r="AA59">
        <v>7</v>
      </c>
      <c r="AB59">
        <v>115</v>
      </c>
      <c r="AC59">
        <v>93</v>
      </c>
      <c r="AD59" s="1">
        <v>62</v>
      </c>
      <c r="AE59" s="1">
        <v>100</v>
      </c>
      <c r="AF59">
        <v>4.93</v>
      </c>
    </row>
    <row r="60" spans="1:32" x14ac:dyDescent="0.2">
      <c r="A60" s="52">
        <v>2001</v>
      </c>
      <c r="B60" t="s">
        <v>95</v>
      </c>
      <c r="C60" t="s">
        <v>163</v>
      </c>
      <c r="D60">
        <v>572</v>
      </c>
      <c r="E60">
        <v>162</v>
      </c>
      <c r="F60">
        <v>4</v>
      </c>
      <c r="G60">
        <v>3</v>
      </c>
      <c r="H60">
        <v>158</v>
      </c>
      <c r="I60">
        <v>37</v>
      </c>
      <c r="J60">
        <v>1438.1</v>
      </c>
      <c r="K60">
        <v>6469</v>
      </c>
      <c r="L60">
        <v>1670</v>
      </c>
      <c r="M60" s="1">
        <v>968</v>
      </c>
      <c r="N60">
        <f t="shared" si="0"/>
        <v>1010</v>
      </c>
      <c r="O60">
        <v>391</v>
      </c>
      <c r="P60">
        <v>47</v>
      </c>
      <c r="Q60">
        <v>222</v>
      </c>
      <c r="R60">
        <v>913</v>
      </c>
      <c r="S60">
        <v>596</v>
      </c>
      <c r="T60">
        <v>33</v>
      </c>
      <c r="U60">
        <f t="shared" si="1"/>
        <v>4140</v>
      </c>
      <c r="V60">
        <v>951</v>
      </c>
      <c r="W60">
        <v>30</v>
      </c>
      <c r="X60">
        <v>73</v>
      </c>
      <c r="Y60">
        <v>70</v>
      </c>
      <c r="Z60">
        <v>63</v>
      </c>
      <c r="AA60">
        <v>9</v>
      </c>
      <c r="AB60">
        <v>146</v>
      </c>
      <c r="AC60">
        <v>78</v>
      </c>
      <c r="AD60" s="1">
        <v>73</v>
      </c>
      <c r="AE60" s="1">
        <v>89</v>
      </c>
      <c r="AF60">
        <v>5.71</v>
      </c>
    </row>
    <row r="61" spans="1:32" x14ac:dyDescent="0.2">
      <c r="A61" s="52">
        <v>2001</v>
      </c>
      <c r="B61" t="s">
        <v>97</v>
      </c>
      <c r="C61" t="s">
        <v>163</v>
      </c>
      <c r="D61">
        <v>633</v>
      </c>
      <c r="E61">
        <v>162</v>
      </c>
      <c r="F61">
        <v>7</v>
      </c>
      <c r="G61">
        <v>10</v>
      </c>
      <c r="H61">
        <v>155</v>
      </c>
      <c r="I61">
        <v>41</v>
      </c>
      <c r="J61">
        <v>1462.2</v>
      </c>
      <c r="K61">
        <v>6305</v>
      </c>
      <c r="L61">
        <v>1553</v>
      </c>
      <c r="M61" s="1">
        <v>753</v>
      </c>
      <c r="N61">
        <f t="shared" si="0"/>
        <v>1005</v>
      </c>
      <c r="O61">
        <v>357</v>
      </c>
      <c r="P61">
        <v>26</v>
      </c>
      <c r="Q61">
        <v>165</v>
      </c>
      <c r="R61">
        <v>696</v>
      </c>
      <c r="S61">
        <v>490</v>
      </c>
      <c r="T61">
        <v>60</v>
      </c>
      <c r="U61">
        <f t="shared" si="1"/>
        <v>4186</v>
      </c>
      <c r="V61">
        <v>1041</v>
      </c>
      <c r="W61">
        <v>47</v>
      </c>
      <c r="X61">
        <v>43</v>
      </c>
      <c r="Y61">
        <v>33</v>
      </c>
      <c r="Z61">
        <v>76</v>
      </c>
      <c r="AA61">
        <v>8</v>
      </c>
      <c r="AB61">
        <v>159</v>
      </c>
      <c r="AC61">
        <v>65</v>
      </c>
      <c r="AD61" s="1">
        <v>80</v>
      </c>
      <c r="AE61" s="1">
        <v>82</v>
      </c>
      <c r="AF61">
        <v>4.28</v>
      </c>
    </row>
    <row r="62" spans="1:32" x14ac:dyDescent="0.2">
      <c r="A62" s="52">
        <v>2002</v>
      </c>
      <c r="B62" t="s">
        <v>37</v>
      </c>
      <c r="C62" t="s">
        <v>163</v>
      </c>
      <c r="D62">
        <v>562</v>
      </c>
      <c r="E62">
        <v>162</v>
      </c>
      <c r="F62">
        <v>7</v>
      </c>
      <c r="G62">
        <v>14</v>
      </c>
      <c r="H62">
        <v>155</v>
      </c>
      <c r="I62">
        <v>54</v>
      </c>
      <c r="J62">
        <v>1452.1</v>
      </c>
      <c r="K62">
        <v>6097</v>
      </c>
      <c r="L62">
        <v>1345</v>
      </c>
      <c r="M62" s="1">
        <v>644</v>
      </c>
      <c r="N62">
        <f t="shared" si="0"/>
        <v>909</v>
      </c>
      <c r="O62">
        <v>248</v>
      </c>
      <c r="P62">
        <v>19</v>
      </c>
      <c r="Q62">
        <v>169</v>
      </c>
      <c r="R62">
        <v>595</v>
      </c>
      <c r="S62">
        <v>509</v>
      </c>
      <c r="T62">
        <v>24</v>
      </c>
      <c r="U62">
        <f t="shared" si="1"/>
        <v>4194</v>
      </c>
      <c r="V62">
        <v>999</v>
      </c>
      <c r="W62">
        <v>27</v>
      </c>
      <c r="X62">
        <v>59</v>
      </c>
      <c r="Y62">
        <v>52</v>
      </c>
      <c r="Z62">
        <v>49</v>
      </c>
      <c r="AA62">
        <v>7</v>
      </c>
      <c r="AB62">
        <v>126</v>
      </c>
      <c r="AC62">
        <v>61</v>
      </c>
      <c r="AD62" s="1">
        <v>99</v>
      </c>
      <c r="AE62" s="1">
        <v>63</v>
      </c>
      <c r="AF62">
        <v>3.69</v>
      </c>
    </row>
    <row r="63" spans="1:32" x14ac:dyDescent="0.2">
      <c r="A63" s="52">
        <v>2002</v>
      </c>
      <c r="B63" t="s">
        <v>40</v>
      </c>
      <c r="C63" t="s">
        <v>38</v>
      </c>
      <c r="D63">
        <v>584</v>
      </c>
      <c r="E63">
        <v>162</v>
      </c>
      <c r="F63">
        <v>14</v>
      </c>
      <c r="G63">
        <v>10</v>
      </c>
      <c r="H63">
        <v>148</v>
      </c>
      <c r="I63">
        <v>40</v>
      </c>
      <c r="J63">
        <v>1446.2</v>
      </c>
      <c r="K63">
        <v>6067</v>
      </c>
      <c r="L63">
        <v>1361</v>
      </c>
      <c r="M63" s="1">
        <v>674</v>
      </c>
      <c r="N63">
        <f t="shared" si="0"/>
        <v>907</v>
      </c>
      <c r="O63">
        <v>252</v>
      </c>
      <c r="P63">
        <v>32</v>
      </c>
      <c r="Q63">
        <v>170</v>
      </c>
      <c r="R63">
        <v>631</v>
      </c>
      <c r="S63">
        <v>421</v>
      </c>
      <c r="T63">
        <v>30</v>
      </c>
      <c r="U63">
        <f t="shared" si="1"/>
        <v>4231</v>
      </c>
      <c r="V63">
        <v>1303</v>
      </c>
      <c r="W63">
        <v>45</v>
      </c>
      <c r="X63">
        <v>36</v>
      </c>
      <c r="Y63">
        <v>48</v>
      </c>
      <c r="Z63">
        <v>54</v>
      </c>
      <c r="AA63">
        <v>11</v>
      </c>
      <c r="AB63">
        <v>97</v>
      </c>
      <c r="AC63">
        <v>63</v>
      </c>
      <c r="AD63" s="1">
        <v>98</v>
      </c>
      <c r="AE63" s="1">
        <v>64</v>
      </c>
      <c r="AF63">
        <v>3.93</v>
      </c>
    </row>
    <row r="64" spans="1:32" x14ac:dyDescent="0.2">
      <c r="A64" s="52">
        <v>2002</v>
      </c>
      <c r="B64" t="s">
        <v>42</v>
      </c>
      <c r="C64" t="s">
        <v>38</v>
      </c>
      <c r="D64">
        <v>630</v>
      </c>
      <c r="E64">
        <v>161</v>
      </c>
      <c r="F64">
        <v>3</v>
      </c>
      <c r="G64">
        <v>15</v>
      </c>
      <c r="H64">
        <v>158</v>
      </c>
      <c r="I64">
        <v>57</v>
      </c>
      <c r="J64">
        <v>1467.1</v>
      </c>
      <c r="K64">
        <v>6131</v>
      </c>
      <c r="L64">
        <v>1302</v>
      </c>
      <c r="M64" s="1">
        <v>565</v>
      </c>
      <c r="N64">
        <f t="shared" si="0"/>
        <v>907</v>
      </c>
      <c r="O64">
        <v>240</v>
      </c>
      <c r="P64">
        <v>32</v>
      </c>
      <c r="Q64">
        <v>123</v>
      </c>
      <c r="R64">
        <v>511</v>
      </c>
      <c r="S64">
        <v>554</v>
      </c>
      <c r="T64">
        <v>63</v>
      </c>
      <c r="U64">
        <f t="shared" si="1"/>
        <v>4233</v>
      </c>
      <c r="V64">
        <v>1058</v>
      </c>
      <c r="W64">
        <v>74</v>
      </c>
      <c r="X64">
        <v>32</v>
      </c>
      <c r="Y64">
        <v>40</v>
      </c>
      <c r="Z64">
        <v>42</v>
      </c>
      <c r="AA64">
        <v>4</v>
      </c>
      <c r="AB64">
        <v>155</v>
      </c>
      <c r="AC64">
        <v>80</v>
      </c>
      <c r="AD64" s="1">
        <v>101</v>
      </c>
      <c r="AE64" s="1">
        <v>59</v>
      </c>
      <c r="AF64">
        <v>3.13</v>
      </c>
    </row>
    <row r="65" spans="1:32" x14ac:dyDescent="0.2">
      <c r="A65" s="52">
        <v>2002</v>
      </c>
      <c r="B65" t="s">
        <v>45</v>
      </c>
      <c r="C65" t="s">
        <v>163</v>
      </c>
      <c r="D65">
        <v>569</v>
      </c>
      <c r="E65">
        <v>162</v>
      </c>
      <c r="F65">
        <v>8</v>
      </c>
      <c r="G65">
        <v>3</v>
      </c>
      <c r="H65">
        <v>154</v>
      </c>
      <c r="I65">
        <v>31</v>
      </c>
      <c r="J65">
        <v>1450.2</v>
      </c>
      <c r="K65">
        <v>6258</v>
      </c>
      <c r="L65">
        <v>1491</v>
      </c>
      <c r="M65" s="1">
        <v>773</v>
      </c>
      <c r="N65">
        <f t="shared" si="0"/>
        <v>992</v>
      </c>
      <c r="O65">
        <v>265</v>
      </c>
      <c r="P65">
        <v>26</v>
      </c>
      <c r="Q65">
        <v>208</v>
      </c>
      <c r="R65">
        <v>719</v>
      </c>
      <c r="S65">
        <v>549</v>
      </c>
      <c r="T65">
        <v>34</v>
      </c>
      <c r="U65">
        <f t="shared" si="1"/>
        <v>4164</v>
      </c>
      <c r="V65">
        <v>967</v>
      </c>
      <c r="W65">
        <v>20</v>
      </c>
      <c r="X65">
        <v>38</v>
      </c>
      <c r="Y65">
        <v>54</v>
      </c>
      <c r="Z65">
        <v>54</v>
      </c>
      <c r="AA65">
        <v>1</v>
      </c>
      <c r="AB65">
        <v>145</v>
      </c>
      <c r="AC65">
        <v>49</v>
      </c>
      <c r="AD65" s="1">
        <v>67</v>
      </c>
      <c r="AE65" s="1">
        <v>95</v>
      </c>
      <c r="AF65">
        <v>4.46</v>
      </c>
    </row>
    <row r="66" spans="1:32" x14ac:dyDescent="0.2">
      <c r="A66" s="52">
        <v>2002</v>
      </c>
      <c r="B66" t="s">
        <v>47</v>
      </c>
      <c r="C66" t="s">
        <v>163</v>
      </c>
      <c r="D66">
        <v>500</v>
      </c>
      <c r="E66">
        <v>162</v>
      </c>
      <c r="F66">
        <v>5</v>
      </c>
      <c r="G66">
        <v>17</v>
      </c>
      <c r="H66">
        <v>157</v>
      </c>
      <c r="I66">
        <v>51</v>
      </c>
      <c r="J66">
        <v>1446</v>
      </c>
      <c r="K66">
        <v>6049</v>
      </c>
      <c r="L66">
        <v>1339</v>
      </c>
      <c r="M66" s="1">
        <v>665</v>
      </c>
      <c r="N66">
        <f t="shared" si="0"/>
        <v>892</v>
      </c>
      <c r="O66">
        <v>277</v>
      </c>
      <c r="P66">
        <v>24</v>
      </c>
      <c r="Q66">
        <v>146</v>
      </c>
      <c r="R66">
        <v>603</v>
      </c>
      <c r="S66">
        <v>430</v>
      </c>
      <c r="T66">
        <v>29</v>
      </c>
      <c r="U66">
        <f t="shared" si="1"/>
        <v>4196</v>
      </c>
      <c r="V66">
        <v>1157</v>
      </c>
      <c r="W66">
        <v>30</v>
      </c>
      <c r="X66">
        <v>52</v>
      </c>
      <c r="Y66">
        <v>31</v>
      </c>
      <c r="Z66">
        <v>84</v>
      </c>
      <c r="AA66">
        <v>6</v>
      </c>
      <c r="AB66">
        <v>119</v>
      </c>
      <c r="AC66">
        <v>69</v>
      </c>
      <c r="AD66" s="1">
        <v>93</v>
      </c>
      <c r="AE66" s="1">
        <v>69</v>
      </c>
      <c r="AF66">
        <v>3.75</v>
      </c>
    </row>
    <row r="67" spans="1:32" x14ac:dyDescent="0.2">
      <c r="A67" s="52">
        <v>2002</v>
      </c>
      <c r="B67" t="s">
        <v>157</v>
      </c>
      <c r="C67" t="s">
        <v>38</v>
      </c>
      <c r="D67">
        <v>552</v>
      </c>
      <c r="E67">
        <v>162</v>
      </c>
      <c r="F67">
        <v>11</v>
      </c>
      <c r="G67">
        <v>9</v>
      </c>
      <c r="H67">
        <v>151</v>
      </c>
      <c r="I67">
        <v>23</v>
      </c>
      <c r="J67">
        <v>1441.1</v>
      </c>
      <c r="K67">
        <v>6236</v>
      </c>
      <c r="L67">
        <v>1373</v>
      </c>
      <c r="M67" s="1">
        <v>759</v>
      </c>
      <c r="N67">
        <f t="shared" ref="N67:N130" si="2">L67-(O67+P67+Q67)</f>
        <v>902</v>
      </c>
      <c r="O67">
        <v>274</v>
      </c>
      <c r="P67">
        <v>30</v>
      </c>
      <c r="Q67">
        <v>167</v>
      </c>
      <c r="R67">
        <v>687</v>
      </c>
      <c r="S67">
        <v>606</v>
      </c>
      <c r="T67">
        <v>53</v>
      </c>
      <c r="U67">
        <f t="shared" ref="U67:U130" si="3">K67-(L67+S67+Z67)</f>
        <v>4199</v>
      </c>
      <c r="V67">
        <v>1333</v>
      </c>
      <c r="W67">
        <v>85</v>
      </c>
      <c r="X67">
        <v>57</v>
      </c>
      <c r="Y67">
        <v>44</v>
      </c>
      <c r="Z67">
        <v>58</v>
      </c>
      <c r="AA67">
        <v>2</v>
      </c>
      <c r="AB67">
        <v>117</v>
      </c>
      <c r="AC67">
        <v>87</v>
      </c>
      <c r="AD67" s="1">
        <v>67</v>
      </c>
      <c r="AE67" s="1">
        <v>95</v>
      </c>
      <c r="AF67">
        <v>4.29</v>
      </c>
    </row>
    <row r="68" spans="1:32" x14ac:dyDescent="0.2">
      <c r="A68" s="52">
        <v>2002</v>
      </c>
      <c r="B68" t="s">
        <v>157</v>
      </c>
      <c r="C68" t="s">
        <v>163</v>
      </c>
      <c r="D68">
        <v>585</v>
      </c>
      <c r="E68">
        <v>162</v>
      </c>
      <c r="F68">
        <v>7</v>
      </c>
      <c r="G68">
        <v>7</v>
      </c>
      <c r="H68">
        <v>155</v>
      </c>
      <c r="I68">
        <v>35</v>
      </c>
      <c r="J68">
        <v>1423</v>
      </c>
      <c r="K68">
        <v>6131</v>
      </c>
      <c r="L68">
        <v>1422</v>
      </c>
      <c r="M68" s="1">
        <v>798</v>
      </c>
      <c r="N68">
        <f t="shared" si="2"/>
        <v>929</v>
      </c>
      <c r="O68">
        <v>287</v>
      </c>
      <c r="P68">
        <v>16</v>
      </c>
      <c r="Q68">
        <v>190</v>
      </c>
      <c r="R68">
        <v>716</v>
      </c>
      <c r="S68">
        <v>528</v>
      </c>
      <c r="T68">
        <v>31</v>
      </c>
      <c r="U68">
        <f t="shared" si="3"/>
        <v>4121</v>
      </c>
      <c r="V68">
        <v>945</v>
      </c>
      <c r="W68">
        <v>41</v>
      </c>
      <c r="X68">
        <v>43</v>
      </c>
      <c r="Y68">
        <v>54</v>
      </c>
      <c r="Z68">
        <v>60</v>
      </c>
      <c r="AA68">
        <v>6</v>
      </c>
      <c r="AB68">
        <v>137</v>
      </c>
      <c r="AC68">
        <v>74</v>
      </c>
      <c r="AD68" s="1">
        <v>81</v>
      </c>
      <c r="AE68" s="1">
        <v>81</v>
      </c>
      <c r="AF68">
        <v>4.53</v>
      </c>
    </row>
    <row r="69" spans="1:32" x14ac:dyDescent="0.2">
      <c r="A69" s="52">
        <v>2002</v>
      </c>
      <c r="B69" t="s">
        <v>53</v>
      </c>
      <c r="C69" t="s">
        <v>38</v>
      </c>
      <c r="D69">
        <v>624</v>
      </c>
      <c r="E69">
        <v>162</v>
      </c>
      <c r="F69">
        <v>2</v>
      </c>
      <c r="G69">
        <v>8</v>
      </c>
      <c r="H69">
        <v>160</v>
      </c>
      <c r="I69">
        <v>42</v>
      </c>
      <c r="J69">
        <v>1453.2</v>
      </c>
      <c r="K69">
        <v>6296</v>
      </c>
      <c r="L69">
        <v>1502</v>
      </c>
      <c r="M69" s="1">
        <v>774</v>
      </c>
      <c r="N69">
        <f t="shared" si="2"/>
        <v>1000</v>
      </c>
      <c r="O69">
        <v>301</v>
      </c>
      <c r="P69">
        <v>28</v>
      </c>
      <c r="Q69">
        <v>173</v>
      </c>
      <c r="R69">
        <v>690</v>
      </c>
      <c r="S69">
        <v>550</v>
      </c>
      <c r="T69">
        <v>63</v>
      </c>
      <c r="U69">
        <f t="shared" si="3"/>
        <v>4188</v>
      </c>
      <c r="V69">
        <v>980</v>
      </c>
      <c r="W69">
        <v>62</v>
      </c>
      <c r="X69">
        <v>43</v>
      </c>
      <c r="Y69">
        <v>52</v>
      </c>
      <c r="Z69">
        <v>56</v>
      </c>
      <c r="AA69">
        <v>2</v>
      </c>
      <c r="AB69">
        <v>140</v>
      </c>
      <c r="AC69">
        <v>76</v>
      </c>
      <c r="AD69" s="1">
        <v>78</v>
      </c>
      <c r="AE69" s="1">
        <v>84</v>
      </c>
      <c r="AF69">
        <v>4.2699999999999996</v>
      </c>
    </row>
    <row r="70" spans="1:32" x14ac:dyDescent="0.2">
      <c r="A70" s="52">
        <v>2002</v>
      </c>
      <c r="B70" t="s">
        <v>55</v>
      </c>
      <c r="C70" t="s">
        <v>163</v>
      </c>
      <c r="D70">
        <v>583</v>
      </c>
      <c r="E70">
        <v>162</v>
      </c>
      <c r="F70">
        <v>9</v>
      </c>
      <c r="G70">
        <v>4</v>
      </c>
      <c r="H70">
        <v>153</v>
      </c>
      <c r="I70">
        <v>34</v>
      </c>
      <c r="J70">
        <v>1424.2</v>
      </c>
      <c r="K70">
        <v>6271</v>
      </c>
      <c r="L70">
        <v>1508</v>
      </c>
      <c r="M70" s="1">
        <v>837</v>
      </c>
      <c r="N70">
        <f t="shared" si="2"/>
        <v>1014</v>
      </c>
      <c r="O70">
        <v>311</v>
      </c>
      <c r="P70">
        <v>41</v>
      </c>
      <c r="Q70">
        <v>142</v>
      </c>
      <c r="R70">
        <v>777</v>
      </c>
      <c r="S70">
        <v>603</v>
      </c>
      <c r="T70">
        <v>38</v>
      </c>
      <c r="U70">
        <f t="shared" si="3"/>
        <v>4103</v>
      </c>
      <c r="V70">
        <v>1058</v>
      </c>
      <c r="W70">
        <v>39</v>
      </c>
      <c r="X70">
        <v>66</v>
      </c>
      <c r="Y70">
        <v>52</v>
      </c>
      <c r="Z70">
        <v>57</v>
      </c>
      <c r="AA70">
        <v>8</v>
      </c>
      <c r="AB70">
        <v>131</v>
      </c>
      <c r="AC70">
        <v>67</v>
      </c>
      <c r="AD70" s="1">
        <v>74</v>
      </c>
      <c r="AE70" s="1">
        <v>88</v>
      </c>
      <c r="AF70">
        <v>4.91</v>
      </c>
    </row>
    <row r="71" spans="1:32" x14ac:dyDescent="0.2">
      <c r="A71" s="52">
        <v>2002</v>
      </c>
      <c r="B71" t="s">
        <v>57</v>
      </c>
      <c r="C71" t="s">
        <v>38</v>
      </c>
      <c r="D71">
        <v>668</v>
      </c>
      <c r="E71">
        <v>162</v>
      </c>
      <c r="F71">
        <v>1</v>
      </c>
      <c r="G71">
        <v>8</v>
      </c>
      <c r="H71">
        <v>161</v>
      </c>
      <c r="I71">
        <v>43</v>
      </c>
      <c r="J71">
        <v>1426.2</v>
      </c>
      <c r="K71">
        <v>6345</v>
      </c>
      <c r="L71">
        <v>1554</v>
      </c>
      <c r="M71" s="1">
        <v>898</v>
      </c>
      <c r="N71">
        <f t="shared" si="2"/>
        <v>984</v>
      </c>
      <c r="O71">
        <v>306</v>
      </c>
      <c r="P71">
        <v>39</v>
      </c>
      <c r="Q71">
        <v>225</v>
      </c>
      <c r="R71">
        <v>825</v>
      </c>
      <c r="S71">
        <v>582</v>
      </c>
      <c r="T71">
        <v>49</v>
      </c>
      <c r="U71">
        <f t="shared" si="3"/>
        <v>4145</v>
      </c>
      <c r="V71">
        <v>920</v>
      </c>
      <c r="W71">
        <v>49</v>
      </c>
      <c r="X71">
        <v>47</v>
      </c>
      <c r="Y71">
        <v>42</v>
      </c>
      <c r="Z71">
        <v>64</v>
      </c>
      <c r="AA71">
        <v>6</v>
      </c>
      <c r="AB71">
        <v>136</v>
      </c>
      <c r="AC71">
        <v>79</v>
      </c>
      <c r="AD71" s="1">
        <v>73</v>
      </c>
      <c r="AE71" s="1">
        <v>89</v>
      </c>
      <c r="AF71">
        <v>5.2</v>
      </c>
    </row>
    <row r="72" spans="1:32" x14ac:dyDescent="0.2">
      <c r="A72" s="52">
        <v>2002</v>
      </c>
      <c r="B72" t="s">
        <v>59</v>
      </c>
      <c r="C72" t="s">
        <v>163</v>
      </c>
      <c r="D72">
        <v>533</v>
      </c>
      <c r="E72">
        <v>161</v>
      </c>
      <c r="F72">
        <v>11</v>
      </c>
      <c r="G72">
        <v>7</v>
      </c>
      <c r="H72">
        <v>150</v>
      </c>
      <c r="I72">
        <v>33</v>
      </c>
      <c r="J72">
        <v>1414</v>
      </c>
      <c r="K72">
        <v>6215</v>
      </c>
      <c r="L72">
        <v>1593</v>
      </c>
      <c r="M72" s="1">
        <v>864</v>
      </c>
      <c r="N72">
        <f t="shared" si="2"/>
        <v>1027</v>
      </c>
      <c r="O72">
        <v>345</v>
      </c>
      <c r="P72">
        <v>58</v>
      </c>
      <c r="Q72">
        <v>163</v>
      </c>
      <c r="R72">
        <v>773</v>
      </c>
      <c r="S72">
        <v>463</v>
      </c>
      <c r="T72">
        <v>34</v>
      </c>
      <c r="U72">
        <f t="shared" si="3"/>
        <v>4097</v>
      </c>
      <c r="V72">
        <v>794</v>
      </c>
      <c r="W72">
        <v>44</v>
      </c>
      <c r="X72">
        <v>53</v>
      </c>
      <c r="Y72">
        <v>59</v>
      </c>
      <c r="Z72">
        <v>62</v>
      </c>
      <c r="AA72">
        <v>8</v>
      </c>
      <c r="AB72">
        <v>119</v>
      </c>
      <c r="AC72">
        <v>84</v>
      </c>
      <c r="AD72" s="1">
        <v>55</v>
      </c>
      <c r="AE72" s="1">
        <v>106</v>
      </c>
      <c r="AF72">
        <v>4.92</v>
      </c>
    </row>
    <row r="73" spans="1:32" x14ac:dyDescent="0.2">
      <c r="A73" s="52">
        <v>2002</v>
      </c>
      <c r="B73" t="s">
        <v>160</v>
      </c>
      <c r="C73" t="s">
        <v>38</v>
      </c>
      <c r="D73">
        <v>623</v>
      </c>
      <c r="E73">
        <v>162</v>
      </c>
      <c r="F73">
        <v>11</v>
      </c>
      <c r="G73">
        <v>12</v>
      </c>
      <c r="H73">
        <v>151</v>
      </c>
      <c r="I73">
        <v>36</v>
      </c>
      <c r="J73">
        <v>1456.1</v>
      </c>
      <c r="K73">
        <v>6340</v>
      </c>
      <c r="L73">
        <v>1449</v>
      </c>
      <c r="M73" s="1">
        <v>763</v>
      </c>
      <c r="N73">
        <f t="shared" si="2"/>
        <v>947</v>
      </c>
      <c r="O73">
        <v>308</v>
      </c>
      <c r="P73">
        <v>43</v>
      </c>
      <c r="Q73">
        <v>151</v>
      </c>
      <c r="R73">
        <v>706</v>
      </c>
      <c r="S73">
        <v>631</v>
      </c>
      <c r="T73">
        <v>46</v>
      </c>
      <c r="U73">
        <f t="shared" si="3"/>
        <v>4202</v>
      </c>
      <c r="V73">
        <v>1104</v>
      </c>
      <c r="W73">
        <v>73</v>
      </c>
      <c r="X73">
        <v>45</v>
      </c>
      <c r="Y73">
        <v>55</v>
      </c>
      <c r="Z73">
        <v>58</v>
      </c>
      <c r="AA73">
        <v>7</v>
      </c>
      <c r="AB73">
        <v>134</v>
      </c>
      <c r="AC73">
        <v>77</v>
      </c>
      <c r="AD73" s="1">
        <v>79</v>
      </c>
      <c r="AE73" s="1">
        <v>83</v>
      </c>
      <c r="AF73">
        <v>4.3600000000000003</v>
      </c>
    </row>
    <row r="74" spans="1:32" x14ac:dyDescent="0.2">
      <c r="A74" s="52">
        <v>2002</v>
      </c>
      <c r="B74" t="s">
        <v>63</v>
      </c>
      <c r="C74" t="s">
        <v>38</v>
      </c>
      <c r="D74">
        <v>642</v>
      </c>
      <c r="E74">
        <v>162</v>
      </c>
      <c r="F74">
        <v>2</v>
      </c>
      <c r="G74">
        <v>11</v>
      </c>
      <c r="H74">
        <v>160</v>
      </c>
      <c r="I74">
        <v>43</v>
      </c>
      <c r="J74">
        <v>1445</v>
      </c>
      <c r="K74">
        <v>6205</v>
      </c>
      <c r="L74">
        <v>1423</v>
      </c>
      <c r="M74" s="1">
        <v>695</v>
      </c>
      <c r="N74">
        <f t="shared" si="2"/>
        <v>934</v>
      </c>
      <c r="O74">
        <v>305</v>
      </c>
      <c r="P74">
        <v>33</v>
      </c>
      <c r="Q74">
        <v>151</v>
      </c>
      <c r="R74">
        <v>642</v>
      </c>
      <c r="S74">
        <v>546</v>
      </c>
      <c r="T74">
        <v>78</v>
      </c>
      <c r="U74">
        <f t="shared" si="3"/>
        <v>4181</v>
      </c>
      <c r="V74">
        <v>1219</v>
      </c>
      <c r="W74">
        <v>76</v>
      </c>
      <c r="X74">
        <v>48</v>
      </c>
      <c r="Y74">
        <v>38</v>
      </c>
      <c r="Z74">
        <v>55</v>
      </c>
      <c r="AA74">
        <v>3</v>
      </c>
      <c r="AB74">
        <v>115</v>
      </c>
      <c r="AC74">
        <v>60</v>
      </c>
      <c r="AD74" s="1">
        <v>84</v>
      </c>
      <c r="AE74" s="1">
        <v>78</v>
      </c>
      <c r="AF74">
        <v>4</v>
      </c>
    </row>
    <row r="75" spans="1:32" x14ac:dyDescent="0.2">
      <c r="A75" s="52">
        <v>2002</v>
      </c>
      <c r="B75" t="s">
        <v>164</v>
      </c>
      <c r="C75" t="s">
        <v>163</v>
      </c>
      <c r="D75">
        <v>583</v>
      </c>
      <c r="E75">
        <v>162</v>
      </c>
      <c r="F75">
        <v>12</v>
      </c>
      <c r="G75">
        <v>6</v>
      </c>
      <c r="H75">
        <v>150</v>
      </c>
      <c r="I75">
        <v>30</v>
      </c>
      <c r="J75">
        <v>1441</v>
      </c>
      <c r="K75">
        <v>6386</v>
      </c>
      <c r="L75">
        <v>1587</v>
      </c>
      <c r="M75" s="1">
        <v>891</v>
      </c>
      <c r="N75">
        <f t="shared" si="2"/>
        <v>1014</v>
      </c>
      <c r="O75">
        <v>328</v>
      </c>
      <c r="P75">
        <v>33</v>
      </c>
      <c r="Q75">
        <v>212</v>
      </c>
      <c r="R75">
        <v>834</v>
      </c>
      <c r="S75">
        <v>572</v>
      </c>
      <c r="T75">
        <v>48</v>
      </c>
      <c r="U75">
        <f t="shared" si="3"/>
        <v>4175</v>
      </c>
      <c r="V75">
        <v>909</v>
      </c>
      <c r="W75">
        <v>47</v>
      </c>
      <c r="X75">
        <v>69</v>
      </c>
      <c r="Y75">
        <v>68</v>
      </c>
      <c r="Z75">
        <v>52</v>
      </c>
      <c r="AA75">
        <v>6</v>
      </c>
      <c r="AB75">
        <v>138</v>
      </c>
      <c r="AC75">
        <v>78</v>
      </c>
      <c r="AD75" s="1">
        <v>62</v>
      </c>
      <c r="AE75" s="1">
        <v>100</v>
      </c>
      <c r="AF75">
        <v>5.21</v>
      </c>
    </row>
    <row r="76" spans="1:32" x14ac:dyDescent="0.2">
      <c r="A76" s="52">
        <v>2002</v>
      </c>
      <c r="B76" t="s">
        <v>159</v>
      </c>
      <c r="C76" t="s">
        <v>38</v>
      </c>
      <c r="D76">
        <v>585</v>
      </c>
      <c r="E76">
        <v>162</v>
      </c>
      <c r="F76">
        <v>4</v>
      </c>
      <c r="G76">
        <v>15</v>
      </c>
      <c r="H76">
        <v>158</v>
      </c>
      <c r="I76">
        <v>56</v>
      </c>
      <c r="J76">
        <v>1457.2</v>
      </c>
      <c r="K76">
        <v>6139</v>
      </c>
      <c r="L76">
        <v>1311</v>
      </c>
      <c r="M76" s="1">
        <v>643</v>
      </c>
      <c r="N76">
        <f t="shared" si="2"/>
        <v>874</v>
      </c>
      <c r="O76">
        <v>252</v>
      </c>
      <c r="P76">
        <v>20</v>
      </c>
      <c r="Q76">
        <v>165</v>
      </c>
      <c r="R76">
        <v>598</v>
      </c>
      <c r="S76">
        <v>555</v>
      </c>
      <c r="T76">
        <v>45</v>
      </c>
      <c r="U76">
        <f t="shared" si="3"/>
        <v>4227</v>
      </c>
      <c r="V76">
        <v>1132</v>
      </c>
      <c r="W76">
        <v>71</v>
      </c>
      <c r="X76">
        <v>38</v>
      </c>
      <c r="Y76">
        <v>33</v>
      </c>
      <c r="Z76">
        <v>46</v>
      </c>
      <c r="AA76">
        <v>3</v>
      </c>
      <c r="AB76">
        <v>114</v>
      </c>
      <c r="AC76">
        <v>63</v>
      </c>
      <c r="AD76" s="1">
        <v>92</v>
      </c>
      <c r="AE76" s="1">
        <v>70</v>
      </c>
      <c r="AF76">
        <v>3.69</v>
      </c>
    </row>
    <row r="77" spans="1:32" x14ac:dyDescent="0.2">
      <c r="A77" s="52">
        <v>2002</v>
      </c>
      <c r="B77" t="s">
        <v>69</v>
      </c>
      <c r="C77" t="s">
        <v>38</v>
      </c>
      <c r="D77">
        <v>608</v>
      </c>
      <c r="E77">
        <v>162</v>
      </c>
      <c r="F77">
        <v>7</v>
      </c>
      <c r="G77">
        <v>4</v>
      </c>
      <c r="H77">
        <v>155</v>
      </c>
      <c r="I77">
        <v>32</v>
      </c>
      <c r="J77">
        <v>1432.1</v>
      </c>
      <c r="K77">
        <v>6339</v>
      </c>
      <c r="L77">
        <v>1468</v>
      </c>
      <c r="M77" s="1">
        <v>821</v>
      </c>
      <c r="N77">
        <f t="shared" si="2"/>
        <v>942</v>
      </c>
      <c r="O77">
        <v>299</v>
      </c>
      <c r="P77">
        <v>28</v>
      </c>
      <c r="Q77">
        <v>199</v>
      </c>
      <c r="R77">
        <v>752</v>
      </c>
      <c r="S77">
        <v>666</v>
      </c>
      <c r="T77">
        <v>82</v>
      </c>
      <c r="U77">
        <f t="shared" si="3"/>
        <v>4143</v>
      </c>
      <c r="V77">
        <v>1026</v>
      </c>
      <c r="W77">
        <v>93</v>
      </c>
      <c r="X77">
        <v>45</v>
      </c>
      <c r="Y77">
        <v>64</v>
      </c>
      <c r="Z77">
        <v>62</v>
      </c>
      <c r="AA77">
        <v>8</v>
      </c>
      <c r="AB77">
        <v>129</v>
      </c>
      <c r="AC77">
        <v>71</v>
      </c>
      <c r="AD77" s="1">
        <v>56</v>
      </c>
      <c r="AE77" s="1">
        <v>106</v>
      </c>
      <c r="AF77">
        <v>4.7300000000000004</v>
      </c>
    </row>
    <row r="78" spans="1:32" x14ac:dyDescent="0.2">
      <c r="A78" s="52">
        <v>2002</v>
      </c>
      <c r="B78" t="s">
        <v>71</v>
      </c>
      <c r="C78" t="s">
        <v>163</v>
      </c>
      <c r="D78">
        <v>596</v>
      </c>
      <c r="E78">
        <v>161</v>
      </c>
      <c r="F78">
        <v>8</v>
      </c>
      <c r="G78">
        <v>9</v>
      </c>
      <c r="H78">
        <v>153</v>
      </c>
      <c r="I78">
        <v>47</v>
      </c>
      <c r="J78">
        <v>1444.2</v>
      </c>
      <c r="K78">
        <v>6133</v>
      </c>
      <c r="L78">
        <v>1454</v>
      </c>
      <c r="M78" s="1">
        <v>712</v>
      </c>
      <c r="N78">
        <f t="shared" si="2"/>
        <v>958</v>
      </c>
      <c r="O78">
        <v>280</v>
      </c>
      <c r="P78">
        <v>32</v>
      </c>
      <c r="Q78">
        <v>184</v>
      </c>
      <c r="R78">
        <v>662</v>
      </c>
      <c r="S78">
        <v>439</v>
      </c>
      <c r="T78">
        <v>24</v>
      </c>
      <c r="U78">
        <f t="shared" si="3"/>
        <v>4195</v>
      </c>
      <c r="V78">
        <v>1026</v>
      </c>
      <c r="W78">
        <v>30</v>
      </c>
      <c r="X78">
        <v>41</v>
      </c>
      <c r="Y78">
        <v>62</v>
      </c>
      <c r="Z78">
        <v>45</v>
      </c>
      <c r="AA78">
        <v>3</v>
      </c>
      <c r="AB78">
        <v>112</v>
      </c>
      <c r="AC78">
        <v>46</v>
      </c>
      <c r="AD78" s="1">
        <v>94</v>
      </c>
      <c r="AE78" s="1">
        <v>67</v>
      </c>
      <c r="AF78">
        <v>4.12</v>
      </c>
    </row>
    <row r="79" spans="1:32" x14ac:dyDescent="0.2">
      <c r="A79" s="52">
        <v>2002</v>
      </c>
      <c r="B79" t="s">
        <v>73</v>
      </c>
      <c r="C79" t="s">
        <v>38</v>
      </c>
      <c r="D79">
        <v>599</v>
      </c>
      <c r="E79">
        <v>162</v>
      </c>
      <c r="F79">
        <v>9</v>
      </c>
      <c r="G79">
        <v>3</v>
      </c>
      <c r="H79">
        <v>153</v>
      </c>
      <c r="I79">
        <v>39</v>
      </c>
      <c r="J79">
        <v>1453</v>
      </c>
      <c r="K79">
        <v>6246</v>
      </c>
      <c r="L79">
        <v>1475</v>
      </c>
      <c r="M79" s="1">
        <v>718</v>
      </c>
      <c r="N79">
        <f t="shared" si="2"/>
        <v>968</v>
      </c>
      <c r="O79">
        <v>305</v>
      </c>
      <c r="P79">
        <v>37</v>
      </c>
      <c r="Q79">
        <v>165</v>
      </c>
      <c r="R79">
        <v>642</v>
      </c>
      <c r="S79">
        <v>508</v>
      </c>
      <c r="T79">
        <v>80</v>
      </c>
      <c r="U79">
        <f t="shared" si="3"/>
        <v>4217</v>
      </c>
      <c r="V79">
        <v>1088</v>
      </c>
      <c r="W79">
        <v>79</v>
      </c>
      <c r="X79">
        <v>39</v>
      </c>
      <c r="Y79">
        <v>51</v>
      </c>
      <c r="Z79">
        <v>46</v>
      </c>
      <c r="AA79">
        <v>5</v>
      </c>
      <c r="AB79">
        <v>132</v>
      </c>
      <c r="AC79">
        <v>98</v>
      </c>
      <c r="AD79" s="1">
        <v>83</v>
      </c>
      <c r="AE79" s="1">
        <v>79</v>
      </c>
      <c r="AF79">
        <v>3.98</v>
      </c>
    </row>
    <row r="80" spans="1:32" x14ac:dyDescent="0.2">
      <c r="A80" s="52">
        <v>2002</v>
      </c>
      <c r="B80" t="s">
        <v>158</v>
      </c>
      <c r="C80" t="s">
        <v>38</v>
      </c>
      <c r="D80">
        <v>612</v>
      </c>
      <c r="E80">
        <v>161</v>
      </c>
      <c r="F80">
        <v>9</v>
      </c>
      <c r="G80">
        <v>10</v>
      </c>
      <c r="H80">
        <v>152</v>
      </c>
      <c r="I80">
        <v>36</v>
      </c>
      <c r="J80">
        <v>1442.2</v>
      </c>
      <c r="K80">
        <v>6212</v>
      </c>
      <c r="L80">
        <v>1408</v>
      </c>
      <c r="M80" s="1">
        <v>703</v>
      </c>
      <c r="N80">
        <f t="shared" si="2"/>
        <v>958</v>
      </c>
      <c r="O80">
        <v>256</v>
      </c>
      <c r="P80">
        <v>31</v>
      </c>
      <c r="Q80">
        <v>163</v>
      </c>
      <c r="R80">
        <v>626</v>
      </c>
      <c r="S80">
        <v>543</v>
      </c>
      <c r="T80">
        <v>75</v>
      </c>
      <c r="U80">
        <f t="shared" si="3"/>
        <v>4206</v>
      </c>
      <c r="V80">
        <v>1107</v>
      </c>
      <c r="W80">
        <v>74</v>
      </c>
      <c r="X80">
        <v>42</v>
      </c>
      <c r="Y80">
        <v>22</v>
      </c>
      <c r="Z80">
        <v>55</v>
      </c>
      <c r="AA80">
        <v>7</v>
      </c>
      <c r="AB80">
        <v>114</v>
      </c>
      <c r="AC80">
        <v>90</v>
      </c>
      <c r="AD80" s="1">
        <v>75</v>
      </c>
      <c r="AE80" s="1">
        <v>86</v>
      </c>
      <c r="AF80">
        <v>3.91</v>
      </c>
    </row>
    <row r="81" spans="1:32" x14ac:dyDescent="0.2">
      <c r="A81" s="52">
        <v>2002</v>
      </c>
      <c r="B81" t="s">
        <v>158</v>
      </c>
      <c r="C81" t="s">
        <v>163</v>
      </c>
      <c r="D81">
        <v>495</v>
      </c>
      <c r="E81">
        <v>161</v>
      </c>
      <c r="F81">
        <v>9</v>
      </c>
      <c r="G81">
        <v>11</v>
      </c>
      <c r="H81">
        <v>152</v>
      </c>
      <c r="I81">
        <v>53</v>
      </c>
      <c r="J81">
        <v>1452</v>
      </c>
      <c r="K81">
        <v>6159</v>
      </c>
      <c r="L81">
        <v>1441</v>
      </c>
      <c r="M81" s="1">
        <v>697</v>
      </c>
      <c r="N81">
        <f t="shared" si="2"/>
        <v>970</v>
      </c>
      <c r="O81">
        <v>301</v>
      </c>
      <c r="P81">
        <v>26</v>
      </c>
      <c r="Q81">
        <v>144</v>
      </c>
      <c r="R81">
        <v>625</v>
      </c>
      <c r="S81">
        <v>403</v>
      </c>
      <c r="T81">
        <v>44</v>
      </c>
      <c r="U81">
        <f t="shared" si="3"/>
        <v>4267</v>
      </c>
      <c r="V81">
        <v>1135</v>
      </c>
      <c r="W81">
        <v>38</v>
      </c>
      <c r="X81">
        <v>41</v>
      </c>
      <c r="Y81">
        <v>59</v>
      </c>
      <c r="Z81">
        <v>48</v>
      </c>
      <c r="AA81">
        <v>2</v>
      </c>
      <c r="AB81">
        <v>100</v>
      </c>
      <c r="AC81">
        <v>90</v>
      </c>
      <c r="AD81" s="1">
        <v>103</v>
      </c>
      <c r="AE81" s="1">
        <v>58</v>
      </c>
      <c r="AF81">
        <v>3.87</v>
      </c>
    </row>
    <row r="82" spans="1:32" x14ac:dyDescent="0.2">
      <c r="A82" s="52">
        <v>2002</v>
      </c>
      <c r="B82" t="s">
        <v>79</v>
      </c>
      <c r="C82" t="s">
        <v>163</v>
      </c>
      <c r="D82">
        <v>570</v>
      </c>
      <c r="E82">
        <v>162</v>
      </c>
      <c r="F82">
        <v>9</v>
      </c>
      <c r="G82">
        <v>19</v>
      </c>
      <c r="H82">
        <v>153</v>
      </c>
      <c r="I82">
        <v>48</v>
      </c>
      <c r="J82">
        <v>1452</v>
      </c>
      <c r="K82">
        <v>6158</v>
      </c>
      <c r="L82">
        <v>1391</v>
      </c>
      <c r="M82" s="1">
        <v>654</v>
      </c>
      <c r="N82">
        <f t="shared" si="2"/>
        <v>959</v>
      </c>
      <c r="O82">
        <v>269</v>
      </c>
      <c r="P82">
        <v>28</v>
      </c>
      <c r="Q82">
        <v>135</v>
      </c>
      <c r="R82">
        <v>593</v>
      </c>
      <c r="S82">
        <v>474</v>
      </c>
      <c r="T82">
        <v>45</v>
      </c>
      <c r="U82">
        <f t="shared" si="3"/>
        <v>4231</v>
      </c>
      <c r="V82">
        <v>1021</v>
      </c>
      <c r="W82">
        <v>50</v>
      </c>
      <c r="X82">
        <v>42</v>
      </c>
      <c r="Y82">
        <v>40</v>
      </c>
      <c r="Z82">
        <v>62</v>
      </c>
      <c r="AA82">
        <v>9</v>
      </c>
      <c r="AB82">
        <v>127</v>
      </c>
      <c r="AC82">
        <v>70</v>
      </c>
      <c r="AD82" s="1">
        <v>103</v>
      </c>
      <c r="AE82" s="1">
        <v>59</v>
      </c>
      <c r="AF82">
        <v>3.68</v>
      </c>
    </row>
    <row r="83" spans="1:32" x14ac:dyDescent="0.2">
      <c r="A83" s="52">
        <v>2002</v>
      </c>
      <c r="B83" t="s">
        <v>81</v>
      </c>
      <c r="C83" t="s">
        <v>38</v>
      </c>
      <c r="D83">
        <v>611</v>
      </c>
      <c r="E83">
        <v>161</v>
      </c>
      <c r="F83">
        <v>5</v>
      </c>
      <c r="G83">
        <v>9</v>
      </c>
      <c r="H83">
        <v>156</v>
      </c>
      <c r="I83">
        <v>47</v>
      </c>
      <c r="J83">
        <v>1449.2</v>
      </c>
      <c r="K83">
        <v>6222</v>
      </c>
      <c r="L83">
        <v>1381</v>
      </c>
      <c r="M83" s="1">
        <v>724</v>
      </c>
      <c r="N83">
        <f t="shared" si="2"/>
        <v>906</v>
      </c>
      <c r="O83">
        <v>285</v>
      </c>
      <c r="P83">
        <v>37</v>
      </c>
      <c r="Q83">
        <v>153</v>
      </c>
      <c r="R83">
        <v>671</v>
      </c>
      <c r="S83">
        <v>570</v>
      </c>
      <c r="T83">
        <v>54</v>
      </c>
      <c r="U83">
        <f t="shared" si="3"/>
        <v>4201</v>
      </c>
      <c r="V83">
        <v>1075</v>
      </c>
      <c r="W83">
        <v>66</v>
      </c>
      <c r="X83">
        <v>34</v>
      </c>
      <c r="Y83">
        <v>68</v>
      </c>
      <c r="Z83">
        <v>70</v>
      </c>
      <c r="AA83">
        <v>5</v>
      </c>
      <c r="AB83">
        <v>134</v>
      </c>
      <c r="AC83">
        <v>64</v>
      </c>
      <c r="AD83" s="1">
        <v>80</v>
      </c>
      <c r="AE83" s="1">
        <v>81</v>
      </c>
      <c r="AF83">
        <v>4.17</v>
      </c>
    </row>
    <row r="84" spans="1:32" x14ac:dyDescent="0.2">
      <c r="A84" s="52">
        <v>2002</v>
      </c>
      <c r="B84" t="s">
        <v>83</v>
      </c>
      <c r="C84" t="s">
        <v>38</v>
      </c>
      <c r="D84">
        <v>619</v>
      </c>
      <c r="E84">
        <v>161</v>
      </c>
      <c r="F84">
        <v>2</v>
      </c>
      <c r="G84">
        <v>7</v>
      </c>
      <c r="H84">
        <v>159</v>
      </c>
      <c r="I84">
        <v>47</v>
      </c>
      <c r="J84">
        <v>1412.2</v>
      </c>
      <c r="K84">
        <v>6131</v>
      </c>
      <c r="L84">
        <v>1447</v>
      </c>
      <c r="M84" s="1">
        <v>730</v>
      </c>
      <c r="N84">
        <f t="shared" si="2"/>
        <v>963</v>
      </c>
      <c r="O84">
        <v>290</v>
      </c>
      <c r="P84">
        <v>31</v>
      </c>
      <c r="Q84">
        <v>163</v>
      </c>
      <c r="R84">
        <v>664</v>
      </c>
      <c r="S84">
        <v>572</v>
      </c>
      <c r="T84">
        <v>93</v>
      </c>
      <c r="U84">
        <f t="shared" si="3"/>
        <v>4057</v>
      </c>
      <c r="V84">
        <v>920</v>
      </c>
      <c r="W84">
        <v>60</v>
      </c>
      <c r="X84">
        <v>35</v>
      </c>
      <c r="Y84">
        <v>34</v>
      </c>
      <c r="Z84">
        <v>55</v>
      </c>
      <c r="AA84">
        <v>5</v>
      </c>
      <c r="AB84">
        <v>146</v>
      </c>
      <c r="AC84">
        <v>78</v>
      </c>
      <c r="AD84" s="1">
        <v>72</v>
      </c>
      <c r="AE84" s="1">
        <v>89</v>
      </c>
      <c r="AF84">
        <v>4.2300000000000004</v>
      </c>
    </row>
    <row r="85" spans="1:32" x14ac:dyDescent="0.2">
      <c r="A85" s="52">
        <v>2002</v>
      </c>
      <c r="B85" t="s">
        <v>161</v>
      </c>
      <c r="C85" t="s">
        <v>38</v>
      </c>
      <c r="D85">
        <v>621</v>
      </c>
      <c r="E85">
        <v>162</v>
      </c>
      <c r="F85">
        <v>5</v>
      </c>
      <c r="G85">
        <v>10</v>
      </c>
      <c r="H85">
        <v>157</v>
      </c>
      <c r="I85">
        <v>40</v>
      </c>
      <c r="J85">
        <v>1436.1</v>
      </c>
      <c r="K85">
        <v>6333</v>
      </c>
      <c r="L85">
        <v>1522</v>
      </c>
      <c r="M85" s="1">
        <v>815</v>
      </c>
      <c r="N85">
        <f t="shared" si="2"/>
        <v>981</v>
      </c>
      <c r="O85">
        <v>323</v>
      </c>
      <c r="P85">
        <v>41</v>
      </c>
      <c r="Q85">
        <v>177</v>
      </c>
      <c r="R85">
        <v>740</v>
      </c>
      <c r="S85">
        <v>582</v>
      </c>
      <c r="T85">
        <v>61</v>
      </c>
      <c r="U85">
        <f t="shared" si="3"/>
        <v>4163</v>
      </c>
      <c r="V85">
        <v>1108</v>
      </c>
      <c r="W85">
        <v>64</v>
      </c>
      <c r="X85">
        <v>58</v>
      </c>
      <c r="Y85">
        <v>51</v>
      </c>
      <c r="Z85">
        <v>66</v>
      </c>
      <c r="AA85">
        <v>4</v>
      </c>
      <c r="AB85">
        <v>135</v>
      </c>
      <c r="AC85">
        <v>87</v>
      </c>
      <c r="AD85" s="1">
        <v>66</v>
      </c>
      <c r="AE85" s="1">
        <v>96</v>
      </c>
      <c r="AF85">
        <v>4.6399999999999997</v>
      </c>
    </row>
    <row r="86" spans="1:32" x14ac:dyDescent="0.2">
      <c r="A86" s="52">
        <v>2002</v>
      </c>
      <c r="B86" t="s">
        <v>87</v>
      </c>
      <c r="C86" t="s">
        <v>163</v>
      </c>
      <c r="D86">
        <v>505</v>
      </c>
      <c r="E86">
        <v>162</v>
      </c>
      <c r="F86">
        <v>8</v>
      </c>
      <c r="G86">
        <v>12</v>
      </c>
      <c r="H86">
        <v>154</v>
      </c>
      <c r="I86">
        <v>43</v>
      </c>
      <c r="J86">
        <v>1445.1</v>
      </c>
      <c r="K86">
        <v>6117</v>
      </c>
      <c r="L86">
        <v>1422</v>
      </c>
      <c r="M86" s="1">
        <v>699</v>
      </c>
      <c r="N86">
        <f t="shared" si="2"/>
        <v>946</v>
      </c>
      <c r="O86">
        <v>283</v>
      </c>
      <c r="P86">
        <v>15</v>
      </c>
      <c r="Q86">
        <v>178</v>
      </c>
      <c r="R86">
        <v>654</v>
      </c>
      <c r="S86">
        <v>441</v>
      </c>
      <c r="T86">
        <v>34</v>
      </c>
      <c r="U86">
        <f t="shared" si="3"/>
        <v>4205</v>
      </c>
      <c r="V86">
        <v>1063</v>
      </c>
      <c r="W86">
        <v>39</v>
      </c>
      <c r="X86">
        <v>48</v>
      </c>
      <c r="Y86">
        <v>42</v>
      </c>
      <c r="Z86">
        <v>49</v>
      </c>
      <c r="AA86">
        <v>3</v>
      </c>
      <c r="AB86">
        <v>119</v>
      </c>
      <c r="AC86">
        <v>58</v>
      </c>
      <c r="AD86" s="1">
        <v>93</v>
      </c>
      <c r="AE86" s="1">
        <v>69</v>
      </c>
      <c r="AF86">
        <v>4.07</v>
      </c>
    </row>
    <row r="87" spans="1:32" x14ac:dyDescent="0.2">
      <c r="A87" s="52">
        <v>2002</v>
      </c>
      <c r="B87" t="s">
        <v>21</v>
      </c>
      <c r="C87" t="s">
        <v>38</v>
      </c>
      <c r="D87">
        <v>579</v>
      </c>
      <c r="E87">
        <v>162</v>
      </c>
      <c r="F87">
        <v>10</v>
      </c>
      <c r="G87">
        <v>13</v>
      </c>
      <c r="H87">
        <v>152</v>
      </c>
      <c r="I87">
        <v>43</v>
      </c>
      <c r="J87">
        <v>1437.1</v>
      </c>
      <c r="K87">
        <v>6056</v>
      </c>
      <c r="L87">
        <v>1349</v>
      </c>
      <c r="M87" s="1">
        <v>616</v>
      </c>
      <c r="N87">
        <f t="shared" si="2"/>
        <v>960</v>
      </c>
      <c r="O87">
        <v>242</v>
      </c>
      <c r="P87">
        <v>31</v>
      </c>
      <c r="Q87">
        <v>116</v>
      </c>
      <c r="R87">
        <v>566</v>
      </c>
      <c r="S87">
        <v>523</v>
      </c>
      <c r="T87">
        <v>44</v>
      </c>
      <c r="U87">
        <f t="shared" si="3"/>
        <v>4148</v>
      </c>
      <c r="V87">
        <v>992</v>
      </c>
      <c r="W87">
        <v>72</v>
      </c>
      <c r="X87">
        <v>43</v>
      </c>
      <c r="Y87">
        <v>36</v>
      </c>
      <c r="Z87">
        <v>36</v>
      </c>
      <c r="AA87">
        <v>2</v>
      </c>
      <c r="AB87">
        <v>138</v>
      </c>
      <c r="AC87">
        <v>65</v>
      </c>
      <c r="AD87" s="1">
        <v>95</v>
      </c>
      <c r="AE87" s="1">
        <v>66</v>
      </c>
      <c r="AF87">
        <v>3.54</v>
      </c>
    </row>
    <row r="88" spans="1:32" x14ac:dyDescent="0.2">
      <c r="A88" s="52">
        <v>2002</v>
      </c>
      <c r="B88" t="s">
        <v>156</v>
      </c>
      <c r="C88" t="s">
        <v>38</v>
      </c>
      <c r="D88">
        <v>634</v>
      </c>
      <c r="E88">
        <v>162</v>
      </c>
      <c r="F88">
        <v>4</v>
      </c>
      <c r="G88">
        <v>9</v>
      </c>
      <c r="H88">
        <v>158</v>
      </c>
      <c r="I88">
        <v>42</v>
      </c>
      <c r="J88">
        <v>1446.1</v>
      </c>
      <c r="K88">
        <v>6135</v>
      </c>
      <c r="L88">
        <v>1355</v>
      </c>
      <c r="M88" s="1">
        <v>648</v>
      </c>
      <c r="N88">
        <f t="shared" si="2"/>
        <v>924</v>
      </c>
      <c r="O88">
        <v>275</v>
      </c>
      <c r="P88">
        <v>15</v>
      </c>
      <c r="Q88">
        <v>141</v>
      </c>
      <c r="R88">
        <v>595</v>
      </c>
      <c r="S88">
        <v>547</v>
      </c>
      <c r="T88">
        <v>39</v>
      </c>
      <c r="U88">
        <f t="shared" si="3"/>
        <v>4173</v>
      </c>
      <c r="V88">
        <v>1009</v>
      </c>
      <c r="W88">
        <v>70</v>
      </c>
      <c r="X88">
        <v>56</v>
      </c>
      <c r="Y88">
        <v>40</v>
      </c>
      <c r="Z88">
        <v>60</v>
      </c>
      <c r="AA88">
        <v>2</v>
      </c>
      <c r="AB88">
        <v>133</v>
      </c>
      <c r="AC88">
        <v>64</v>
      </c>
      <c r="AD88" s="1">
        <v>97</v>
      </c>
      <c r="AE88" s="1">
        <v>65</v>
      </c>
      <c r="AF88">
        <v>3.7</v>
      </c>
    </row>
    <row r="89" spans="1:32" x14ac:dyDescent="0.2">
      <c r="A89" s="52">
        <v>2002</v>
      </c>
      <c r="B89" t="s">
        <v>165</v>
      </c>
      <c r="C89" t="s">
        <v>163</v>
      </c>
      <c r="D89">
        <v>467</v>
      </c>
      <c r="E89">
        <v>161</v>
      </c>
      <c r="F89">
        <v>12</v>
      </c>
      <c r="G89">
        <v>3</v>
      </c>
      <c r="H89">
        <v>149</v>
      </c>
      <c r="I89">
        <v>25</v>
      </c>
      <c r="J89">
        <v>1440.1</v>
      </c>
      <c r="K89">
        <v>6424</v>
      </c>
      <c r="L89">
        <v>1567</v>
      </c>
      <c r="M89" s="1">
        <v>918</v>
      </c>
      <c r="N89">
        <f t="shared" si="2"/>
        <v>990</v>
      </c>
      <c r="O89">
        <v>337</v>
      </c>
      <c r="P89">
        <v>25</v>
      </c>
      <c r="Q89">
        <v>215</v>
      </c>
      <c r="R89">
        <v>846</v>
      </c>
      <c r="S89">
        <v>620</v>
      </c>
      <c r="T89">
        <v>24</v>
      </c>
      <c r="U89">
        <f t="shared" si="3"/>
        <v>4143</v>
      </c>
      <c r="V89">
        <v>925</v>
      </c>
      <c r="W89">
        <v>35</v>
      </c>
      <c r="X89">
        <v>57</v>
      </c>
      <c r="Y89">
        <v>62</v>
      </c>
      <c r="Z89">
        <v>94</v>
      </c>
      <c r="AA89">
        <v>10</v>
      </c>
      <c r="AB89">
        <v>141</v>
      </c>
      <c r="AC89">
        <v>77</v>
      </c>
      <c r="AD89" s="1">
        <v>55</v>
      </c>
      <c r="AE89" s="1">
        <v>106</v>
      </c>
      <c r="AF89">
        <v>5.29</v>
      </c>
    </row>
    <row r="90" spans="1:32" x14ac:dyDescent="0.2">
      <c r="A90" s="52">
        <v>2002</v>
      </c>
      <c r="B90" t="s">
        <v>95</v>
      </c>
      <c r="C90" t="s">
        <v>163</v>
      </c>
      <c r="D90">
        <v>649</v>
      </c>
      <c r="E90">
        <v>162</v>
      </c>
      <c r="F90">
        <v>4</v>
      </c>
      <c r="G90">
        <v>4</v>
      </c>
      <c r="H90">
        <v>158</v>
      </c>
      <c r="I90">
        <v>33</v>
      </c>
      <c r="J90">
        <v>1439.2</v>
      </c>
      <c r="K90">
        <v>6446</v>
      </c>
      <c r="L90">
        <v>1528</v>
      </c>
      <c r="M90" s="1">
        <v>882</v>
      </c>
      <c r="N90">
        <f t="shared" si="2"/>
        <v>949</v>
      </c>
      <c r="O90">
        <v>344</v>
      </c>
      <c r="P90">
        <v>41</v>
      </c>
      <c r="Q90">
        <v>194</v>
      </c>
      <c r="R90">
        <v>825</v>
      </c>
      <c r="S90">
        <v>669</v>
      </c>
      <c r="T90">
        <v>32</v>
      </c>
      <c r="U90">
        <f t="shared" si="3"/>
        <v>4173</v>
      </c>
      <c r="V90">
        <v>1030</v>
      </c>
      <c r="W90">
        <v>38</v>
      </c>
      <c r="X90">
        <v>40</v>
      </c>
      <c r="Y90">
        <v>84</v>
      </c>
      <c r="Z90">
        <v>76</v>
      </c>
      <c r="AA90">
        <v>11</v>
      </c>
      <c r="AB90">
        <v>131</v>
      </c>
      <c r="AC90">
        <v>70</v>
      </c>
      <c r="AD90" s="1">
        <v>72</v>
      </c>
      <c r="AE90" s="1">
        <v>90</v>
      </c>
      <c r="AF90">
        <v>5.16</v>
      </c>
    </row>
    <row r="91" spans="1:32" x14ac:dyDescent="0.2">
      <c r="A91" s="52">
        <v>2002</v>
      </c>
      <c r="B91" t="s">
        <v>97</v>
      </c>
      <c r="C91" t="s">
        <v>163</v>
      </c>
      <c r="D91">
        <v>623</v>
      </c>
      <c r="E91">
        <v>162</v>
      </c>
      <c r="F91">
        <v>6</v>
      </c>
      <c r="G91">
        <v>6</v>
      </c>
      <c r="H91">
        <v>156</v>
      </c>
      <c r="I91">
        <v>41</v>
      </c>
      <c r="J91">
        <v>1438.1</v>
      </c>
      <c r="K91">
        <v>6338</v>
      </c>
      <c r="L91">
        <v>1504</v>
      </c>
      <c r="M91" s="1">
        <v>828</v>
      </c>
      <c r="N91">
        <f t="shared" si="2"/>
        <v>986</v>
      </c>
      <c r="O91">
        <v>312</v>
      </c>
      <c r="P91">
        <v>29</v>
      </c>
      <c r="Q91">
        <v>177</v>
      </c>
      <c r="R91">
        <v>767</v>
      </c>
      <c r="S91">
        <v>590</v>
      </c>
      <c r="T91">
        <v>56</v>
      </c>
      <c r="U91">
        <f t="shared" si="3"/>
        <v>4173</v>
      </c>
      <c r="V91">
        <v>991</v>
      </c>
      <c r="W91">
        <v>42</v>
      </c>
      <c r="X91">
        <v>52</v>
      </c>
      <c r="Y91">
        <v>57</v>
      </c>
      <c r="Z91">
        <v>71</v>
      </c>
      <c r="AA91">
        <v>4</v>
      </c>
      <c r="AB91">
        <v>131</v>
      </c>
      <c r="AC91">
        <v>76</v>
      </c>
      <c r="AD91" s="1">
        <v>78</v>
      </c>
      <c r="AE91" s="1">
        <v>84</v>
      </c>
      <c r="AF91">
        <v>4.8</v>
      </c>
    </row>
    <row r="92" spans="1:32" x14ac:dyDescent="0.2">
      <c r="A92" s="52">
        <v>2003</v>
      </c>
      <c r="B92" t="s">
        <v>37</v>
      </c>
      <c r="C92" t="s">
        <v>163</v>
      </c>
      <c r="D92">
        <v>537</v>
      </c>
      <c r="E92">
        <v>162</v>
      </c>
      <c r="F92">
        <v>5</v>
      </c>
      <c r="G92">
        <v>9</v>
      </c>
      <c r="H92">
        <v>157</v>
      </c>
      <c r="I92">
        <v>39</v>
      </c>
      <c r="J92">
        <v>1431.1</v>
      </c>
      <c r="K92">
        <v>6161</v>
      </c>
      <c r="L92">
        <v>1444</v>
      </c>
      <c r="M92" s="1">
        <v>743</v>
      </c>
      <c r="N92">
        <f t="shared" si="2"/>
        <v>967</v>
      </c>
      <c r="O92">
        <v>260</v>
      </c>
      <c r="P92">
        <v>27</v>
      </c>
      <c r="Q92">
        <v>190</v>
      </c>
      <c r="R92">
        <v>680</v>
      </c>
      <c r="S92">
        <v>486</v>
      </c>
      <c r="T92">
        <v>38</v>
      </c>
      <c r="U92">
        <f t="shared" si="3"/>
        <v>4155</v>
      </c>
      <c r="V92">
        <v>980</v>
      </c>
      <c r="W92">
        <v>25</v>
      </c>
      <c r="X92">
        <v>42</v>
      </c>
      <c r="Y92">
        <v>53</v>
      </c>
      <c r="Z92">
        <v>76</v>
      </c>
      <c r="AA92">
        <v>3</v>
      </c>
      <c r="AB92">
        <v>112</v>
      </c>
      <c r="AC92">
        <v>70</v>
      </c>
      <c r="AD92" s="1">
        <v>77</v>
      </c>
      <c r="AE92" s="1">
        <v>85</v>
      </c>
      <c r="AF92">
        <v>4.28</v>
      </c>
    </row>
    <row r="93" spans="1:32" x14ac:dyDescent="0.2">
      <c r="A93" s="52">
        <v>2003</v>
      </c>
      <c r="B93" t="s">
        <v>40</v>
      </c>
      <c r="C93" t="s">
        <v>38</v>
      </c>
      <c r="D93">
        <v>614</v>
      </c>
      <c r="E93">
        <v>162</v>
      </c>
      <c r="F93">
        <v>7</v>
      </c>
      <c r="G93">
        <v>11</v>
      </c>
      <c r="H93">
        <v>155</v>
      </c>
      <c r="I93">
        <v>42</v>
      </c>
      <c r="J93">
        <v>1455</v>
      </c>
      <c r="K93">
        <v>6230</v>
      </c>
      <c r="L93">
        <v>1379</v>
      </c>
      <c r="M93" s="1">
        <v>685</v>
      </c>
      <c r="N93">
        <f t="shared" si="2"/>
        <v>939</v>
      </c>
      <c r="O93">
        <v>266</v>
      </c>
      <c r="P93">
        <v>24</v>
      </c>
      <c r="Q93">
        <v>150</v>
      </c>
      <c r="R93">
        <v>621</v>
      </c>
      <c r="S93">
        <v>526</v>
      </c>
      <c r="T93">
        <v>53</v>
      </c>
      <c r="U93">
        <f t="shared" si="3"/>
        <v>4253</v>
      </c>
      <c r="V93">
        <v>1291</v>
      </c>
      <c r="W93">
        <v>81</v>
      </c>
      <c r="X93">
        <v>31</v>
      </c>
      <c r="Y93">
        <v>52</v>
      </c>
      <c r="Z93">
        <v>72</v>
      </c>
      <c r="AA93">
        <v>9</v>
      </c>
      <c r="AB93">
        <v>106</v>
      </c>
      <c r="AC93">
        <v>81</v>
      </c>
      <c r="AD93" s="1">
        <v>84</v>
      </c>
      <c r="AE93" s="1">
        <v>78</v>
      </c>
      <c r="AF93">
        <v>3.84</v>
      </c>
    </row>
    <row r="94" spans="1:32" x14ac:dyDescent="0.2">
      <c r="A94" s="52">
        <v>2003</v>
      </c>
      <c r="B94" t="s">
        <v>42</v>
      </c>
      <c r="C94" t="s">
        <v>38</v>
      </c>
      <c r="D94">
        <v>651</v>
      </c>
      <c r="E94">
        <v>162</v>
      </c>
      <c r="F94">
        <v>4</v>
      </c>
      <c r="G94">
        <v>7</v>
      </c>
      <c r="H94">
        <v>158</v>
      </c>
      <c r="I94">
        <v>51</v>
      </c>
      <c r="J94">
        <v>1456.1</v>
      </c>
      <c r="K94">
        <v>6247</v>
      </c>
      <c r="L94">
        <v>1425</v>
      </c>
      <c r="M94" s="1">
        <v>740</v>
      </c>
      <c r="N94">
        <f t="shared" si="2"/>
        <v>944</v>
      </c>
      <c r="O94">
        <v>309</v>
      </c>
      <c r="P94">
        <v>25</v>
      </c>
      <c r="Q94">
        <v>147</v>
      </c>
      <c r="R94">
        <v>663</v>
      </c>
      <c r="S94">
        <v>555</v>
      </c>
      <c r="T94">
        <v>69</v>
      </c>
      <c r="U94">
        <f t="shared" si="3"/>
        <v>4225</v>
      </c>
      <c r="V94">
        <v>992</v>
      </c>
      <c r="W94">
        <v>63</v>
      </c>
      <c r="X94">
        <v>39</v>
      </c>
      <c r="Y94">
        <v>53</v>
      </c>
      <c r="Z94">
        <v>42</v>
      </c>
      <c r="AA94">
        <v>4</v>
      </c>
      <c r="AB94">
        <v>145</v>
      </c>
      <c r="AC94">
        <v>86</v>
      </c>
      <c r="AD94" s="1">
        <v>101</v>
      </c>
      <c r="AE94" s="1">
        <v>61</v>
      </c>
      <c r="AF94">
        <v>4.0999999999999996</v>
      </c>
    </row>
    <row r="95" spans="1:32" x14ac:dyDescent="0.2">
      <c r="A95" s="52">
        <v>2003</v>
      </c>
      <c r="B95" t="s">
        <v>45</v>
      </c>
      <c r="C95" t="s">
        <v>163</v>
      </c>
      <c r="D95">
        <v>588</v>
      </c>
      <c r="E95">
        <v>163</v>
      </c>
      <c r="F95">
        <v>9</v>
      </c>
      <c r="G95">
        <v>3</v>
      </c>
      <c r="H95">
        <v>154</v>
      </c>
      <c r="I95">
        <v>41</v>
      </c>
      <c r="J95">
        <v>1449.2</v>
      </c>
      <c r="K95">
        <v>6366</v>
      </c>
      <c r="L95">
        <v>1579</v>
      </c>
      <c r="M95" s="1">
        <v>820</v>
      </c>
      <c r="N95">
        <f t="shared" si="2"/>
        <v>1045</v>
      </c>
      <c r="O95">
        <v>309</v>
      </c>
      <c r="P95">
        <v>27</v>
      </c>
      <c r="Q95">
        <v>198</v>
      </c>
      <c r="R95">
        <v>767</v>
      </c>
      <c r="S95">
        <v>526</v>
      </c>
      <c r="T95">
        <v>43</v>
      </c>
      <c r="U95">
        <f t="shared" si="3"/>
        <v>4181</v>
      </c>
      <c r="V95">
        <v>981</v>
      </c>
      <c r="W95">
        <v>42</v>
      </c>
      <c r="X95">
        <v>35</v>
      </c>
      <c r="Y95">
        <v>42</v>
      </c>
      <c r="Z95">
        <v>80</v>
      </c>
      <c r="AA95">
        <v>4</v>
      </c>
      <c r="AB95">
        <v>139</v>
      </c>
      <c r="AC95">
        <v>69</v>
      </c>
      <c r="AD95" s="1">
        <v>71</v>
      </c>
      <c r="AE95" s="1">
        <v>91</v>
      </c>
      <c r="AF95">
        <v>4.76</v>
      </c>
    </row>
    <row r="96" spans="1:32" x14ac:dyDescent="0.2">
      <c r="A96" s="52">
        <v>2003</v>
      </c>
      <c r="B96" t="s">
        <v>47</v>
      </c>
      <c r="C96" t="s">
        <v>163</v>
      </c>
      <c r="D96">
        <v>599</v>
      </c>
      <c r="E96">
        <v>162</v>
      </c>
      <c r="F96">
        <v>5</v>
      </c>
      <c r="G96">
        <v>6</v>
      </c>
      <c r="H96">
        <v>157</v>
      </c>
      <c r="I96">
        <v>36</v>
      </c>
      <c r="J96">
        <v>1464.2</v>
      </c>
      <c r="K96">
        <v>6355</v>
      </c>
      <c r="L96">
        <v>1503</v>
      </c>
      <c r="M96" s="1">
        <v>809</v>
      </c>
      <c r="N96">
        <f t="shared" si="2"/>
        <v>982</v>
      </c>
      <c r="O96">
        <v>328</v>
      </c>
      <c r="P96">
        <v>40</v>
      </c>
      <c r="Q96">
        <v>153</v>
      </c>
      <c r="R96">
        <v>729</v>
      </c>
      <c r="S96">
        <v>488</v>
      </c>
      <c r="T96">
        <v>41</v>
      </c>
      <c r="U96">
        <f t="shared" si="3"/>
        <v>4288</v>
      </c>
      <c r="V96">
        <v>1141</v>
      </c>
      <c r="W96">
        <v>28</v>
      </c>
      <c r="X96">
        <v>52</v>
      </c>
      <c r="Y96">
        <v>44</v>
      </c>
      <c r="Z96">
        <v>76</v>
      </c>
      <c r="AA96">
        <v>0</v>
      </c>
      <c r="AB96">
        <v>109</v>
      </c>
      <c r="AC96">
        <v>80</v>
      </c>
      <c r="AD96" s="1">
        <v>95</v>
      </c>
      <c r="AE96" s="1">
        <v>67</v>
      </c>
      <c r="AF96">
        <v>4.4800000000000004</v>
      </c>
    </row>
    <row r="97" spans="1:32" x14ac:dyDescent="0.2">
      <c r="A97" s="52">
        <v>2003</v>
      </c>
      <c r="B97" t="s">
        <v>157</v>
      </c>
      <c r="C97" t="s">
        <v>38</v>
      </c>
      <c r="D97">
        <v>582</v>
      </c>
      <c r="E97">
        <v>162</v>
      </c>
      <c r="F97">
        <v>13</v>
      </c>
      <c r="G97">
        <v>14</v>
      </c>
      <c r="H97">
        <v>149</v>
      </c>
      <c r="I97">
        <v>36</v>
      </c>
      <c r="J97">
        <v>1456.1</v>
      </c>
      <c r="K97">
        <v>6227</v>
      </c>
      <c r="L97">
        <v>1304</v>
      </c>
      <c r="M97" s="1">
        <v>683</v>
      </c>
      <c r="N97">
        <f t="shared" si="2"/>
        <v>894</v>
      </c>
      <c r="O97">
        <v>248</v>
      </c>
      <c r="P97">
        <v>19</v>
      </c>
      <c r="Q97">
        <v>143</v>
      </c>
      <c r="R97">
        <v>619</v>
      </c>
      <c r="S97">
        <v>617</v>
      </c>
      <c r="T97">
        <v>36</v>
      </c>
      <c r="U97">
        <f t="shared" si="3"/>
        <v>4235</v>
      </c>
      <c r="V97">
        <v>1404</v>
      </c>
      <c r="W97">
        <v>82</v>
      </c>
      <c r="X97">
        <v>36</v>
      </c>
      <c r="Y97">
        <v>63</v>
      </c>
      <c r="Z97">
        <v>71</v>
      </c>
      <c r="AA97">
        <v>3</v>
      </c>
      <c r="AB97">
        <v>136</v>
      </c>
      <c r="AC97">
        <v>76</v>
      </c>
      <c r="AD97" s="1">
        <v>88</v>
      </c>
      <c r="AE97" s="1">
        <v>74</v>
      </c>
      <c r="AF97">
        <v>3.83</v>
      </c>
    </row>
    <row r="98" spans="1:32" x14ac:dyDescent="0.2">
      <c r="A98" s="52">
        <v>2003</v>
      </c>
      <c r="B98" t="s">
        <v>157</v>
      </c>
      <c r="C98" t="s">
        <v>163</v>
      </c>
      <c r="D98">
        <v>523</v>
      </c>
      <c r="E98">
        <v>162</v>
      </c>
      <c r="F98">
        <v>12</v>
      </c>
      <c r="G98">
        <v>4</v>
      </c>
      <c r="H98">
        <v>150</v>
      </c>
      <c r="I98">
        <v>36</v>
      </c>
      <c r="J98">
        <v>1431</v>
      </c>
      <c r="K98">
        <v>6067</v>
      </c>
      <c r="L98">
        <v>1364</v>
      </c>
      <c r="M98" s="1">
        <v>715</v>
      </c>
      <c r="N98">
        <f t="shared" si="2"/>
        <v>899</v>
      </c>
      <c r="O98">
        <v>279</v>
      </c>
      <c r="P98">
        <v>24</v>
      </c>
      <c r="Q98">
        <v>162</v>
      </c>
      <c r="R98">
        <v>663</v>
      </c>
      <c r="S98">
        <v>518</v>
      </c>
      <c r="T98">
        <v>30</v>
      </c>
      <c r="U98">
        <f t="shared" si="3"/>
        <v>4132</v>
      </c>
      <c r="V98">
        <v>1056</v>
      </c>
      <c r="W98">
        <v>48</v>
      </c>
      <c r="X98">
        <v>57</v>
      </c>
      <c r="Y98">
        <v>39</v>
      </c>
      <c r="Z98">
        <v>53</v>
      </c>
      <c r="AA98">
        <v>4</v>
      </c>
      <c r="AB98">
        <v>135</v>
      </c>
      <c r="AC98">
        <v>59</v>
      </c>
      <c r="AD98" s="1">
        <v>86</v>
      </c>
      <c r="AE98" s="1">
        <v>76</v>
      </c>
      <c r="AF98">
        <v>4.17</v>
      </c>
    </row>
    <row r="99" spans="1:32" x14ac:dyDescent="0.2">
      <c r="A99" s="52">
        <v>2003</v>
      </c>
      <c r="B99" t="s">
        <v>53</v>
      </c>
      <c r="C99" t="s">
        <v>38</v>
      </c>
      <c r="D99">
        <v>637</v>
      </c>
      <c r="E99">
        <v>162</v>
      </c>
      <c r="F99">
        <v>4</v>
      </c>
      <c r="G99">
        <v>5</v>
      </c>
      <c r="H99">
        <v>158</v>
      </c>
      <c r="I99">
        <v>38</v>
      </c>
      <c r="J99">
        <v>1446.1</v>
      </c>
      <c r="K99">
        <v>6423</v>
      </c>
      <c r="L99">
        <v>1578</v>
      </c>
      <c r="M99" s="1">
        <v>886</v>
      </c>
      <c r="N99">
        <f t="shared" si="2"/>
        <v>984</v>
      </c>
      <c r="O99">
        <v>348</v>
      </c>
      <c r="P99">
        <v>37</v>
      </c>
      <c r="Q99">
        <v>209</v>
      </c>
      <c r="R99">
        <v>818</v>
      </c>
      <c r="S99">
        <v>590</v>
      </c>
      <c r="T99">
        <v>61</v>
      </c>
      <c r="U99">
        <f t="shared" si="3"/>
        <v>4207</v>
      </c>
      <c r="V99">
        <v>932</v>
      </c>
      <c r="W99">
        <v>70</v>
      </c>
      <c r="X99">
        <v>43</v>
      </c>
      <c r="Y99">
        <v>46</v>
      </c>
      <c r="Z99">
        <v>48</v>
      </c>
      <c r="AA99">
        <v>3</v>
      </c>
      <c r="AB99">
        <v>126</v>
      </c>
      <c r="AC99">
        <v>83</v>
      </c>
      <c r="AD99" s="1">
        <v>69</v>
      </c>
      <c r="AE99" s="1">
        <v>93</v>
      </c>
      <c r="AF99">
        <v>5.09</v>
      </c>
    </row>
    <row r="100" spans="1:32" x14ac:dyDescent="0.2">
      <c r="A100" s="52">
        <v>2003</v>
      </c>
      <c r="B100" t="s">
        <v>55</v>
      </c>
      <c r="C100" t="s">
        <v>163</v>
      </c>
      <c r="D100">
        <v>590</v>
      </c>
      <c r="E100">
        <v>162</v>
      </c>
      <c r="F100">
        <v>5</v>
      </c>
      <c r="G100">
        <v>7</v>
      </c>
      <c r="H100">
        <v>157</v>
      </c>
      <c r="I100">
        <v>34</v>
      </c>
      <c r="J100">
        <v>1459.1</v>
      </c>
      <c r="K100">
        <v>6254</v>
      </c>
      <c r="L100">
        <v>1477</v>
      </c>
      <c r="M100" s="1">
        <v>778</v>
      </c>
      <c r="N100">
        <f t="shared" si="2"/>
        <v>961</v>
      </c>
      <c r="O100">
        <v>306</v>
      </c>
      <c r="P100">
        <v>31</v>
      </c>
      <c r="Q100">
        <v>179</v>
      </c>
      <c r="R100">
        <v>682</v>
      </c>
      <c r="S100">
        <v>501</v>
      </c>
      <c r="T100">
        <v>37</v>
      </c>
      <c r="U100">
        <f t="shared" si="3"/>
        <v>4212</v>
      </c>
      <c r="V100">
        <v>943</v>
      </c>
      <c r="W100">
        <v>51</v>
      </c>
      <c r="X100">
        <v>46</v>
      </c>
      <c r="Y100">
        <v>49</v>
      </c>
      <c r="Z100">
        <v>64</v>
      </c>
      <c r="AA100">
        <v>7</v>
      </c>
      <c r="AB100">
        <v>149</v>
      </c>
      <c r="AC100">
        <v>80</v>
      </c>
      <c r="AD100" s="1">
        <v>68</v>
      </c>
      <c r="AE100" s="1">
        <v>94</v>
      </c>
      <c r="AF100">
        <v>4.21</v>
      </c>
    </row>
    <row r="101" spans="1:32" x14ac:dyDescent="0.2">
      <c r="A101" s="52">
        <v>2003</v>
      </c>
      <c r="B101" t="s">
        <v>57</v>
      </c>
      <c r="C101" t="s">
        <v>38</v>
      </c>
      <c r="D101">
        <v>662</v>
      </c>
      <c r="E101">
        <v>162</v>
      </c>
      <c r="F101">
        <v>3</v>
      </c>
      <c r="G101">
        <v>4</v>
      </c>
      <c r="H101">
        <v>159</v>
      </c>
      <c r="I101">
        <v>34</v>
      </c>
      <c r="J101">
        <v>1420</v>
      </c>
      <c r="K101">
        <v>6364</v>
      </c>
      <c r="L101">
        <v>1629</v>
      </c>
      <c r="M101" s="1">
        <v>892</v>
      </c>
      <c r="N101">
        <f t="shared" si="2"/>
        <v>1060</v>
      </c>
      <c r="O101">
        <v>325</v>
      </c>
      <c r="P101">
        <v>44</v>
      </c>
      <c r="Q101">
        <v>200</v>
      </c>
      <c r="R101">
        <v>821</v>
      </c>
      <c r="S101">
        <v>552</v>
      </c>
      <c r="T101">
        <v>51</v>
      </c>
      <c r="U101">
        <f t="shared" si="3"/>
        <v>4099</v>
      </c>
      <c r="V101">
        <v>866</v>
      </c>
      <c r="W101">
        <v>54</v>
      </c>
      <c r="X101">
        <v>53</v>
      </c>
      <c r="Y101">
        <v>48</v>
      </c>
      <c r="Z101">
        <v>84</v>
      </c>
      <c r="AA101">
        <v>8</v>
      </c>
      <c r="AB101">
        <v>141</v>
      </c>
      <c r="AC101">
        <v>72</v>
      </c>
      <c r="AD101" s="1">
        <v>74</v>
      </c>
      <c r="AE101" s="1">
        <v>88</v>
      </c>
      <c r="AF101">
        <v>5.2</v>
      </c>
    </row>
    <row r="102" spans="1:32" x14ac:dyDescent="0.2">
      <c r="A102" s="52">
        <v>2003</v>
      </c>
      <c r="B102" t="s">
        <v>59</v>
      </c>
      <c r="C102" t="s">
        <v>163</v>
      </c>
      <c r="D102">
        <v>613</v>
      </c>
      <c r="E102">
        <v>162</v>
      </c>
      <c r="F102">
        <v>3</v>
      </c>
      <c r="G102">
        <v>5</v>
      </c>
      <c r="H102">
        <v>159</v>
      </c>
      <c r="I102">
        <v>27</v>
      </c>
      <c r="J102">
        <v>1438.2</v>
      </c>
      <c r="K102">
        <v>6376</v>
      </c>
      <c r="L102">
        <v>1616</v>
      </c>
      <c r="M102" s="1">
        <v>928</v>
      </c>
      <c r="N102">
        <f t="shared" si="2"/>
        <v>1065</v>
      </c>
      <c r="O102">
        <v>308</v>
      </c>
      <c r="P102">
        <v>48</v>
      </c>
      <c r="Q102">
        <v>195</v>
      </c>
      <c r="R102">
        <v>847</v>
      </c>
      <c r="S102">
        <v>557</v>
      </c>
      <c r="T102">
        <v>35</v>
      </c>
      <c r="U102">
        <f t="shared" si="3"/>
        <v>4147</v>
      </c>
      <c r="V102">
        <v>764</v>
      </c>
      <c r="W102">
        <v>47</v>
      </c>
      <c r="X102">
        <v>60</v>
      </c>
      <c r="Y102">
        <v>52</v>
      </c>
      <c r="Z102">
        <v>56</v>
      </c>
      <c r="AA102">
        <v>5</v>
      </c>
      <c r="AB102">
        <v>163</v>
      </c>
      <c r="AC102">
        <v>100</v>
      </c>
      <c r="AD102" s="1">
        <v>43</v>
      </c>
      <c r="AE102" s="1">
        <v>119</v>
      </c>
      <c r="AF102">
        <v>5.3</v>
      </c>
    </row>
    <row r="103" spans="1:32" x14ac:dyDescent="0.2">
      <c r="A103" s="52">
        <v>2003</v>
      </c>
      <c r="B103" t="s">
        <v>160</v>
      </c>
      <c r="C103" t="s">
        <v>38</v>
      </c>
      <c r="D103">
        <v>557</v>
      </c>
      <c r="E103">
        <v>162</v>
      </c>
      <c r="F103">
        <v>7</v>
      </c>
      <c r="G103">
        <v>11</v>
      </c>
      <c r="H103">
        <v>155</v>
      </c>
      <c r="I103">
        <v>36</v>
      </c>
      <c r="J103">
        <v>1445.1</v>
      </c>
      <c r="K103">
        <v>6165</v>
      </c>
      <c r="L103">
        <v>1415</v>
      </c>
      <c r="M103" s="1">
        <v>692</v>
      </c>
      <c r="N103">
        <f t="shared" si="2"/>
        <v>950</v>
      </c>
      <c r="O103">
        <v>300</v>
      </c>
      <c r="P103">
        <v>37</v>
      </c>
      <c r="Q103">
        <v>128</v>
      </c>
      <c r="R103">
        <v>648</v>
      </c>
      <c r="S103">
        <v>530</v>
      </c>
      <c r="T103">
        <v>40</v>
      </c>
      <c r="U103">
        <f t="shared" si="3"/>
        <v>4180</v>
      </c>
      <c r="V103">
        <v>1132</v>
      </c>
      <c r="W103">
        <v>60</v>
      </c>
      <c r="X103">
        <v>53</v>
      </c>
      <c r="Y103">
        <v>51</v>
      </c>
      <c r="Z103">
        <v>40</v>
      </c>
      <c r="AA103">
        <v>11</v>
      </c>
      <c r="AB103">
        <v>139</v>
      </c>
      <c r="AC103">
        <v>52</v>
      </c>
      <c r="AD103" s="1">
        <v>91</v>
      </c>
      <c r="AE103" s="1">
        <v>71</v>
      </c>
      <c r="AF103">
        <v>4.04</v>
      </c>
    </row>
    <row r="104" spans="1:32" x14ac:dyDescent="0.2">
      <c r="A104" s="52">
        <v>2003</v>
      </c>
      <c r="B104" t="s">
        <v>63</v>
      </c>
      <c r="C104" t="s">
        <v>38</v>
      </c>
      <c r="D104">
        <v>664</v>
      </c>
      <c r="E104">
        <v>162</v>
      </c>
      <c r="F104">
        <v>1</v>
      </c>
      <c r="G104">
        <v>5</v>
      </c>
      <c r="H104">
        <v>161</v>
      </c>
      <c r="I104">
        <v>50</v>
      </c>
      <c r="J104">
        <v>1450</v>
      </c>
      <c r="K104">
        <v>6176</v>
      </c>
      <c r="L104">
        <v>1350</v>
      </c>
      <c r="M104" s="1">
        <v>677</v>
      </c>
      <c r="N104">
        <f t="shared" si="2"/>
        <v>896</v>
      </c>
      <c r="O104">
        <v>262</v>
      </c>
      <c r="P104">
        <v>31</v>
      </c>
      <c r="Q104">
        <v>161</v>
      </c>
      <c r="R104">
        <v>622</v>
      </c>
      <c r="S104">
        <v>565</v>
      </c>
      <c r="T104">
        <v>53</v>
      </c>
      <c r="U104">
        <f t="shared" si="3"/>
        <v>4187</v>
      </c>
      <c r="V104">
        <v>1139</v>
      </c>
      <c r="W104">
        <v>66</v>
      </c>
      <c r="X104">
        <v>36</v>
      </c>
      <c r="Y104">
        <v>40</v>
      </c>
      <c r="Z104">
        <v>74</v>
      </c>
      <c r="AA104">
        <v>4</v>
      </c>
      <c r="AB104">
        <v>126</v>
      </c>
      <c r="AC104">
        <v>71</v>
      </c>
      <c r="AD104" s="1">
        <v>87</v>
      </c>
      <c r="AE104" s="1">
        <v>75</v>
      </c>
      <c r="AF104">
        <v>3.86</v>
      </c>
    </row>
    <row r="105" spans="1:32" x14ac:dyDescent="0.2">
      <c r="A105" s="52">
        <v>2003</v>
      </c>
      <c r="B105" t="s">
        <v>164</v>
      </c>
      <c r="C105" t="s">
        <v>163</v>
      </c>
      <c r="D105">
        <v>569</v>
      </c>
      <c r="E105">
        <v>162</v>
      </c>
      <c r="F105">
        <v>7</v>
      </c>
      <c r="G105">
        <v>10</v>
      </c>
      <c r="H105">
        <v>155</v>
      </c>
      <c r="I105">
        <v>36</v>
      </c>
      <c r="J105">
        <v>1438.2</v>
      </c>
      <c r="K105">
        <v>6366</v>
      </c>
      <c r="L105">
        <v>1569</v>
      </c>
      <c r="M105" s="1">
        <v>867</v>
      </c>
      <c r="N105">
        <f t="shared" si="2"/>
        <v>1016</v>
      </c>
      <c r="O105">
        <v>329</v>
      </c>
      <c r="P105">
        <v>34</v>
      </c>
      <c r="Q105">
        <v>190</v>
      </c>
      <c r="R105">
        <v>808</v>
      </c>
      <c r="S105">
        <v>566</v>
      </c>
      <c r="T105">
        <v>33</v>
      </c>
      <c r="U105">
        <f t="shared" si="3"/>
        <v>4165</v>
      </c>
      <c r="V105">
        <v>865</v>
      </c>
      <c r="W105">
        <v>36</v>
      </c>
      <c r="X105">
        <v>65</v>
      </c>
      <c r="Y105">
        <v>60</v>
      </c>
      <c r="Z105">
        <v>66</v>
      </c>
      <c r="AA105">
        <v>9</v>
      </c>
      <c r="AB105">
        <v>119</v>
      </c>
      <c r="AC105">
        <v>75</v>
      </c>
      <c r="AD105" s="1">
        <v>83</v>
      </c>
      <c r="AE105" s="1">
        <v>79</v>
      </c>
      <c r="AF105">
        <v>5.05</v>
      </c>
    </row>
    <row r="106" spans="1:32" x14ac:dyDescent="0.2">
      <c r="A106" s="52">
        <v>2003</v>
      </c>
      <c r="B106" t="s">
        <v>159</v>
      </c>
      <c r="C106" t="s">
        <v>38</v>
      </c>
      <c r="D106">
        <v>600</v>
      </c>
      <c r="E106">
        <v>162</v>
      </c>
      <c r="F106">
        <v>3</v>
      </c>
      <c r="G106">
        <v>17</v>
      </c>
      <c r="H106">
        <v>159</v>
      </c>
      <c r="I106">
        <v>58</v>
      </c>
      <c r="J106">
        <v>1457.2</v>
      </c>
      <c r="K106">
        <v>6001</v>
      </c>
      <c r="L106">
        <v>1254</v>
      </c>
      <c r="M106" s="1">
        <v>556</v>
      </c>
      <c r="N106">
        <f t="shared" si="2"/>
        <v>895</v>
      </c>
      <c r="O106">
        <v>205</v>
      </c>
      <c r="P106">
        <v>27</v>
      </c>
      <c r="Q106">
        <v>127</v>
      </c>
      <c r="R106">
        <v>511</v>
      </c>
      <c r="S106">
        <v>526</v>
      </c>
      <c r="T106">
        <v>35</v>
      </c>
      <c r="U106">
        <f t="shared" si="3"/>
        <v>4181</v>
      </c>
      <c r="V106">
        <v>1289</v>
      </c>
      <c r="W106">
        <v>62</v>
      </c>
      <c r="X106">
        <v>19</v>
      </c>
      <c r="Y106">
        <v>50</v>
      </c>
      <c r="Z106">
        <v>40</v>
      </c>
      <c r="AA106">
        <v>5</v>
      </c>
      <c r="AB106">
        <v>137</v>
      </c>
      <c r="AC106">
        <v>70</v>
      </c>
      <c r="AD106" s="1">
        <v>85</v>
      </c>
      <c r="AE106" s="1">
        <v>77</v>
      </c>
      <c r="AF106">
        <v>3.16</v>
      </c>
    </row>
    <row r="107" spans="1:32" x14ac:dyDescent="0.2">
      <c r="A107" s="52">
        <v>2003</v>
      </c>
      <c r="B107" t="s">
        <v>69</v>
      </c>
      <c r="C107" t="s">
        <v>38</v>
      </c>
      <c r="D107">
        <v>622</v>
      </c>
      <c r="E107">
        <v>162</v>
      </c>
      <c r="F107">
        <v>5</v>
      </c>
      <c r="G107">
        <v>3</v>
      </c>
      <c r="H107">
        <v>157</v>
      </c>
      <c r="I107">
        <v>44</v>
      </c>
      <c r="J107">
        <v>1452</v>
      </c>
      <c r="K107">
        <v>6459</v>
      </c>
      <c r="L107">
        <v>1590</v>
      </c>
      <c r="M107" s="1">
        <v>873</v>
      </c>
      <c r="N107">
        <f t="shared" si="2"/>
        <v>1024</v>
      </c>
      <c r="O107">
        <v>304</v>
      </c>
      <c r="P107">
        <v>43</v>
      </c>
      <c r="Q107">
        <v>219</v>
      </c>
      <c r="R107">
        <v>810</v>
      </c>
      <c r="S107">
        <v>575</v>
      </c>
      <c r="T107">
        <v>43</v>
      </c>
      <c r="U107">
        <f t="shared" si="3"/>
        <v>4233</v>
      </c>
      <c r="V107">
        <v>1034</v>
      </c>
      <c r="W107">
        <v>69</v>
      </c>
      <c r="X107">
        <v>47</v>
      </c>
      <c r="Y107">
        <v>57</v>
      </c>
      <c r="Z107">
        <v>61</v>
      </c>
      <c r="AA107">
        <v>8</v>
      </c>
      <c r="AB107">
        <v>121</v>
      </c>
      <c r="AC107">
        <v>83</v>
      </c>
      <c r="AD107" s="1">
        <v>68</v>
      </c>
      <c r="AE107" s="1">
        <v>94</v>
      </c>
      <c r="AF107">
        <v>5.0199999999999996</v>
      </c>
    </row>
    <row r="108" spans="1:32" x14ac:dyDescent="0.2">
      <c r="A108" s="52">
        <v>2003</v>
      </c>
      <c r="B108" t="s">
        <v>71</v>
      </c>
      <c r="C108" t="s">
        <v>163</v>
      </c>
      <c r="D108">
        <v>561</v>
      </c>
      <c r="E108">
        <v>162</v>
      </c>
      <c r="F108">
        <v>7</v>
      </c>
      <c r="G108">
        <v>8</v>
      </c>
      <c r="H108">
        <v>155</v>
      </c>
      <c r="I108">
        <v>45</v>
      </c>
      <c r="J108">
        <v>1462</v>
      </c>
      <c r="K108">
        <v>6246</v>
      </c>
      <c r="L108">
        <v>1526</v>
      </c>
      <c r="M108" s="1">
        <v>758</v>
      </c>
      <c r="N108">
        <f t="shared" si="2"/>
        <v>1013</v>
      </c>
      <c r="O108">
        <v>302</v>
      </c>
      <c r="P108">
        <v>24</v>
      </c>
      <c r="Q108">
        <v>187</v>
      </c>
      <c r="R108">
        <v>716</v>
      </c>
      <c r="S108">
        <v>402</v>
      </c>
      <c r="T108">
        <v>35</v>
      </c>
      <c r="U108">
        <f t="shared" si="3"/>
        <v>4268</v>
      </c>
      <c r="V108">
        <v>997</v>
      </c>
      <c r="W108">
        <v>54</v>
      </c>
      <c r="X108">
        <v>41</v>
      </c>
      <c r="Y108">
        <v>62</v>
      </c>
      <c r="Z108">
        <v>50</v>
      </c>
      <c r="AA108">
        <v>9</v>
      </c>
      <c r="AB108">
        <v>93</v>
      </c>
      <c r="AC108">
        <v>49</v>
      </c>
      <c r="AD108" s="1">
        <v>90</v>
      </c>
      <c r="AE108" s="1">
        <v>72</v>
      </c>
      <c r="AF108">
        <v>4.41</v>
      </c>
    </row>
    <row r="109" spans="1:32" x14ac:dyDescent="0.2">
      <c r="A109" s="52">
        <v>2003</v>
      </c>
      <c r="B109" t="s">
        <v>73</v>
      </c>
      <c r="C109" t="s">
        <v>38</v>
      </c>
      <c r="D109">
        <v>599</v>
      </c>
      <c r="E109">
        <v>162</v>
      </c>
      <c r="F109">
        <v>15</v>
      </c>
      <c r="G109">
        <v>10</v>
      </c>
      <c r="H109">
        <v>147</v>
      </c>
      <c r="I109">
        <v>42</v>
      </c>
      <c r="J109">
        <v>1437.2</v>
      </c>
      <c r="K109">
        <v>6171</v>
      </c>
      <c r="L109">
        <v>1467</v>
      </c>
      <c r="M109" s="1">
        <v>716</v>
      </c>
      <c r="N109">
        <f t="shared" si="2"/>
        <v>970</v>
      </c>
      <c r="O109">
        <v>292</v>
      </c>
      <c r="P109">
        <v>24</v>
      </c>
      <c r="Q109">
        <v>181</v>
      </c>
      <c r="R109">
        <v>640</v>
      </c>
      <c r="S109">
        <v>463</v>
      </c>
      <c r="T109">
        <v>51</v>
      </c>
      <c r="U109">
        <f t="shared" si="3"/>
        <v>4170</v>
      </c>
      <c r="V109">
        <v>1028</v>
      </c>
      <c r="W109">
        <v>46</v>
      </c>
      <c r="X109">
        <v>35</v>
      </c>
      <c r="Y109">
        <v>71</v>
      </c>
      <c r="Z109">
        <v>71</v>
      </c>
      <c r="AA109">
        <v>4</v>
      </c>
      <c r="AB109">
        <v>119</v>
      </c>
      <c r="AC109">
        <v>76</v>
      </c>
      <c r="AD109" s="1">
        <v>83</v>
      </c>
      <c r="AE109" s="1">
        <v>79</v>
      </c>
      <c r="AF109">
        <v>4.01</v>
      </c>
    </row>
    <row r="110" spans="1:32" x14ac:dyDescent="0.2">
      <c r="A110" s="52">
        <v>2003</v>
      </c>
      <c r="B110" t="s">
        <v>158</v>
      </c>
      <c r="C110" t="s">
        <v>38</v>
      </c>
      <c r="D110">
        <v>573</v>
      </c>
      <c r="E110">
        <v>161</v>
      </c>
      <c r="F110">
        <v>3</v>
      </c>
      <c r="G110">
        <v>10</v>
      </c>
      <c r="H110">
        <v>158</v>
      </c>
      <c r="I110">
        <v>38</v>
      </c>
      <c r="J110">
        <v>1413.1</v>
      </c>
      <c r="K110">
        <v>6204</v>
      </c>
      <c r="L110">
        <v>1497</v>
      </c>
      <c r="M110" s="1">
        <v>754</v>
      </c>
      <c r="N110">
        <f t="shared" si="2"/>
        <v>971</v>
      </c>
      <c r="O110">
        <v>317</v>
      </c>
      <c r="P110">
        <v>41</v>
      </c>
      <c r="Q110">
        <v>168</v>
      </c>
      <c r="R110">
        <v>704</v>
      </c>
      <c r="S110">
        <v>576</v>
      </c>
      <c r="T110">
        <v>71</v>
      </c>
      <c r="U110">
        <f t="shared" si="3"/>
        <v>4086</v>
      </c>
      <c r="V110">
        <v>907</v>
      </c>
      <c r="W110">
        <v>63</v>
      </c>
      <c r="X110">
        <v>43</v>
      </c>
      <c r="Y110">
        <v>45</v>
      </c>
      <c r="Z110">
        <v>45</v>
      </c>
      <c r="AA110">
        <v>7</v>
      </c>
      <c r="AB110">
        <v>127</v>
      </c>
      <c r="AC110">
        <v>79</v>
      </c>
      <c r="AD110" s="1">
        <v>66</v>
      </c>
      <c r="AE110" s="1">
        <v>95</v>
      </c>
      <c r="AF110">
        <v>4.4800000000000004</v>
      </c>
    </row>
    <row r="111" spans="1:32" x14ac:dyDescent="0.2">
      <c r="A111" s="52">
        <v>2003</v>
      </c>
      <c r="B111" t="s">
        <v>158</v>
      </c>
      <c r="C111" t="s">
        <v>163</v>
      </c>
      <c r="D111">
        <v>530</v>
      </c>
      <c r="E111">
        <v>163</v>
      </c>
      <c r="F111">
        <v>8</v>
      </c>
      <c r="G111">
        <v>12</v>
      </c>
      <c r="H111">
        <v>155</v>
      </c>
      <c r="I111">
        <v>49</v>
      </c>
      <c r="J111">
        <v>1462</v>
      </c>
      <c r="K111">
        <v>6209</v>
      </c>
      <c r="L111">
        <v>1512</v>
      </c>
      <c r="M111" s="1">
        <v>716</v>
      </c>
      <c r="N111">
        <f t="shared" si="2"/>
        <v>1019</v>
      </c>
      <c r="O111">
        <v>323</v>
      </c>
      <c r="P111">
        <v>25</v>
      </c>
      <c r="Q111">
        <v>145</v>
      </c>
      <c r="R111">
        <v>653</v>
      </c>
      <c r="S111">
        <v>375</v>
      </c>
      <c r="T111">
        <v>36</v>
      </c>
      <c r="U111">
        <f t="shared" si="3"/>
        <v>4273</v>
      </c>
      <c r="V111">
        <v>1119</v>
      </c>
      <c r="W111">
        <v>37</v>
      </c>
      <c r="X111">
        <v>48</v>
      </c>
      <c r="Y111">
        <v>33</v>
      </c>
      <c r="Z111">
        <v>49</v>
      </c>
      <c r="AA111">
        <v>0</v>
      </c>
      <c r="AB111">
        <v>104</v>
      </c>
      <c r="AC111">
        <v>79</v>
      </c>
      <c r="AD111" s="1">
        <v>101</v>
      </c>
      <c r="AE111" s="1">
        <v>61</v>
      </c>
      <c r="AF111">
        <v>4.0199999999999996</v>
      </c>
    </row>
    <row r="112" spans="1:32" x14ac:dyDescent="0.2">
      <c r="A112" s="52">
        <v>2003</v>
      </c>
      <c r="B112" t="s">
        <v>79</v>
      </c>
      <c r="C112" t="s">
        <v>163</v>
      </c>
      <c r="D112">
        <v>526</v>
      </c>
      <c r="E112">
        <v>162</v>
      </c>
      <c r="F112">
        <v>16</v>
      </c>
      <c r="G112">
        <v>14</v>
      </c>
      <c r="H112">
        <v>146</v>
      </c>
      <c r="I112">
        <v>48</v>
      </c>
      <c r="J112">
        <v>1441.2</v>
      </c>
      <c r="K112">
        <v>6078</v>
      </c>
      <c r="L112">
        <v>1336</v>
      </c>
      <c r="M112" s="1">
        <v>643</v>
      </c>
      <c r="N112">
        <f t="shared" si="2"/>
        <v>928</v>
      </c>
      <c r="O112">
        <v>248</v>
      </c>
      <c r="P112">
        <v>20</v>
      </c>
      <c r="Q112">
        <v>140</v>
      </c>
      <c r="R112">
        <v>582</v>
      </c>
      <c r="S112">
        <v>499</v>
      </c>
      <c r="T112">
        <v>42</v>
      </c>
      <c r="U112">
        <f t="shared" si="3"/>
        <v>4189</v>
      </c>
      <c r="V112">
        <v>1018</v>
      </c>
      <c r="W112">
        <v>55</v>
      </c>
      <c r="X112">
        <v>29</v>
      </c>
      <c r="Y112">
        <v>41</v>
      </c>
      <c r="Z112">
        <v>54</v>
      </c>
      <c r="AA112">
        <v>10</v>
      </c>
      <c r="AB112">
        <v>128</v>
      </c>
      <c r="AC112">
        <v>61</v>
      </c>
      <c r="AD112" s="1">
        <v>96</v>
      </c>
      <c r="AE112" s="1">
        <v>66</v>
      </c>
      <c r="AF112">
        <v>3.63</v>
      </c>
    </row>
    <row r="113" spans="1:32" x14ac:dyDescent="0.2">
      <c r="A113" s="52">
        <v>2003</v>
      </c>
      <c r="B113" t="s">
        <v>81</v>
      </c>
      <c r="C113" t="s">
        <v>38</v>
      </c>
      <c r="D113">
        <v>599</v>
      </c>
      <c r="E113">
        <v>162</v>
      </c>
      <c r="F113">
        <v>9</v>
      </c>
      <c r="G113">
        <v>13</v>
      </c>
      <c r="H113">
        <v>153</v>
      </c>
      <c r="I113">
        <v>33</v>
      </c>
      <c r="J113">
        <v>1443.2</v>
      </c>
      <c r="K113">
        <v>6195</v>
      </c>
      <c r="L113">
        <v>1386</v>
      </c>
      <c r="M113" s="1">
        <v>697</v>
      </c>
      <c r="N113">
        <f t="shared" si="2"/>
        <v>896</v>
      </c>
      <c r="O113">
        <v>315</v>
      </c>
      <c r="P113">
        <v>33</v>
      </c>
      <c r="Q113">
        <v>142</v>
      </c>
      <c r="R113">
        <v>648</v>
      </c>
      <c r="S113">
        <v>536</v>
      </c>
      <c r="T113">
        <v>51</v>
      </c>
      <c r="U113">
        <f t="shared" si="3"/>
        <v>4196</v>
      </c>
      <c r="V113">
        <v>1060</v>
      </c>
      <c r="W113">
        <v>79</v>
      </c>
      <c r="X113">
        <v>29</v>
      </c>
      <c r="Y113">
        <v>53</v>
      </c>
      <c r="Z113">
        <v>77</v>
      </c>
      <c r="AA113">
        <v>4</v>
      </c>
      <c r="AB113">
        <v>138</v>
      </c>
      <c r="AC113">
        <v>64</v>
      </c>
      <c r="AD113" s="1">
        <v>86</v>
      </c>
      <c r="AE113" s="1">
        <v>76</v>
      </c>
      <c r="AF113">
        <v>4.04</v>
      </c>
    </row>
    <row r="114" spans="1:32" x14ac:dyDescent="0.2">
      <c r="A114" s="52">
        <v>2003</v>
      </c>
      <c r="B114" t="s">
        <v>83</v>
      </c>
      <c r="C114" t="s">
        <v>38</v>
      </c>
      <c r="D114">
        <v>619</v>
      </c>
      <c r="E114">
        <v>162</v>
      </c>
      <c r="F114">
        <v>7</v>
      </c>
      <c r="G114">
        <v>10</v>
      </c>
      <c r="H114">
        <v>155</v>
      </c>
      <c r="I114">
        <v>44</v>
      </c>
      <c r="J114">
        <v>1444.1</v>
      </c>
      <c r="K114">
        <v>6293</v>
      </c>
      <c r="L114">
        <v>1527</v>
      </c>
      <c r="M114" s="1">
        <v>801</v>
      </c>
      <c r="N114">
        <f t="shared" si="2"/>
        <v>1021</v>
      </c>
      <c r="O114">
        <v>301</v>
      </c>
      <c r="P114">
        <v>27</v>
      </c>
      <c r="Q114">
        <v>178</v>
      </c>
      <c r="R114">
        <v>744</v>
      </c>
      <c r="S114">
        <v>502</v>
      </c>
      <c r="T114">
        <v>58</v>
      </c>
      <c r="U114">
        <f t="shared" si="3"/>
        <v>4203</v>
      </c>
      <c r="V114">
        <v>926</v>
      </c>
      <c r="W114">
        <v>81</v>
      </c>
      <c r="X114">
        <v>44</v>
      </c>
      <c r="Y114">
        <v>50</v>
      </c>
      <c r="Z114">
        <v>61</v>
      </c>
      <c r="AA114">
        <v>2</v>
      </c>
      <c r="AB114">
        <v>140</v>
      </c>
      <c r="AC114">
        <v>82</v>
      </c>
      <c r="AD114" s="1">
        <v>75</v>
      </c>
      <c r="AE114" s="1">
        <v>87</v>
      </c>
      <c r="AF114">
        <v>4.6399999999999997</v>
      </c>
    </row>
    <row r="115" spans="1:32" x14ac:dyDescent="0.2">
      <c r="A115" s="52">
        <v>2003</v>
      </c>
      <c r="B115" t="s">
        <v>161</v>
      </c>
      <c r="C115" t="s">
        <v>38</v>
      </c>
      <c r="D115">
        <v>635</v>
      </c>
      <c r="E115">
        <v>162</v>
      </c>
      <c r="F115">
        <v>2</v>
      </c>
      <c r="G115">
        <v>10</v>
      </c>
      <c r="H115">
        <v>160</v>
      </c>
      <c r="I115">
        <v>31</v>
      </c>
      <c r="J115">
        <v>1431.1</v>
      </c>
      <c r="K115">
        <v>6303</v>
      </c>
      <c r="L115">
        <v>1458</v>
      </c>
      <c r="M115" s="1">
        <v>831</v>
      </c>
      <c r="N115">
        <f t="shared" si="2"/>
        <v>954</v>
      </c>
      <c r="O115">
        <v>259</v>
      </c>
      <c r="P115">
        <v>37</v>
      </c>
      <c r="Q115">
        <v>208</v>
      </c>
      <c r="R115">
        <v>775</v>
      </c>
      <c r="S115">
        <v>611</v>
      </c>
      <c r="T115">
        <v>52</v>
      </c>
      <c r="U115">
        <f t="shared" si="3"/>
        <v>4172</v>
      </c>
      <c r="V115">
        <v>1091</v>
      </c>
      <c r="W115">
        <v>54</v>
      </c>
      <c r="X115">
        <v>53</v>
      </c>
      <c r="Y115">
        <v>64</v>
      </c>
      <c r="Z115">
        <v>62</v>
      </c>
      <c r="AA115">
        <v>3</v>
      </c>
      <c r="AB115">
        <v>112</v>
      </c>
      <c r="AC115">
        <v>74</v>
      </c>
      <c r="AD115" s="1">
        <v>64</v>
      </c>
      <c r="AE115" s="1">
        <v>98</v>
      </c>
      <c r="AF115">
        <v>4.87</v>
      </c>
    </row>
    <row r="116" spans="1:32" x14ac:dyDescent="0.2">
      <c r="A116" s="52">
        <v>2003</v>
      </c>
      <c r="B116" t="s">
        <v>87</v>
      </c>
      <c r="C116" t="s">
        <v>163</v>
      </c>
      <c r="D116">
        <v>528</v>
      </c>
      <c r="E116">
        <v>162</v>
      </c>
      <c r="F116">
        <v>8</v>
      </c>
      <c r="G116">
        <v>15</v>
      </c>
      <c r="H116">
        <v>154</v>
      </c>
      <c r="I116">
        <v>38</v>
      </c>
      <c r="J116">
        <v>1441</v>
      </c>
      <c r="K116">
        <v>6025</v>
      </c>
      <c r="L116">
        <v>1340</v>
      </c>
      <c r="M116" s="1">
        <v>637</v>
      </c>
      <c r="N116">
        <f t="shared" si="2"/>
        <v>933</v>
      </c>
      <c r="O116">
        <v>220</v>
      </c>
      <c r="P116">
        <v>14</v>
      </c>
      <c r="Q116">
        <v>173</v>
      </c>
      <c r="R116">
        <v>602</v>
      </c>
      <c r="S116">
        <v>466</v>
      </c>
      <c r="T116">
        <v>24</v>
      </c>
      <c r="U116">
        <f t="shared" si="3"/>
        <v>4165</v>
      </c>
      <c r="V116">
        <v>1001</v>
      </c>
      <c r="W116">
        <v>35</v>
      </c>
      <c r="X116">
        <v>43</v>
      </c>
      <c r="Y116">
        <v>35</v>
      </c>
      <c r="Z116">
        <v>54</v>
      </c>
      <c r="AA116">
        <v>4</v>
      </c>
      <c r="AB116">
        <v>131</v>
      </c>
      <c r="AC116">
        <v>48</v>
      </c>
      <c r="AD116" s="1">
        <v>93</v>
      </c>
      <c r="AE116" s="1">
        <v>69</v>
      </c>
      <c r="AF116">
        <v>3.76</v>
      </c>
    </row>
    <row r="117" spans="1:32" x14ac:dyDescent="0.2">
      <c r="A117" s="52">
        <v>2003</v>
      </c>
      <c r="B117" t="s">
        <v>21</v>
      </c>
      <c r="C117" t="s">
        <v>38</v>
      </c>
      <c r="D117">
        <v>622</v>
      </c>
      <c r="E117">
        <v>161</v>
      </c>
      <c r="F117">
        <v>7</v>
      </c>
      <c r="G117">
        <v>10</v>
      </c>
      <c r="H117">
        <v>154</v>
      </c>
      <c r="I117">
        <v>43</v>
      </c>
      <c r="J117">
        <v>1437.1</v>
      </c>
      <c r="K117">
        <v>6090</v>
      </c>
      <c r="L117">
        <v>1349</v>
      </c>
      <c r="M117" s="1">
        <v>638</v>
      </c>
      <c r="N117">
        <f t="shared" si="2"/>
        <v>923</v>
      </c>
      <c r="O117">
        <v>259</v>
      </c>
      <c r="P117">
        <v>31</v>
      </c>
      <c r="Q117">
        <v>136</v>
      </c>
      <c r="R117">
        <v>595</v>
      </c>
      <c r="S117">
        <v>546</v>
      </c>
      <c r="T117">
        <v>34</v>
      </c>
      <c r="U117">
        <f t="shared" si="3"/>
        <v>4152</v>
      </c>
      <c r="V117">
        <v>1006</v>
      </c>
      <c r="W117">
        <v>61</v>
      </c>
      <c r="X117">
        <v>53</v>
      </c>
      <c r="Y117">
        <v>68</v>
      </c>
      <c r="Z117">
        <v>43</v>
      </c>
      <c r="AA117">
        <v>8</v>
      </c>
      <c r="AB117">
        <v>137</v>
      </c>
      <c r="AC117">
        <v>56</v>
      </c>
      <c r="AD117" s="1">
        <v>100</v>
      </c>
      <c r="AE117" s="1">
        <v>61</v>
      </c>
      <c r="AF117">
        <v>3.73</v>
      </c>
    </row>
    <row r="118" spans="1:32" x14ac:dyDescent="0.2">
      <c r="A118" s="52">
        <v>2003</v>
      </c>
      <c r="B118" t="s">
        <v>156</v>
      </c>
      <c r="C118" t="s">
        <v>38</v>
      </c>
      <c r="D118">
        <v>622</v>
      </c>
      <c r="E118">
        <v>162</v>
      </c>
      <c r="F118">
        <v>9</v>
      </c>
      <c r="G118">
        <v>10</v>
      </c>
      <c r="H118">
        <v>153</v>
      </c>
      <c r="I118">
        <v>41</v>
      </c>
      <c r="J118">
        <v>1463.2</v>
      </c>
      <c r="K118">
        <v>6375</v>
      </c>
      <c r="L118">
        <v>1544</v>
      </c>
      <c r="M118" s="1">
        <v>796</v>
      </c>
      <c r="N118">
        <f t="shared" si="2"/>
        <v>969</v>
      </c>
      <c r="O118">
        <v>335</v>
      </c>
      <c r="P118">
        <v>30</v>
      </c>
      <c r="Q118">
        <v>210</v>
      </c>
      <c r="R118">
        <v>749</v>
      </c>
      <c r="S118">
        <v>508</v>
      </c>
      <c r="T118">
        <v>36</v>
      </c>
      <c r="U118">
        <f t="shared" si="3"/>
        <v>4258</v>
      </c>
      <c r="V118">
        <v>969</v>
      </c>
      <c r="W118">
        <v>68</v>
      </c>
      <c r="X118">
        <v>45</v>
      </c>
      <c r="Y118">
        <v>53</v>
      </c>
      <c r="Z118">
        <v>65</v>
      </c>
      <c r="AA118">
        <v>1</v>
      </c>
      <c r="AB118">
        <v>114</v>
      </c>
      <c r="AC118">
        <v>60</v>
      </c>
      <c r="AD118" s="1">
        <v>85</v>
      </c>
      <c r="AE118" s="1">
        <v>77</v>
      </c>
      <c r="AF118">
        <v>4.6100000000000003</v>
      </c>
    </row>
    <row r="119" spans="1:32" x14ac:dyDescent="0.2">
      <c r="A119" s="52">
        <v>2003</v>
      </c>
      <c r="B119" t="s">
        <v>165</v>
      </c>
      <c r="C119" t="s">
        <v>163</v>
      </c>
      <c r="D119">
        <v>534</v>
      </c>
      <c r="E119">
        <v>162</v>
      </c>
      <c r="F119">
        <v>7</v>
      </c>
      <c r="G119">
        <v>7</v>
      </c>
      <c r="H119">
        <v>155</v>
      </c>
      <c r="I119">
        <v>30</v>
      </c>
      <c r="J119">
        <v>1436.2</v>
      </c>
      <c r="K119">
        <v>6340</v>
      </c>
      <c r="L119">
        <v>1454</v>
      </c>
      <c r="M119" s="1">
        <v>852</v>
      </c>
      <c r="N119">
        <f t="shared" si="2"/>
        <v>908</v>
      </c>
      <c r="O119">
        <v>319</v>
      </c>
      <c r="P119">
        <v>31</v>
      </c>
      <c r="Q119">
        <v>196</v>
      </c>
      <c r="R119">
        <v>787</v>
      </c>
      <c r="S119">
        <v>639</v>
      </c>
      <c r="T119">
        <v>37</v>
      </c>
      <c r="U119">
        <f t="shared" si="3"/>
        <v>4152</v>
      </c>
      <c r="V119">
        <v>877</v>
      </c>
      <c r="W119">
        <v>39</v>
      </c>
      <c r="X119">
        <v>65</v>
      </c>
      <c r="Y119">
        <v>65</v>
      </c>
      <c r="Z119">
        <v>95</v>
      </c>
      <c r="AA119">
        <v>9</v>
      </c>
      <c r="AB119">
        <v>124</v>
      </c>
      <c r="AC119">
        <v>70</v>
      </c>
      <c r="AD119" s="1">
        <v>63</v>
      </c>
      <c r="AE119" s="1">
        <v>99</v>
      </c>
      <c r="AF119">
        <v>4.93</v>
      </c>
    </row>
    <row r="120" spans="1:32" x14ac:dyDescent="0.2">
      <c r="A120" s="52">
        <v>2003</v>
      </c>
      <c r="B120" t="s">
        <v>95</v>
      </c>
      <c r="C120" t="s">
        <v>163</v>
      </c>
      <c r="D120">
        <v>656</v>
      </c>
      <c r="E120">
        <v>162</v>
      </c>
      <c r="F120">
        <v>4</v>
      </c>
      <c r="G120">
        <v>3</v>
      </c>
      <c r="H120">
        <v>158</v>
      </c>
      <c r="I120">
        <v>43</v>
      </c>
      <c r="J120">
        <v>1433.1</v>
      </c>
      <c r="K120">
        <v>6413</v>
      </c>
      <c r="L120">
        <v>1625</v>
      </c>
      <c r="M120" s="1">
        <v>969</v>
      </c>
      <c r="N120">
        <f t="shared" si="2"/>
        <v>1029</v>
      </c>
      <c r="O120">
        <v>351</v>
      </c>
      <c r="P120">
        <v>37</v>
      </c>
      <c r="Q120">
        <v>208</v>
      </c>
      <c r="R120">
        <v>903</v>
      </c>
      <c r="S120">
        <v>603</v>
      </c>
      <c r="T120">
        <v>45</v>
      </c>
      <c r="U120">
        <f t="shared" si="3"/>
        <v>4122</v>
      </c>
      <c r="V120">
        <v>1009</v>
      </c>
      <c r="W120">
        <v>41</v>
      </c>
      <c r="X120">
        <v>56</v>
      </c>
      <c r="Y120">
        <v>51</v>
      </c>
      <c r="Z120">
        <v>63</v>
      </c>
      <c r="AA120">
        <v>8</v>
      </c>
      <c r="AB120">
        <v>139</v>
      </c>
      <c r="AC120">
        <v>57</v>
      </c>
      <c r="AD120" s="1">
        <v>71</v>
      </c>
      <c r="AE120" s="1">
        <v>91</v>
      </c>
      <c r="AF120">
        <v>5.67</v>
      </c>
    </row>
    <row r="121" spans="1:32" x14ac:dyDescent="0.2">
      <c r="A121" s="52">
        <v>2003</v>
      </c>
      <c r="B121" t="s">
        <v>97</v>
      </c>
      <c r="C121" t="s">
        <v>163</v>
      </c>
      <c r="D121">
        <v>605</v>
      </c>
      <c r="E121">
        <v>162</v>
      </c>
      <c r="F121">
        <v>14</v>
      </c>
      <c r="G121">
        <v>6</v>
      </c>
      <c r="H121">
        <v>148</v>
      </c>
      <c r="I121">
        <v>35</v>
      </c>
      <c r="J121">
        <v>1435</v>
      </c>
      <c r="K121">
        <v>6270</v>
      </c>
      <c r="L121">
        <v>1560</v>
      </c>
      <c r="M121" s="1">
        <v>826</v>
      </c>
      <c r="N121">
        <f t="shared" si="2"/>
        <v>1034</v>
      </c>
      <c r="O121">
        <v>300</v>
      </c>
      <c r="P121">
        <v>42</v>
      </c>
      <c r="Q121">
        <v>184</v>
      </c>
      <c r="R121">
        <v>748</v>
      </c>
      <c r="S121">
        <v>485</v>
      </c>
      <c r="T121">
        <v>46</v>
      </c>
      <c r="U121">
        <f t="shared" si="3"/>
        <v>4168</v>
      </c>
      <c r="V121">
        <v>984</v>
      </c>
      <c r="W121">
        <v>29</v>
      </c>
      <c r="X121">
        <v>38</v>
      </c>
      <c r="Y121">
        <v>56</v>
      </c>
      <c r="Z121">
        <v>57</v>
      </c>
      <c r="AA121">
        <v>2</v>
      </c>
      <c r="AB121">
        <v>141</v>
      </c>
      <c r="AC121">
        <v>78</v>
      </c>
      <c r="AD121" s="1">
        <v>86</v>
      </c>
      <c r="AE121" s="1">
        <v>76</v>
      </c>
      <c r="AF121">
        <v>4.6900000000000004</v>
      </c>
    </row>
    <row r="122" spans="1:32" x14ac:dyDescent="0.2">
      <c r="A122" s="52">
        <v>2004</v>
      </c>
      <c r="B122" t="s">
        <v>37</v>
      </c>
      <c r="C122" t="s">
        <v>163</v>
      </c>
      <c r="D122">
        <v>505</v>
      </c>
      <c r="E122">
        <v>162</v>
      </c>
      <c r="F122">
        <v>2</v>
      </c>
      <c r="G122">
        <v>11</v>
      </c>
      <c r="H122">
        <v>160</v>
      </c>
      <c r="I122">
        <v>50</v>
      </c>
      <c r="J122">
        <v>1454.1</v>
      </c>
      <c r="K122">
        <v>6246</v>
      </c>
      <c r="L122">
        <v>1476</v>
      </c>
      <c r="M122" s="1">
        <v>734</v>
      </c>
      <c r="N122">
        <f t="shared" si="2"/>
        <v>985</v>
      </c>
      <c r="O122">
        <v>298</v>
      </c>
      <c r="P122">
        <v>23</v>
      </c>
      <c r="Q122">
        <v>170</v>
      </c>
      <c r="R122">
        <v>692</v>
      </c>
      <c r="S122">
        <v>502</v>
      </c>
      <c r="T122">
        <v>27</v>
      </c>
      <c r="U122">
        <f t="shared" si="3"/>
        <v>4224</v>
      </c>
      <c r="V122">
        <v>1164</v>
      </c>
      <c r="W122">
        <v>35</v>
      </c>
      <c r="X122">
        <v>47</v>
      </c>
      <c r="Y122">
        <v>61</v>
      </c>
      <c r="Z122">
        <v>44</v>
      </c>
      <c r="AA122">
        <v>7</v>
      </c>
      <c r="AB122">
        <v>98</v>
      </c>
      <c r="AC122">
        <v>68</v>
      </c>
      <c r="AD122" s="1">
        <v>92</v>
      </c>
      <c r="AE122" s="1">
        <v>70</v>
      </c>
      <c r="AF122">
        <v>4.28</v>
      </c>
    </row>
    <row r="123" spans="1:32" x14ac:dyDescent="0.2">
      <c r="A123" s="52">
        <v>2004</v>
      </c>
      <c r="B123" t="s">
        <v>40</v>
      </c>
      <c r="C123" t="s">
        <v>38</v>
      </c>
      <c r="D123">
        <v>633</v>
      </c>
      <c r="E123">
        <v>162</v>
      </c>
      <c r="F123">
        <v>5</v>
      </c>
      <c r="G123">
        <v>6</v>
      </c>
      <c r="H123">
        <v>157</v>
      </c>
      <c r="I123">
        <v>33</v>
      </c>
      <c r="J123">
        <v>1436</v>
      </c>
      <c r="K123">
        <v>6418</v>
      </c>
      <c r="L123">
        <v>1480</v>
      </c>
      <c r="M123" s="1">
        <v>899</v>
      </c>
      <c r="N123">
        <f t="shared" si="2"/>
        <v>954</v>
      </c>
      <c r="O123">
        <v>289</v>
      </c>
      <c r="P123">
        <v>40</v>
      </c>
      <c r="Q123">
        <v>197</v>
      </c>
      <c r="R123">
        <v>794</v>
      </c>
      <c r="S123">
        <v>668</v>
      </c>
      <c r="T123">
        <v>79</v>
      </c>
      <c r="U123">
        <f t="shared" si="3"/>
        <v>4195</v>
      </c>
      <c r="V123">
        <v>1153</v>
      </c>
      <c r="W123">
        <v>74</v>
      </c>
      <c r="X123">
        <v>47</v>
      </c>
      <c r="Y123">
        <v>71</v>
      </c>
      <c r="Z123">
        <v>75</v>
      </c>
      <c r="AA123">
        <v>8</v>
      </c>
      <c r="AB123">
        <v>120</v>
      </c>
      <c r="AC123">
        <v>106</v>
      </c>
      <c r="AD123" s="1">
        <v>51</v>
      </c>
      <c r="AE123" s="1">
        <v>111</v>
      </c>
      <c r="AF123">
        <v>4.9800000000000004</v>
      </c>
    </row>
    <row r="124" spans="1:32" x14ac:dyDescent="0.2">
      <c r="A124" s="52">
        <v>2004</v>
      </c>
      <c r="B124" t="s">
        <v>42</v>
      </c>
      <c r="C124" t="s">
        <v>38</v>
      </c>
      <c r="D124">
        <v>645</v>
      </c>
      <c r="E124">
        <v>162</v>
      </c>
      <c r="F124">
        <v>4</v>
      </c>
      <c r="G124">
        <v>13</v>
      </c>
      <c r="H124">
        <v>158</v>
      </c>
      <c r="I124">
        <v>48</v>
      </c>
      <c r="J124">
        <v>1450</v>
      </c>
      <c r="K124">
        <v>6218</v>
      </c>
      <c r="L124">
        <v>1475</v>
      </c>
      <c r="M124" s="1">
        <v>668</v>
      </c>
      <c r="N124">
        <f t="shared" si="2"/>
        <v>1054</v>
      </c>
      <c r="O124">
        <v>250</v>
      </c>
      <c r="P124">
        <v>17</v>
      </c>
      <c r="Q124">
        <v>154</v>
      </c>
      <c r="R124">
        <v>603</v>
      </c>
      <c r="S124">
        <v>523</v>
      </c>
      <c r="T124">
        <v>50</v>
      </c>
      <c r="U124">
        <f t="shared" si="3"/>
        <v>4193</v>
      </c>
      <c r="V124">
        <v>1025</v>
      </c>
      <c r="W124">
        <v>69</v>
      </c>
      <c r="X124">
        <v>42</v>
      </c>
      <c r="Y124">
        <v>36</v>
      </c>
      <c r="Z124">
        <v>27</v>
      </c>
      <c r="AA124">
        <v>6</v>
      </c>
      <c r="AB124">
        <v>150</v>
      </c>
      <c r="AC124">
        <v>81</v>
      </c>
      <c r="AD124" s="1">
        <v>96</v>
      </c>
      <c r="AE124" s="1">
        <v>66</v>
      </c>
      <c r="AF124">
        <v>3.74</v>
      </c>
    </row>
    <row r="125" spans="1:32" x14ac:dyDescent="0.2">
      <c r="A125" s="52">
        <v>2004</v>
      </c>
      <c r="B125" t="s">
        <v>45</v>
      </c>
      <c r="C125" t="s">
        <v>163</v>
      </c>
      <c r="D125">
        <v>614</v>
      </c>
      <c r="E125">
        <v>162</v>
      </c>
      <c r="F125">
        <v>8</v>
      </c>
      <c r="G125">
        <v>10</v>
      </c>
      <c r="H125">
        <v>154</v>
      </c>
      <c r="I125">
        <v>27</v>
      </c>
      <c r="J125">
        <v>1455.1</v>
      </c>
      <c r="K125">
        <v>6459</v>
      </c>
      <c r="L125">
        <v>1488</v>
      </c>
      <c r="M125" s="1">
        <v>830</v>
      </c>
      <c r="N125">
        <f t="shared" si="2"/>
        <v>1048</v>
      </c>
      <c r="O125">
        <v>253</v>
      </c>
      <c r="P125">
        <v>28</v>
      </c>
      <c r="Q125">
        <v>159</v>
      </c>
      <c r="R125">
        <v>760</v>
      </c>
      <c r="S125">
        <v>687</v>
      </c>
      <c r="T125">
        <v>43</v>
      </c>
      <c r="U125">
        <f t="shared" si="3"/>
        <v>4222</v>
      </c>
      <c r="V125">
        <v>1090</v>
      </c>
      <c r="W125">
        <v>36</v>
      </c>
      <c r="X125">
        <v>40</v>
      </c>
      <c r="Y125">
        <v>68</v>
      </c>
      <c r="Z125">
        <v>62</v>
      </c>
      <c r="AA125">
        <v>9</v>
      </c>
      <c r="AB125">
        <v>137</v>
      </c>
      <c r="AC125">
        <v>71</v>
      </c>
      <c r="AD125" s="1">
        <v>78</v>
      </c>
      <c r="AE125" s="1">
        <v>84</v>
      </c>
      <c r="AF125">
        <v>4.7</v>
      </c>
    </row>
    <row r="126" spans="1:32" x14ac:dyDescent="0.2">
      <c r="A126" s="52">
        <v>2004</v>
      </c>
      <c r="B126" t="s">
        <v>47</v>
      </c>
      <c r="C126" t="s">
        <v>163</v>
      </c>
      <c r="D126">
        <v>599</v>
      </c>
      <c r="E126">
        <v>162</v>
      </c>
      <c r="F126">
        <v>4</v>
      </c>
      <c r="G126">
        <v>12</v>
      </c>
      <c r="H126">
        <v>158</v>
      </c>
      <c r="I126">
        <v>36</v>
      </c>
      <c r="J126">
        <v>1451.1</v>
      </c>
      <c r="K126">
        <v>6222</v>
      </c>
      <c r="L126">
        <v>1430</v>
      </c>
      <c r="M126" s="1">
        <v>768</v>
      </c>
      <c r="N126">
        <f t="shared" si="2"/>
        <v>922</v>
      </c>
      <c r="O126">
        <v>318</v>
      </c>
      <c r="P126">
        <v>31</v>
      </c>
      <c r="Q126">
        <v>159</v>
      </c>
      <c r="R126">
        <v>674</v>
      </c>
      <c r="S126">
        <v>447</v>
      </c>
      <c r="T126">
        <v>28</v>
      </c>
      <c r="U126">
        <f t="shared" si="3"/>
        <v>4253</v>
      </c>
      <c r="V126">
        <v>1132</v>
      </c>
      <c r="W126">
        <v>37</v>
      </c>
      <c r="X126">
        <v>46</v>
      </c>
      <c r="Y126">
        <v>39</v>
      </c>
      <c r="Z126">
        <v>92</v>
      </c>
      <c r="AA126">
        <v>1</v>
      </c>
      <c r="AB126">
        <v>107</v>
      </c>
      <c r="AC126">
        <v>82</v>
      </c>
      <c r="AD126" s="1">
        <v>98</v>
      </c>
      <c r="AE126" s="1">
        <v>64</v>
      </c>
      <c r="AF126">
        <v>4.18</v>
      </c>
    </row>
    <row r="127" spans="1:32" x14ac:dyDescent="0.2">
      <c r="A127" s="52">
        <v>2004</v>
      </c>
      <c r="B127" t="s">
        <v>157</v>
      </c>
      <c r="C127" t="s">
        <v>38</v>
      </c>
      <c r="D127">
        <v>622</v>
      </c>
      <c r="E127">
        <v>162</v>
      </c>
      <c r="F127">
        <v>3</v>
      </c>
      <c r="G127">
        <v>6</v>
      </c>
      <c r="H127">
        <v>159</v>
      </c>
      <c r="I127">
        <v>42</v>
      </c>
      <c r="J127">
        <v>1465.1</v>
      </c>
      <c r="K127">
        <v>6262</v>
      </c>
      <c r="L127">
        <v>1363</v>
      </c>
      <c r="M127" s="1">
        <v>665</v>
      </c>
      <c r="N127">
        <f t="shared" si="2"/>
        <v>918</v>
      </c>
      <c r="O127">
        <v>245</v>
      </c>
      <c r="P127">
        <v>31</v>
      </c>
      <c r="Q127">
        <v>169</v>
      </c>
      <c r="R127">
        <v>621</v>
      </c>
      <c r="S127">
        <v>545</v>
      </c>
      <c r="T127">
        <v>33</v>
      </c>
      <c r="U127">
        <f t="shared" si="3"/>
        <v>4278</v>
      </c>
      <c r="V127">
        <v>1346</v>
      </c>
      <c r="W127">
        <v>78</v>
      </c>
      <c r="X127">
        <v>44</v>
      </c>
      <c r="Y127">
        <v>50</v>
      </c>
      <c r="Z127">
        <v>76</v>
      </c>
      <c r="AA127">
        <v>9</v>
      </c>
      <c r="AB127">
        <v>104</v>
      </c>
      <c r="AC127">
        <v>62</v>
      </c>
      <c r="AD127" s="1">
        <v>89</v>
      </c>
      <c r="AE127" s="1">
        <v>73</v>
      </c>
      <c r="AF127">
        <v>3.81</v>
      </c>
    </row>
    <row r="128" spans="1:32" x14ac:dyDescent="0.2">
      <c r="A128" s="52">
        <v>2004</v>
      </c>
      <c r="B128" t="s">
        <v>157</v>
      </c>
      <c r="C128" t="s">
        <v>163</v>
      </c>
      <c r="D128">
        <v>561</v>
      </c>
      <c r="E128">
        <v>162</v>
      </c>
      <c r="F128">
        <v>8</v>
      </c>
      <c r="G128">
        <v>8</v>
      </c>
      <c r="H128">
        <v>154</v>
      </c>
      <c r="I128">
        <v>34</v>
      </c>
      <c r="J128">
        <v>1432.1</v>
      </c>
      <c r="K128">
        <v>6189</v>
      </c>
      <c r="L128">
        <v>1505</v>
      </c>
      <c r="M128" s="1">
        <v>831</v>
      </c>
      <c r="N128">
        <f t="shared" si="2"/>
        <v>981</v>
      </c>
      <c r="O128">
        <v>276</v>
      </c>
      <c r="P128">
        <v>24</v>
      </c>
      <c r="Q128">
        <v>224</v>
      </c>
      <c r="R128">
        <v>782</v>
      </c>
      <c r="S128">
        <v>527</v>
      </c>
      <c r="T128">
        <v>36</v>
      </c>
      <c r="U128">
        <f t="shared" si="3"/>
        <v>4109</v>
      </c>
      <c r="V128">
        <v>1013</v>
      </c>
      <c r="W128">
        <v>39</v>
      </c>
      <c r="X128">
        <v>46</v>
      </c>
      <c r="Y128">
        <v>43</v>
      </c>
      <c r="Z128">
        <v>48</v>
      </c>
      <c r="AA128">
        <v>3</v>
      </c>
      <c r="AB128">
        <v>137</v>
      </c>
      <c r="AC128">
        <v>61</v>
      </c>
      <c r="AD128" s="1">
        <v>83</v>
      </c>
      <c r="AE128" s="1">
        <v>79</v>
      </c>
      <c r="AF128">
        <v>4.91</v>
      </c>
    </row>
    <row r="129" spans="1:32" x14ac:dyDescent="0.2">
      <c r="A129" s="52">
        <v>2004</v>
      </c>
      <c r="B129" t="s">
        <v>53</v>
      </c>
      <c r="C129" t="s">
        <v>38</v>
      </c>
      <c r="D129">
        <v>659</v>
      </c>
      <c r="E129">
        <v>162</v>
      </c>
      <c r="F129">
        <v>5</v>
      </c>
      <c r="G129">
        <v>8</v>
      </c>
      <c r="H129">
        <v>157</v>
      </c>
      <c r="I129">
        <v>47</v>
      </c>
      <c r="J129">
        <v>1443.2</v>
      </c>
      <c r="K129">
        <v>6451</v>
      </c>
      <c r="L129">
        <v>1595</v>
      </c>
      <c r="M129" s="1">
        <v>907</v>
      </c>
      <c r="N129">
        <f t="shared" si="2"/>
        <v>954</v>
      </c>
      <c r="O129">
        <v>373</v>
      </c>
      <c r="P129">
        <v>32</v>
      </c>
      <c r="Q129">
        <v>236</v>
      </c>
      <c r="R129">
        <v>832</v>
      </c>
      <c r="S129">
        <v>572</v>
      </c>
      <c r="T129">
        <v>55</v>
      </c>
      <c r="U129">
        <f t="shared" si="3"/>
        <v>4230</v>
      </c>
      <c r="V129">
        <v>992</v>
      </c>
      <c r="W129">
        <v>75</v>
      </c>
      <c r="X129">
        <v>54</v>
      </c>
      <c r="Y129">
        <v>74</v>
      </c>
      <c r="Z129">
        <v>54</v>
      </c>
      <c r="AA129">
        <v>3</v>
      </c>
      <c r="AB129">
        <v>101</v>
      </c>
      <c r="AC129">
        <v>81</v>
      </c>
      <c r="AD129" s="1">
        <v>76</v>
      </c>
      <c r="AE129" s="1">
        <v>86</v>
      </c>
      <c r="AF129">
        <v>5.19</v>
      </c>
    </row>
    <row r="130" spans="1:32" x14ac:dyDescent="0.2">
      <c r="A130" s="52">
        <v>2004</v>
      </c>
      <c r="B130" t="s">
        <v>55</v>
      </c>
      <c r="C130" t="s">
        <v>163</v>
      </c>
      <c r="D130">
        <v>641</v>
      </c>
      <c r="E130">
        <v>162</v>
      </c>
      <c r="F130">
        <v>8</v>
      </c>
      <c r="G130">
        <v>8</v>
      </c>
      <c r="H130">
        <v>154</v>
      </c>
      <c r="I130">
        <v>32</v>
      </c>
      <c r="J130">
        <v>1466.2</v>
      </c>
      <c r="K130">
        <v>6450</v>
      </c>
      <c r="L130">
        <v>1553</v>
      </c>
      <c r="M130" s="1">
        <v>857</v>
      </c>
      <c r="N130">
        <f t="shared" si="2"/>
        <v>986</v>
      </c>
      <c r="O130">
        <v>338</v>
      </c>
      <c r="P130">
        <v>28</v>
      </c>
      <c r="Q130">
        <v>201</v>
      </c>
      <c r="R130">
        <v>784</v>
      </c>
      <c r="S130">
        <v>579</v>
      </c>
      <c r="T130">
        <v>47</v>
      </c>
      <c r="U130">
        <f t="shared" si="3"/>
        <v>4256</v>
      </c>
      <c r="V130">
        <v>1115</v>
      </c>
      <c r="W130">
        <v>39</v>
      </c>
      <c r="X130">
        <v>43</v>
      </c>
      <c r="Y130">
        <v>43</v>
      </c>
      <c r="Z130">
        <v>62</v>
      </c>
      <c r="AA130">
        <v>6</v>
      </c>
      <c r="AB130">
        <v>118</v>
      </c>
      <c r="AC130">
        <v>71</v>
      </c>
      <c r="AD130" s="1">
        <v>80</v>
      </c>
      <c r="AE130" s="1">
        <v>82</v>
      </c>
      <c r="AF130">
        <v>4.8099999999999996</v>
      </c>
    </row>
    <row r="131" spans="1:32" x14ac:dyDescent="0.2">
      <c r="A131" s="52">
        <v>2004</v>
      </c>
      <c r="B131" t="s">
        <v>57</v>
      </c>
      <c r="C131" t="s">
        <v>38</v>
      </c>
      <c r="D131">
        <v>635</v>
      </c>
      <c r="E131">
        <v>162</v>
      </c>
      <c r="F131">
        <v>3</v>
      </c>
      <c r="G131">
        <v>2</v>
      </c>
      <c r="H131">
        <v>159</v>
      </c>
      <c r="I131">
        <v>36</v>
      </c>
      <c r="J131">
        <v>1435.1</v>
      </c>
      <c r="K131">
        <v>6535</v>
      </c>
      <c r="L131">
        <v>1634</v>
      </c>
      <c r="M131" s="1">
        <v>923</v>
      </c>
      <c r="N131">
        <f t="shared" ref="N131:N194" si="4">L131-(O131+P131+Q131)</f>
        <v>1057</v>
      </c>
      <c r="O131">
        <v>336</v>
      </c>
      <c r="P131">
        <v>43</v>
      </c>
      <c r="Q131">
        <v>198</v>
      </c>
      <c r="R131">
        <v>883</v>
      </c>
      <c r="S131">
        <v>697</v>
      </c>
      <c r="T131">
        <v>84</v>
      </c>
      <c r="U131">
        <f t="shared" ref="U131:U194" si="5">K131-(L131+S131+Z131)</f>
        <v>4133</v>
      </c>
      <c r="V131">
        <v>947</v>
      </c>
      <c r="W131">
        <v>82</v>
      </c>
      <c r="X131">
        <v>56</v>
      </c>
      <c r="Y131">
        <v>66</v>
      </c>
      <c r="Z131">
        <v>71</v>
      </c>
      <c r="AA131">
        <v>6</v>
      </c>
      <c r="AB131">
        <v>135</v>
      </c>
      <c r="AC131">
        <v>49</v>
      </c>
      <c r="AD131" s="1">
        <v>68</v>
      </c>
      <c r="AE131" s="1">
        <v>94</v>
      </c>
      <c r="AF131">
        <v>5.54</v>
      </c>
    </row>
    <row r="132" spans="1:32" x14ac:dyDescent="0.2">
      <c r="A132" s="52">
        <v>2004</v>
      </c>
      <c r="B132" t="s">
        <v>59</v>
      </c>
      <c r="C132" t="s">
        <v>163</v>
      </c>
      <c r="D132">
        <v>594</v>
      </c>
      <c r="E132">
        <v>162</v>
      </c>
      <c r="F132">
        <v>7</v>
      </c>
      <c r="G132">
        <v>9</v>
      </c>
      <c r="H132">
        <v>155</v>
      </c>
      <c r="I132">
        <v>35</v>
      </c>
      <c r="J132">
        <v>1439.2</v>
      </c>
      <c r="K132">
        <v>6296</v>
      </c>
      <c r="L132">
        <v>1542</v>
      </c>
      <c r="M132" s="1">
        <v>844</v>
      </c>
      <c r="N132">
        <f t="shared" si="4"/>
        <v>1024</v>
      </c>
      <c r="O132">
        <v>291</v>
      </c>
      <c r="P132">
        <v>37</v>
      </c>
      <c r="Q132">
        <v>190</v>
      </c>
      <c r="R132">
        <v>788</v>
      </c>
      <c r="S132">
        <v>530</v>
      </c>
      <c r="T132">
        <v>33</v>
      </c>
      <c r="U132">
        <f t="shared" si="5"/>
        <v>4170</v>
      </c>
      <c r="V132">
        <v>995</v>
      </c>
      <c r="W132">
        <v>52</v>
      </c>
      <c r="X132">
        <v>43</v>
      </c>
      <c r="Y132">
        <v>71</v>
      </c>
      <c r="Z132">
        <v>54</v>
      </c>
      <c r="AA132">
        <v>6</v>
      </c>
      <c r="AB132">
        <v>144</v>
      </c>
      <c r="AC132">
        <v>85</v>
      </c>
      <c r="AD132" s="1">
        <v>72</v>
      </c>
      <c r="AE132" s="1">
        <v>90</v>
      </c>
      <c r="AF132">
        <v>4.93</v>
      </c>
    </row>
    <row r="133" spans="1:32" x14ac:dyDescent="0.2">
      <c r="A133" s="52">
        <v>2004</v>
      </c>
      <c r="B133" t="s">
        <v>160</v>
      </c>
      <c r="C133" t="s">
        <v>38</v>
      </c>
      <c r="D133">
        <v>566</v>
      </c>
      <c r="E133">
        <v>162</v>
      </c>
      <c r="F133">
        <v>6</v>
      </c>
      <c r="G133">
        <v>14</v>
      </c>
      <c r="H133">
        <v>156</v>
      </c>
      <c r="I133">
        <v>53</v>
      </c>
      <c r="J133">
        <v>1439</v>
      </c>
      <c r="K133">
        <v>6110</v>
      </c>
      <c r="L133">
        <v>1395</v>
      </c>
      <c r="M133" s="1">
        <v>700</v>
      </c>
      <c r="N133">
        <f t="shared" si="4"/>
        <v>913</v>
      </c>
      <c r="O133">
        <v>280</v>
      </c>
      <c r="P133">
        <v>36</v>
      </c>
      <c r="Q133">
        <v>166</v>
      </c>
      <c r="R133">
        <v>655</v>
      </c>
      <c r="S133">
        <v>513</v>
      </c>
      <c r="T133">
        <v>61</v>
      </c>
      <c r="U133">
        <f t="shared" si="5"/>
        <v>4151</v>
      </c>
      <c r="V133">
        <v>1116</v>
      </c>
      <c r="W133">
        <v>55</v>
      </c>
      <c r="X133">
        <v>36</v>
      </c>
      <c r="Y133">
        <v>35</v>
      </c>
      <c r="Z133">
        <v>51</v>
      </c>
      <c r="AA133">
        <v>3</v>
      </c>
      <c r="AB133">
        <v>123</v>
      </c>
      <c r="AC133">
        <v>45</v>
      </c>
      <c r="AD133" s="1">
        <v>83</v>
      </c>
      <c r="AE133" s="1">
        <v>79</v>
      </c>
      <c r="AF133">
        <v>4.0999999999999996</v>
      </c>
    </row>
    <row r="134" spans="1:32" x14ac:dyDescent="0.2">
      <c r="A134" s="52">
        <v>2004</v>
      </c>
      <c r="B134" t="s">
        <v>63</v>
      </c>
      <c r="C134" t="s">
        <v>38</v>
      </c>
      <c r="D134">
        <v>655</v>
      </c>
      <c r="E134">
        <v>162</v>
      </c>
      <c r="F134">
        <v>2</v>
      </c>
      <c r="G134">
        <v>13</v>
      </c>
      <c r="H134">
        <v>160</v>
      </c>
      <c r="I134">
        <v>47</v>
      </c>
      <c r="J134">
        <v>1443</v>
      </c>
      <c r="K134">
        <v>6201</v>
      </c>
      <c r="L134">
        <v>1416</v>
      </c>
      <c r="M134" s="1">
        <v>698</v>
      </c>
      <c r="N134">
        <f t="shared" si="4"/>
        <v>924</v>
      </c>
      <c r="O134">
        <v>283</v>
      </c>
      <c r="P134">
        <v>35</v>
      </c>
      <c r="Q134">
        <v>174</v>
      </c>
      <c r="R134">
        <v>650</v>
      </c>
      <c r="S134">
        <v>525</v>
      </c>
      <c r="T134">
        <v>61</v>
      </c>
      <c r="U134">
        <f t="shared" si="5"/>
        <v>4192</v>
      </c>
      <c r="V134">
        <v>1282</v>
      </c>
      <c r="W134">
        <v>74</v>
      </c>
      <c r="X134">
        <v>35</v>
      </c>
      <c r="Y134">
        <v>45</v>
      </c>
      <c r="Z134">
        <v>68</v>
      </c>
      <c r="AA134">
        <v>3</v>
      </c>
      <c r="AB134">
        <v>119</v>
      </c>
      <c r="AC134">
        <v>67</v>
      </c>
      <c r="AD134" s="1">
        <v>92</v>
      </c>
      <c r="AE134" s="1">
        <v>70</v>
      </c>
      <c r="AF134">
        <v>4.05</v>
      </c>
    </row>
    <row r="135" spans="1:32" x14ac:dyDescent="0.2">
      <c r="A135" s="52">
        <v>2004</v>
      </c>
      <c r="B135" t="s">
        <v>164</v>
      </c>
      <c r="C135" t="s">
        <v>163</v>
      </c>
      <c r="D135">
        <v>571</v>
      </c>
      <c r="E135">
        <v>162</v>
      </c>
      <c r="F135">
        <v>6</v>
      </c>
      <c r="G135">
        <v>3</v>
      </c>
      <c r="H135">
        <v>156</v>
      </c>
      <c r="I135">
        <v>25</v>
      </c>
      <c r="J135">
        <v>1420.1</v>
      </c>
      <c r="K135">
        <v>6320</v>
      </c>
      <c r="L135">
        <v>1638</v>
      </c>
      <c r="M135" s="1">
        <v>905</v>
      </c>
      <c r="N135">
        <f t="shared" si="4"/>
        <v>1036</v>
      </c>
      <c r="O135">
        <v>361</v>
      </c>
      <c r="P135">
        <v>33</v>
      </c>
      <c r="Q135">
        <v>208</v>
      </c>
      <c r="R135">
        <v>813</v>
      </c>
      <c r="S135">
        <v>518</v>
      </c>
      <c r="T135">
        <v>49</v>
      </c>
      <c r="U135">
        <f t="shared" si="5"/>
        <v>4108</v>
      </c>
      <c r="V135">
        <v>887</v>
      </c>
      <c r="W135">
        <v>38</v>
      </c>
      <c r="X135">
        <v>57</v>
      </c>
      <c r="Y135">
        <v>60</v>
      </c>
      <c r="Z135">
        <v>56</v>
      </c>
      <c r="AA135">
        <v>10</v>
      </c>
      <c r="AB135">
        <v>143</v>
      </c>
      <c r="AC135">
        <v>90</v>
      </c>
      <c r="AD135" s="1">
        <v>58</v>
      </c>
      <c r="AE135" s="1">
        <v>104</v>
      </c>
      <c r="AF135">
        <v>5.15</v>
      </c>
    </row>
    <row r="136" spans="1:32" x14ac:dyDescent="0.2">
      <c r="A136" s="52">
        <v>2004</v>
      </c>
      <c r="B136" t="s">
        <v>159</v>
      </c>
      <c r="C136" t="s">
        <v>38</v>
      </c>
      <c r="D136">
        <v>621</v>
      </c>
      <c r="E136">
        <v>162</v>
      </c>
      <c r="F136">
        <v>2</v>
      </c>
      <c r="G136">
        <v>6</v>
      </c>
      <c r="H136">
        <v>160</v>
      </c>
      <c r="I136">
        <v>51</v>
      </c>
      <c r="J136">
        <v>1453.1</v>
      </c>
      <c r="K136">
        <v>6155</v>
      </c>
      <c r="L136">
        <v>1386</v>
      </c>
      <c r="M136" s="1">
        <v>684</v>
      </c>
      <c r="N136">
        <f t="shared" si="4"/>
        <v>927</v>
      </c>
      <c r="O136">
        <v>255</v>
      </c>
      <c r="P136">
        <v>26</v>
      </c>
      <c r="Q136">
        <v>178</v>
      </c>
      <c r="R136">
        <v>647</v>
      </c>
      <c r="S136">
        <v>521</v>
      </c>
      <c r="T136">
        <v>47</v>
      </c>
      <c r="U136">
        <f t="shared" si="5"/>
        <v>4194</v>
      </c>
      <c r="V136">
        <v>1066</v>
      </c>
      <c r="W136">
        <v>88</v>
      </c>
      <c r="X136">
        <v>39</v>
      </c>
      <c r="Y136">
        <v>43</v>
      </c>
      <c r="Z136">
        <v>54</v>
      </c>
      <c r="AA136">
        <v>2</v>
      </c>
      <c r="AB136">
        <v>129</v>
      </c>
      <c r="AC136">
        <v>38</v>
      </c>
      <c r="AD136" s="1">
        <v>93</v>
      </c>
      <c r="AE136" s="1">
        <v>69</v>
      </c>
      <c r="AF136">
        <v>4.01</v>
      </c>
    </row>
    <row r="137" spans="1:32" x14ac:dyDescent="0.2">
      <c r="A137" s="52">
        <v>2004</v>
      </c>
      <c r="B137" t="s">
        <v>69</v>
      </c>
      <c r="C137" t="s">
        <v>38</v>
      </c>
      <c r="D137">
        <v>584</v>
      </c>
      <c r="E137">
        <v>161</v>
      </c>
      <c r="F137">
        <v>6</v>
      </c>
      <c r="G137">
        <v>10</v>
      </c>
      <c r="H137">
        <v>155</v>
      </c>
      <c r="I137">
        <v>42</v>
      </c>
      <c r="J137">
        <v>1442</v>
      </c>
      <c r="K137">
        <v>6204</v>
      </c>
      <c r="L137">
        <v>1440</v>
      </c>
      <c r="M137" s="1">
        <v>757</v>
      </c>
      <c r="N137">
        <f t="shared" si="4"/>
        <v>920</v>
      </c>
      <c r="O137">
        <v>325</v>
      </c>
      <c r="P137">
        <v>31</v>
      </c>
      <c r="Q137">
        <v>164</v>
      </c>
      <c r="R137">
        <v>679</v>
      </c>
      <c r="S137">
        <v>476</v>
      </c>
      <c r="T137">
        <v>27</v>
      </c>
      <c r="U137">
        <f t="shared" si="5"/>
        <v>4237</v>
      </c>
      <c r="V137">
        <v>1098</v>
      </c>
      <c r="W137">
        <v>58</v>
      </c>
      <c r="X137">
        <v>52</v>
      </c>
      <c r="Y137">
        <v>59</v>
      </c>
      <c r="Z137">
        <v>51</v>
      </c>
      <c r="AA137">
        <v>5</v>
      </c>
      <c r="AB137">
        <v>109</v>
      </c>
      <c r="AC137">
        <v>91</v>
      </c>
      <c r="AD137" s="1">
        <v>67</v>
      </c>
      <c r="AE137" s="1">
        <v>94</v>
      </c>
      <c r="AF137">
        <v>4.24</v>
      </c>
    </row>
    <row r="138" spans="1:32" x14ac:dyDescent="0.2">
      <c r="A138" s="52">
        <v>2004</v>
      </c>
      <c r="B138" t="s">
        <v>71</v>
      </c>
      <c r="C138" t="s">
        <v>163</v>
      </c>
      <c r="D138">
        <v>597</v>
      </c>
      <c r="E138">
        <v>162</v>
      </c>
      <c r="F138">
        <v>4</v>
      </c>
      <c r="G138">
        <v>9</v>
      </c>
      <c r="H138">
        <v>158</v>
      </c>
      <c r="I138">
        <v>48</v>
      </c>
      <c r="J138">
        <v>1476</v>
      </c>
      <c r="K138">
        <v>6269</v>
      </c>
      <c r="L138">
        <v>1523</v>
      </c>
      <c r="M138" s="1">
        <v>715</v>
      </c>
      <c r="N138">
        <f t="shared" si="4"/>
        <v>1086</v>
      </c>
      <c r="O138">
        <v>247</v>
      </c>
      <c r="P138">
        <v>23</v>
      </c>
      <c r="Q138">
        <v>167</v>
      </c>
      <c r="R138">
        <v>661</v>
      </c>
      <c r="S138">
        <v>431</v>
      </c>
      <c r="T138">
        <v>27</v>
      </c>
      <c r="U138">
        <f t="shared" si="5"/>
        <v>4261</v>
      </c>
      <c r="V138">
        <v>1123</v>
      </c>
      <c r="W138">
        <v>46</v>
      </c>
      <c r="X138">
        <v>35</v>
      </c>
      <c r="Y138">
        <v>45</v>
      </c>
      <c r="Z138">
        <v>54</v>
      </c>
      <c r="AA138">
        <v>1</v>
      </c>
      <c r="AB138">
        <v>132</v>
      </c>
      <c r="AC138">
        <v>53</v>
      </c>
      <c r="AD138" s="1">
        <v>92</v>
      </c>
      <c r="AE138" s="1">
        <v>70</v>
      </c>
      <c r="AF138">
        <v>4.03</v>
      </c>
    </row>
    <row r="139" spans="1:32" x14ac:dyDescent="0.2">
      <c r="A139" s="52">
        <v>2004</v>
      </c>
      <c r="B139" t="s">
        <v>73</v>
      </c>
      <c r="C139" t="s">
        <v>38</v>
      </c>
      <c r="D139">
        <v>624</v>
      </c>
      <c r="E139">
        <v>162</v>
      </c>
      <c r="F139">
        <v>11</v>
      </c>
      <c r="G139">
        <v>11</v>
      </c>
      <c r="H139">
        <v>151</v>
      </c>
      <c r="I139">
        <v>31</v>
      </c>
      <c r="J139">
        <v>1447</v>
      </c>
      <c r="K139">
        <v>6307</v>
      </c>
      <c r="L139">
        <v>1477</v>
      </c>
      <c r="M139" s="1">
        <v>769</v>
      </c>
      <c r="N139">
        <f t="shared" si="4"/>
        <v>973</v>
      </c>
      <c r="O139">
        <v>284</v>
      </c>
      <c r="P139">
        <v>29</v>
      </c>
      <c r="Q139">
        <v>191</v>
      </c>
      <c r="R139">
        <v>696</v>
      </c>
      <c r="S139">
        <v>582</v>
      </c>
      <c r="T139">
        <v>78</v>
      </c>
      <c r="U139">
        <f t="shared" si="5"/>
        <v>4169</v>
      </c>
      <c r="V139">
        <v>1032</v>
      </c>
      <c r="W139">
        <v>54</v>
      </c>
      <c r="X139">
        <v>36</v>
      </c>
      <c r="Y139">
        <v>43</v>
      </c>
      <c r="Z139">
        <v>79</v>
      </c>
      <c r="AA139">
        <v>2</v>
      </c>
      <c r="AB139">
        <v>135</v>
      </c>
      <c r="AC139">
        <v>67</v>
      </c>
      <c r="AD139" s="1">
        <v>67</v>
      </c>
      <c r="AE139" s="1">
        <v>95</v>
      </c>
      <c r="AF139">
        <v>4.33</v>
      </c>
    </row>
    <row r="140" spans="1:32" x14ac:dyDescent="0.2">
      <c r="A140" s="52">
        <v>2004</v>
      </c>
      <c r="B140" t="s">
        <v>158</v>
      </c>
      <c r="C140" t="s">
        <v>38</v>
      </c>
      <c r="D140">
        <v>636</v>
      </c>
      <c r="E140">
        <v>162</v>
      </c>
      <c r="F140">
        <v>2</v>
      </c>
      <c r="G140">
        <v>6</v>
      </c>
      <c r="H140">
        <v>160</v>
      </c>
      <c r="I140">
        <v>31</v>
      </c>
      <c r="J140">
        <v>1449</v>
      </c>
      <c r="K140">
        <v>6333</v>
      </c>
      <c r="L140">
        <v>1452</v>
      </c>
      <c r="M140" s="1">
        <v>731</v>
      </c>
      <c r="N140">
        <f t="shared" si="4"/>
        <v>984</v>
      </c>
      <c r="O140">
        <v>288</v>
      </c>
      <c r="P140">
        <v>24</v>
      </c>
      <c r="Q140">
        <v>156</v>
      </c>
      <c r="R140">
        <v>658</v>
      </c>
      <c r="S140">
        <v>592</v>
      </c>
      <c r="T140">
        <v>70</v>
      </c>
      <c r="U140">
        <f t="shared" si="5"/>
        <v>4240</v>
      </c>
      <c r="V140">
        <v>977</v>
      </c>
      <c r="W140">
        <v>77</v>
      </c>
      <c r="X140">
        <v>44</v>
      </c>
      <c r="Y140">
        <v>30</v>
      </c>
      <c r="Z140">
        <v>49</v>
      </c>
      <c r="AA140">
        <v>8</v>
      </c>
      <c r="AB140">
        <v>122</v>
      </c>
      <c r="AC140">
        <v>98</v>
      </c>
      <c r="AD140" s="1">
        <v>71</v>
      </c>
      <c r="AE140" s="1">
        <v>91</v>
      </c>
      <c r="AF140">
        <v>4.09</v>
      </c>
    </row>
    <row r="141" spans="1:32" x14ac:dyDescent="0.2">
      <c r="A141" s="52">
        <v>2004</v>
      </c>
      <c r="B141" t="s">
        <v>158</v>
      </c>
      <c r="C141" t="s">
        <v>163</v>
      </c>
      <c r="D141">
        <v>598</v>
      </c>
      <c r="E141">
        <v>162</v>
      </c>
      <c r="F141">
        <v>1</v>
      </c>
      <c r="G141">
        <v>5</v>
      </c>
      <c r="H141">
        <v>161</v>
      </c>
      <c r="I141">
        <v>59</v>
      </c>
      <c r="J141">
        <v>1443.2</v>
      </c>
      <c r="K141">
        <v>6240</v>
      </c>
      <c r="L141">
        <v>1532</v>
      </c>
      <c r="M141" s="1">
        <v>808</v>
      </c>
      <c r="N141">
        <f t="shared" si="4"/>
        <v>1018</v>
      </c>
      <c r="O141">
        <v>304</v>
      </c>
      <c r="P141">
        <v>28</v>
      </c>
      <c r="Q141">
        <v>182</v>
      </c>
      <c r="R141">
        <v>752</v>
      </c>
      <c r="S141">
        <v>445</v>
      </c>
      <c r="T141">
        <v>32</v>
      </c>
      <c r="U141">
        <f t="shared" si="5"/>
        <v>4203</v>
      </c>
      <c r="V141">
        <v>1058</v>
      </c>
      <c r="W141">
        <v>28</v>
      </c>
      <c r="X141">
        <v>57</v>
      </c>
      <c r="Y141">
        <v>57</v>
      </c>
      <c r="Z141">
        <v>60</v>
      </c>
      <c r="AA141">
        <v>4</v>
      </c>
      <c r="AB141">
        <v>118</v>
      </c>
      <c r="AC141">
        <v>63</v>
      </c>
      <c r="AD141" s="1">
        <v>101</v>
      </c>
      <c r="AE141" s="1">
        <v>61</v>
      </c>
      <c r="AF141">
        <v>4.6900000000000004</v>
      </c>
    </row>
    <row r="142" spans="1:32" x14ac:dyDescent="0.2">
      <c r="A142" s="52">
        <v>2004</v>
      </c>
      <c r="B142" t="s">
        <v>79</v>
      </c>
      <c r="C142" t="s">
        <v>163</v>
      </c>
      <c r="D142">
        <v>576</v>
      </c>
      <c r="E142">
        <v>162</v>
      </c>
      <c r="F142">
        <v>10</v>
      </c>
      <c r="G142">
        <v>8</v>
      </c>
      <c r="H142">
        <v>152</v>
      </c>
      <c r="I142">
        <v>35</v>
      </c>
      <c r="J142">
        <v>1471.1</v>
      </c>
      <c r="K142">
        <v>6313</v>
      </c>
      <c r="L142">
        <v>1466</v>
      </c>
      <c r="M142" s="1">
        <v>742</v>
      </c>
      <c r="N142">
        <f t="shared" si="4"/>
        <v>989</v>
      </c>
      <c r="O142">
        <v>291</v>
      </c>
      <c r="P142">
        <v>22</v>
      </c>
      <c r="Q142">
        <v>164</v>
      </c>
      <c r="R142">
        <v>682</v>
      </c>
      <c r="S142">
        <v>544</v>
      </c>
      <c r="T142">
        <v>49</v>
      </c>
      <c r="U142">
        <f t="shared" si="5"/>
        <v>4235</v>
      </c>
      <c r="V142">
        <v>1034</v>
      </c>
      <c r="W142">
        <v>54</v>
      </c>
      <c r="X142">
        <v>43</v>
      </c>
      <c r="Y142">
        <v>39</v>
      </c>
      <c r="Z142">
        <v>68</v>
      </c>
      <c r="AA142">
        <v>5</v>
      </c>
      <c r="AB142">
        <v>145</v>
      </c>
      <c r="AC142">
        <v>72</v>
      </c>
      <c r="AD142" s="1">
        <v>91</v>
      </c>
      <c r="AE142" s="1">
        <v>71</v>
      </c>
      <c r="AF142">
        <v>4.17</v>
      </c>
    </row>
    <row r="143" spans="1:32" x14ac:dyDescent="0.2">
      <c r="A143" s="52">
        <v>2004</v>
      </c>
      <c r="B143" t="s">
        <v>81</v>
      </c>
      <c r="C143" t="s">
        <v>38</v>
      </c>
      <c r="D143">
        <v>638</v>
      </c>
      <c r="E143">
        <v>162</v>
      </c>
      <c r="F143">
        <v>4</v>
      </c>
      <c r="G143">
        <v>5</v>
      </c>
      <c r="H143">
        <v>158</v>
      </c>
      <c r="I143">
        <v>43</v>
      </c>
      <c r="J143">
        <v>1462.2</v>
      </c>
      <c r="K143">
        <v>6308</v>
      </c>
      <c r="L143">
        <v>1488</v>
      </c>
      <c r="M143" s="1">
        <v>781</v>
      </c>
      <c r="N143">
        <f t="shared" si="4"/>
        <v>920</v>
      </c>
      <c r="O143">
        <v>318</v>
      </c>
      <c r="P143">
        <v>36</v>
      </c>
      <c r="Q143">
        <v>214</v>
      </c>
      <c r="R143">
        <v>724</v>
      </c>
      <c r="S143">
        <v>502</v>
      </c>
      <c r="T143">
        <v>60</v>
      </c>
      <c r="U143">
        <f t="shared" si="5"/>
        <v>4252</v>
      </c>
      <c r="V143">
        <v>1070</v>
      </c>
      <c r="W143">
        <v>74</v>
      </c>
      <c r="X143">
        <v>38</v>
      </c>
      <c r="Y143">
        <v>40</v>
      </c>
      <c r="Z143">
        <v>66</v>
      </c>
      <c r="AA143">
        <v>3</v>
      </c>
      <c r="AB143">
        <v>119</v>
      </c>
      <c r="AC143">
        <v>52</v>
      </c>
      <c r="AD143" s="1">
        <v>86</v>
      </c>
      <c r="AE143" s="1">
        <v>76</v>
      </c>
      <c r="AF143">
        <v>4.45</v>
      </c>
    </row>
    <row r="144" spans="1:32" x14ac:dyDescent="0.2">
      <c r="A144" s="52">
        <v>2004</v>
      </c>
      <c r="B144" t="s">
        <v>83</v>
      </c>
      <c r="C144" t="s">
        <v>38</v>
      </c>
      <c r="D144">
        <v>625</v>
      </c>
      <c r="E144">
        <v>161</v>
      </c>
      <c r="F144">
        <v>3</v>
      </c>
      <c r="G144">
        <v>8</v>
      </c>
      <c r="H144">
        <v>158</v>
      </c>
      <c r="I144">
        <v>46</v>
      </c>
      <c r="J144">
        <v>1428</v>
      </c>
      <c r="K144">
        <v>6197</v>
      </c>
      <c r="L144">
        <v>1451</v>
      </c>
      <c r="M144" s="1">
        <v>744</v>
      </c>
      <c r="N144">
        <f t="shared" si="4"/>
        <v>973</v>
      </c>
      <c r="O144">
        <v>295</v>
      </c>
      <c r="P144">
        <v>34</v>
      </c>
      <c r="Q144">
        <v>149</v>
      </c>
      <c r="R144">
        <v>680</v>
      </c>
      <c r="S144">
        <v>576</v>
      </c>
      <c r="T144">
        <v>64</v>
      </c>
      <c r="U144">
        <f t="shared" si="5"/>
        <v>4107</v>
      </c>
      <c r="V144">
        <v>1079</v>
      </c>
      <c r="W144">
        <v>80</v>
      </c>
      <c r="X144">
        <v>48</v>
      </c>
      <c r="Y144">
        <v>45</v>
      </c>
      <c r="Z144">
        <v>63</v>
      </c>
      <c r="AA144">
        <v>3</v>
      </c>
      <c r="AB144">
        <v>160</v>
      </c>
      <c r="AC144">
        <v>68</v>
      </c>
      <c r="AD144" s="1">
        <v>72</v>
      </c>
      <c r="AE144" s="1">
        <v>89</v>
      </c>
      <c r="AF144">
        <v>4.29</v>
      </c>
    </row>
    <row r="145" spans="1:32" x14ac:dyDescent="0.2">
      <c r="A145" s="52">
        <v>2004</v>
      </c>
      <c r="B145" t="s">
        <v>161</v>
      </c>
      <c r="C145" t="s">
        <v>38</v>
      </c>
      <c r="D145">
        <v>599</v>
      </c>
      <c r="E145">
        <v>162</v>
      </c>
      <c r="F145">
        <v>3</v>
      </c>
      <c r="G145">
        <v>8</v>
      </c>
      <c r="H145">
        <v>159</v>
      </c>
      <c r="I145">
        <v>44</v>
      </c>
      <c r="J145">
        <v>1441</v>
      </c>
      <c r="K145">
        <v>6135</v>
      </c>
      <c r="L145">
        <v>1460</v>
      </c>
      <c r="M145" s="1">
        <v>705</v>
      </c>
      <c r="N145">
        <f t="shared" si="4"/>
        <v>932</v>
      </c>
      <c r="O145">
        <v>308</v>
      </c>
      <c r="P145">
        <v>36</v>
      </c>
      <c r="Q145">
        <v>184</v>
      </c>
      <c r="R145">
        <v>645</v>
      </c>
      <c r="S145">
        <v>422</v>
      </c>
      <c r="T145">
        <v>39</v>
      </c>
      <c r="U145">
        <f t="shared" si="5"/>
        <v>4205</v>
      </c>
      <c r="V145">
        <v>1079</v>
      </c>
      <c r="W145">
        <v>73</v>
      </c>
      <c r="X145">
        <v>41</v>
      </c>
      <c r="Y145">
        <v>27</v>
      </c>
      <c r="Z145">
        <v>48</v>
      </c>
      <c r="AA145">
        <v>2</v>
      </c>
      <c r="AB145">
        <v>125</v>
      </c>
      <c r="AC145">
        <v>78</v>
      </c>
      <c r="AD145" s="1">
        <v>87</v>
      </c>
      <c r="AE145" s="1">
        <v>75</v>
      </c>
      <c r="AF145">
        <v>4.03</v>
      </c>
    </row>
    <row r="146" spans="1:32" x14ac:dyDescent="0.2">
      <c r="A146" s="52">
        <v>2004</v>
      </c>
      <c r="B146" t="s">
        <v>87</v>
      </c>
      <c r="C146" t="s">
        <v>163</v>
      </c>
      <c r="D146">
        <v>576</v>
      </c>
      <c r="E146">
        <v>162</v>
      </c>
      <c r="F146">
        <v>7</v>
      </c>
      <c r="G146">
        <v>7</v>
      </c>
      <c r="H146">
        <v>155</v>
      </c>
      <c r="I146">
        <v>28</v>
      </c>
      <c r="J146">
        <v>1459.1</v>
      </c>
      <c r="K146">
        <v>6389</v>
      </c>
      <c r="L146">
        <v>1498</v>
      </c>
      <c r="M146" s="1">
        <v>823</v>
      </c>
      <c r="N146">
        <f t="shared" si="4"/>
        <v>949</v>
      </c>
      <c r="O146">
        <v>317</v>
      </c>
      <c r="P146">
        <v>20</v>
      </c>
      <c r="Q146">
        <v>212</v>
      </c>
      <c r="R146">
        <v>772</v>
      </c>
      <c r="S146">
        <v>575</v>
      </c>
      <c r="T146">
        <v>32</v>
      </c>
      <c r="U146">
        <f t="shared" si="5"/>
        <v>4244</v>
      </c>
      <c r="V146">
        <v>1036</v>
      </c>
      <c r="W146">
        <v>43</v>
      </c>
      <c r="X146">
        <v>48</v>
      </c>
      <c r="Y146">
        <v>45</v>
      </c>
      <c r="Z146">
        <v>72</v>
      </c>
      <c r="AA146">
        <v>7</v>
      </c>
      <c r="AB146">
        <v>117</v>
      </c>
      <c r="AC146">
        <v>70</v>
      </c>
      <c r="AD146" s="1">
        <v>63</v>
      </c>
      <c r="AE146" s="1">
        <v>99</v>
      </c>
      <c r="AF146">
        <v>4.76</v>
      </c>
    </row>
    <row r="147" spans="1:32" x14ac:dyDescent="0.2">
      <c r="A147" s="52">
        <v>2004</v>
      </c>
      <c r="B147" t="s">
        <v>21</v>
      </c>
      <c r="C147" t="s">
        <v>38</v>
      </c>
      <c r="D147">
        <v>683</v>
      </c>
      <c r="E147">
        <v>162</v>
      </c>
      <c r="F147">
        <v>8</v>
      </c>
      <c r="G147">
        <v>8</v>
      </c>
      <c r="H147">
        <v>154</v>
      </c>
      <c r="I147">
        <v>46</v>
      </c>
      <c r="J147">
        <v>1457</v>
      </c>
      <c r="K147">
        <v>6321</v>
      </c>
      <c r="L147">
        <v>1481</v>
      </c>
      <c r="M147" s="1">
        <v>770</v>
      </c>
      <c r="N147">
        <f t="shared" si="4"/>
        <v>963</v>
      </c>
      <c r="O147">
        <v>310</v>
      </c>
      <c r="P147">
        <v>47</v>
      </c>
      <c r="Q147">
        <v>161</v>
      </c>
      <c r="R147">
        <v>695</v>
      </c>
      <c r="S147">
        <v>548</v>
      </c>
      <c r="T147">
        <v>35</v>
      </c>
      <c r="U147">
        <f t="shared" si="5"/>
        <v>4245</v>
      </c>
      <c r="V147">
        <v>1020</v>
      </c>
      <c r="W147">
        <v>74</v>
      </c>
      <c r="X147">
        <v>53</v>
      </c>
      <c r="Y147">
        <v>52</v>
      </c>
      <c r="Z147">
        <v>47</v>
      </c>
      <c r="AA147">
        <v>2</v>
      </c>
      <c r="AB147">
        <v>131</v>
      </c>
      <c r="AC147">
        <v>76</v>
      </c>
      <c r="AD147" s="1">
        <v>91</v>
      </c>
      <c r="AE147" s="1">
        <v>71</v>
      </c>
      <c r="AF147">
        <v>4.29</v>
      </c>
    </row>
    <row r="148" spans="1:32" x14ac:dyDescent="0.2">
      <c r="A148" s="52">
        <v>2004</v>
      </c>
      <c r="B148" t="s">
        <v>156</v>
      </c>
      <c r="C148" t="s">
        <v>38</v>
      </c>
      <c r="D148">
        <v>631</v>
      </c>
      <c r="E148">
        <v>162</v>
      </c>
      <c r="F148">
        <v>4</v>
      </c>
      <c r="G148">
        <v>12</v>
      </c>
      <c r="H148">
        <v>158</v>
      </c>
      <c r="I148">
        <v>57</v>
      </c>
      <c r="J148">
        <v>1453.2</v>
      </c>
      <c r="K148">
        <v>6104</v>
      </c>
      <c r="L148">
        <v>1378</v>
      </c>
      <c r="M148" s="1">
        <v>659</v>
      </c>
      <c r="N148">
        <f t="shared" si="4"/>
        <v>905</v>
      </c>
      <c r="O148">
        <v>285</v>
      </c>
      <c r="P148">
        <v>19</v>
      </c>
      <c r="Q148">
        <v>169</v>
      </c>
      <c r="R148">
        <v>605</v>
      </c>
      <c r="S148">
        <v>440</v>
      </c>
      <c r="T148">
        <v>24</v>
      </c>
      <c r="U148">
        <f t="shared" si="5"/>
        <v>4219</v>
      </c>
      <c r="V148">
        <v>1041</v>
      </c>
      <c r="W148">
        <v>76</v>
      </c>
      <c r="X148">
        <v>37</v>
      </c>
      <c r="Y148">
        <v>42</v>
      </c>
      <c r="Z148">
        <v>67</v>
      </c>
      <c r="AA148">
        <v>4</v>
      </c>
      <c r="AB148">
        <v>129</v>
      </c>
      <c r="AC148">
        <v>66</v>
      </c>
      <c r="AD148" s="1">
        <v>105</v>
      </c>
      <c r="AE148" s="1">
        <v>57</v>
      </c>
      <c r="AF148">
        <v>3.75</v>
      </c>
    </row>
    <row r="149" spans="1:32" x14ac:dyDescent="0.2">
      <c r="A149" s="52">
        <v>2004</v>
      </c>
      <c r="B149" t="s">
        <v>165</v>
      </c>
      <c r="C149" t="s">
        <v>163</v>
      </c>
      <c r="D149">
        <v>562</v>
      </c>
      <c r="E149">
        <v>161</v>
      </c>
      <c r="F149">
        <v>3</v>
      </c>
      <c r="G149">
        <v>5</v>
      </c>
      <c r="H149">
        <v>158</v>
      </c>
      <c r="I149">
        <v>35</v>
      </c>
      <c r="J149">
        <v>1417</v>
      </c>
      <c r="K149">
        <v>6261</v>
      </c>
      <c r="L149">
        <v>1459</v>
      </c>
      <c r="M149" s="1">
        <v>842</v>
      </c>
      <c r="N149">
        <f t="shared" si="4"/>
        <v>916</v>
      </c>
      <c r="O149">
        <v>324</v>
      </c>
      <c r="P149">
        <v>27</v>
      </c>
      <c r="Q149">
        <v>192</v>
      </c>
      <c r="R149">
        <v>757</v>
      </c>
      <c r="S149">
        <v>580</v>
      </c>
      <c r="T149">
        <v>35</v>
      </c>
      <c r="U149">
        <f t="shared" si="5"/>
        <v>4129</v>
      </c>
      <c r="V149">
        <v>923</v>
      </c>
      <c r="W149">
        <v>30</v>
      </c>
      <c r="X149">
        <v>52</v>
      </c>
      <c r="Y149">
        <v>55</v>
      </c>
      <c r="Z149">
        <v>93</v>
      </c>
      <c r="AA149">
        <v>7</v>
      </c>
      <c r="AB149">
        <v>124</v>
      </c>
      <c r="AC149">
        <v>81</v>
      </c>
      <c r="AD149" s="1">
        <v>70</v>
      </c>
      <c r="AE149" s="1">
        <v>91</v>
      </c>
      <c r="AF149">
        <v>4.8099999999999996</v>
      </c>
    </row>
    <row r="150" spans="1:32" x14ac:dyDescent="0.2">
      <c r="A150" s="52">
        <v>2004</v>
      </c>
      <c r="B150" t="s">
        <v>95</v>
      </c>
      <c r="C150" t="s">
        <v>163</v>
      </c>
      <c r="D150">
        <v>630</v>
      </c>
      <c r="E150">
        <v>162</v>
      </c>
      <c r="F150">
        <v>5</v>
      </c>
      <c r="G150">
        <v>9</v>
      </c>
      <c r="H150">
        <v>157</v>
      </c>
      <c r="I150">
        <v>52</v>
      </c>
      <c r="J150">
        <v>1439.2</v>
      </c>
      <c r="K150">
        <v>6345</v>
      </c>
      <c r="L150">
        <v>1536</v>
      </c>
      <c r="M150" s="1">
        <v>794</v>
      </c>
      <c r="N150">
        <f t="shared" si="4"/>
        <v>1040</v>
      </c>
      <c r="O150">
        <v>284</v>
      </c>
      <c r="P150">
        <v>30</v>
      </c>
      <c r="Q150">
        <v>182</v>
      </c>
      <c r="R150">
        <v>724</v>
      </c>
      <c r="S150">
        <v>547</v>
      </c>
      <c r="T150">
        <v>29</v>
      </c>
      <c r="U150">
        <f t="shared" si="5"/>
        <v>4181</v>
      </c>
      <c r="V150">
        <v>979</v>
      </c>
      <c r="W150">
        <v>51</v>
      </c>
      <c r="X150">
        <v>48</v>
      </c>
      <c r="Y150">
        <v>34</v>
      </c>
      <c r="Z150">
        <v>81</v>
      </c>
      <c r="AA150">
        <v>11</v>
      </c>
      <c r="AB150">
        <v>133</v>
      </c>
      <c r="AC150">
        <v>77</v>
      </c>
      <c r="AD150" s="1">
        <v>89</v>
      </c>
      <c r="AE150" s="1">
        <v>73</v>
      </c>
      <c r="AF150">
        <v>4.53</v>
      </c>
    </row>
    <row r="151" spans="1:32" x14ac:dyDescent="0.2">
      <c r="A151" s="52">
        <v>2004</v>
      </c>
      <c r="B151" t="s">
        <v>97</v>
      </c>
      <c r="C151" t="s">
        <v>163</v>
      </c>
      <c r="D151">
        <v>592</v>
      </c>
      <c r="E151">
        <v>161</v>
      </c>
      <c r="F151">
        <v>6</v>
      </c>
      <c r="G151">
        <v>11</v>
      </c>
      <c r="H151">
        <v>155</v>
      </c>
      <c r="I151">
        <v>37</v>
      </c>
      <c r="J151">
        <v>1421</v>
      </c>
      <c r="K151">
        <v>6281</v>
      </c>
      <c r="L151">
        <v>1505</v>
      </c>
      <c r="M151" s="1">
        <v>823</v>
      </c>
      <c r="N151">
        <f t="shared" si="4"/>
        <v>1003</v>
      </c>
      <c r="O151">
        <v>293</v>
      </c>
      <c r="P151">
        <v>28</v>
      </c>
      <c r="Q151">
        <v>181</v>
      </c>
      <c r="R151">
        <v>775</v>
      </c>
      <c r="S151">
        <v>608</v>
      </c>
      <c r="T151">
        <v>47</v>
      </c>
      <c r="U151">
        <f t="shared" si="5"/>
        <v>4110</v>
      </c>
      <c r="V151">
        <v>956</v>
      </c>
      <c r="W151">
        <v>42</v>
      </c>
      <c r="X151">
        <v>56</v>
      </c>
      <c r="Y151">
        <v>60</v>
      </c>
      <c r="Z151">
        <v>58</v>
      </c>
      <c r="AA151">
        <v>11</v>
      </c>
      <c r="AB151">
        <v>120</v>
      </c>
      <c r="AC151">
        <v>58</v>
      </c>
      <c r="AD151" s="1">
        <v>67</v>
      </c>
      <c r="AE151" s="1">
        <v>94</v>
      </c>
      <c r="AF151">
        <v>4.91</v>
      </c>
    </row>
    <row r="152" spans="1:32" x14ac:dyDescent="0.2">
      <c r="A152" s="52">
        <v>2005</v>
      </c>
      <c r="B152" t="s">
        <v>37</v>
      </c>
      <c r="C152" t="s">
        <v>163</v>
      </c>
      <c r="D152">
        <v>540</v>
      </c>
      <c r="E152">
        <v>162</v>
      </c>
      <c r="F152">
        <v>7</v>
      </c>
      <c r="G152">
        <v>11</v>
      </c>
      <c r="H152">
        <v>155</v>
      </c>
      <c r="I152">
        <v>54</v>
      </c>
      <c r="J152">
        <v>1464.1</v>
      </c>
      <c r="K152">
        <v>6158</v>
      </c>
      <c r="L152">
        <v>1419</v>
      </c>
      <c r="M152" s="1">
        <v>643</v>
      </c>
      <c r="N152">
        <f t="shared" si="4"/>
        <v>945</v>
      </c>
      <c r="O152">
        <v>285</v>
      </c>
      <c r="P152">
        <v>31</v>
      </c>
      <c r="Q152">
        <v>158</v>
      </c>
      <c r="R152">
        <v>598</v>
      </c>
      <c r="S152">
        <v>443</v>
      </c>
      <c r="T152">
        <v>24</v>
      </c>
      <c r="U152">
        <f t="shared" si="5"/>
        <v>4248</v>
      </c>
      <c r="V152">
        <v>1126</v>
      </c>
      <c r="W152">
        <v>39</v>
      </c>
      <c r="X152">
        <v>35</v>
      </c>
      <c r="Y152">
        <v>70</v>
      </c>
      <c r="Z152">
        <v>48</v>
      </c>
      <c r="AA152">
        <v>1</v>
      </c>
      <c r="AB152">
        <v>114</v>
      </c>
      <c r="AC152">
        <v>56</v>
      </c>
      <c r="AD152" s="1">
        <v>95</v>
      </c>
      <c r="AE152" s="1">
        <v>67</v>
      </c>
      <c r="AF152">
        <v>3.68</v>
      </c>
    </row>
    <row r="153" spans="1:32" x14ac:dyDescent="0.2">
      <c r="A153" s="52">
        <v>2005</v>
      </c>
      <c r="B153" t="s">
        <v>40</v>
      </c>
      <c r="C153" t="s">
        <v>38</v>
      </c>
      <c r="D153">
        <v>620</v>
      </c>
      <c r="E153">
        <v>162</v>
      </c>
      <c r="F153">
        <v>6</v>
      </c>
      <c r="G153">
        <v>10</v>
      </c>
      <c r="H153">
        <v>156</v>
      </c>
      <c r="I153">
        <v>45</v>
      </c>
      <c r="J153">
        <v>1456.1</v>
      </c>
      <c r="K153">
        <v>6402</v>
      </c>
      <c r="L153">
        <v>1580</v>
      </c>
      <c r="M153" s="1">
        <v>856</v>
      </c>
      <c r="N153">
        <f t="shared" si="4"/>
        <v>1005</v>
      </c>
      <c r="O153">
        <v>341</v>
      </c>
      <c r="P153">
        <v>41</v>
      </c>
      <c r="Q153">
        <v>193</v>
      </c>
      <c r="R153">
        <v>783</v>
      </c>
      <c r="S153">
        <v>537</v>
      </c>
      <c r="T153">
        <v>43</v>
      </c>
      <c r="U153">
        <f t="shared" si="5"/>
        <v>4223</v>
      </c>
      <c r="V153">
        <v>1038</v>
      </c>
      <c r="W153">
        <v>78</v>
      </c>
      <c r="X153">
        <v>45</v>
      </c>
      <c r="Y153">
        <v>58</v>
      </c>
      <c r="Z153">
        <v>62</v>
      </c>
      <c r="AA153">
        <v>5</v>
      </c>
      <c r="AB153">
        <v>141</v>
      </c>
      <c r="AC153">
        <v>68</v>
      </c>
      <c r="AD153" s="1">
        <v>77</v>
      </c>
      <c r="AE153" s="1">
        <v>85</v>
      </c>
      <c r="AF153">
        <v>4.84</v>
      </c>
    </row>
    <row r="154" spans="1:32" x14ac:dyDescent="0.2">
      <c r="A154" s="52">
        <v>2005</v>
      </c>
      <c r="B154" t="s">
        <v>42</v>
      </c>
      <c r="C154" t="s">
        <v>38</v>
      </c>
      <c r="D154">
        <v>646</v>
      </c>
      <c r="E154">
        <v>162</v>
      </c>
      <c r="F154">
        <v>8</v>
      </c>
      <c r="G154">
        <v>12</v>
      </c>
      <c r="H154">
        <v>154</v>
      </c>
      <c r="I154">
        <v>38</v>
      </c>
      <c r="J154">
        <v>1443.2</v>
      </c>
      <c r="K154">
        <v>6186</v>
      </c>
      <c r="L154">
        <v>1487</v>
      </c>
      <c r="M154" s="1">
        <v>674</v>
      </c>
      <c r="N154">
        <f t="shared" si="4"/>
        <v>1035</v>
      </c>
      <c r="O154">
        <v>285</v>
      </c>
      <c r="P154">
        <v>22</v>
      </c>
      <c r="Q154">
        <v>145</v>
      </c>
      <c r="R154">
        <v>639</v>
      </c>
      <c r="S154">
        <v>520</v>
      </c>
      <c r="T154">
        <v>52</v>
      </c>
      <c r="U154">
        <f t="shared" si="5"/>
        <v>4147</v>
      </c>
      <c r="V154">
        <v>929</v>
      </c>
      <c r="W154">
        <v>61</v>
      </c>
      <c r="X154">
        <v>28</v>
      </c>
      <c r="Y154">
        <v>42</v>
      </c>
      <c r="Z154">
        <v>32</v>
      </c>
      <c r="AA154">
        <v>5</v>
      </c>
      <c r="AB154">
        <v>143</v>
      </c>
      <c r="AC154">
        <v>57</v>
      </c>
      <c r="AD154" s="1">
        <v>90</v>
      </c>
      <c r="AE154" s="1">
        <v>72</v>
      </c>
      <c r="AF154">
        <v>3.98</v>
      </c>
    </row>
    <row r="155" spans="1:32" x14ac:dyDescent="0.2">
      <c r="A155" s="52">
        <v>2005</v>
      </c>
      <c r="B155" t="s">
        <v>45</v>
      </c>
      <c r="C155" t="s">
        <v>163</v>
      </c>
      <c r="D155">
        <v>636</v>
      </c>
      <c r="E155">
        <v>162</v>
      </c>
      <c r="F155">
        <v>2</v>
      </c>
      <c r="G155">
        <v>9</v>
      </c>
      <c r="H155">
        <v>160</v>
      </c>
      <c r="I155">
        <v>38</v>
      </c>
      <c r="J155">
        <v>1427.2</v>
      </c>
      <c r="K155">
        <v>6242</v>
      </c>
      <c r="L155">
        <v>1458</v>
      </c>
      <c r="M155" s="1">
        <v>800</v>
      </c>
      <c r="N155">
        <f t="shared" si="4"/>
        <v>996</v>
      </c>
      <c r="O155">
        <v>260</v>
      </c>
      <c r="P155">
        <v>22</v>
      </c>
      <c r="Q155">
        <v>180</v>
      </c>
      <c r="R155">
        <v>724</v>
      </c>
      <c r="S155">
        <v>580</v>
      </c>
      <c r="T155">
        <v>32</v>
      </c>
      <c r="U155">
        <f t="shared" si="5"/>
        <v>4152</v>
      </c>
      <c r="V155">
        <v>1052</v>
      </c>
      <c r="W155">
        <v>25</v>
      </c>
      <c r="X155">
        <v>46</v>
      </c>
      <c r="Y155">
        <v>70</v>
      </c>
      <c r="Z155">
        <v>52</v>
      </c>
      <c r="AA155">
        <v>11</v>
      </c>
      <c r="AB155">
        <v>126</v>
      </c>
      <c r="AC155">
        <v>73</v>
      </c>
      <c r="AD155" s="1">
        <v>74</v>
      </c>
      <c r="AE155" s="1">
        <v>88</v>
      </c>
      <c r="AF155">
        <v>4.5599999999999996</v>
      </c>
    </row>
    <row r="156" spans="1:32" x14ac:dyDescent="0.2">
      <c r="A156" s="52">
        <v>2005</v>
      </c>
      <c r="B156" t="s">
        <v>47</v>
      </c>
      <c r="C156" t="s">
        <v>163</v>
      </c>
      <c r="D156">
        <v>604</v>
      </c>
      <c r="E156">
        <v>162</v>
      </c>
      <c r="F156">
        <v>6</v>
      </c>
      <c r="G156">
        <v>8</v>
      </c>
      <c r="H156">
        <v>156</v>
      </c>
      <c r="I156">
        <v>38</v>
      </c>
      <c r="J156">
        <v>1429</v>
      </c>
      <c r="K156">
        <v>6227</v>
      </c>
      <c r="L156">
        <v>1550</v>
      </c>
      <c r="M156" s="1">
        <v>805</v>
      </c>
      <c r="N156">
        <f t="shared" si="4"/>
        <v>991</v>
      </c>
      <c r="O156">
        <v>354</v>
      </c>
      <c r="P156">
        <v>41</v>
      </c>
      <c r="Q156">
        <v>164</v>
      </c>
      <c r="R156">
        <v>752</v>
      </c>
      <c r="S156">
        <v>440</v>
      </c>
      <c r="T156">
        <v>28</v>
      </c>
      <c r="U156">
        <f t="shared" si="5"/>
        <v>4148</v>
      </c>
      <c r="V156">
        <v>959</v>
      </c>
      <c r="W156">
        <v>27</v>
      </c>
      <c r="X156">
        <v>50</v>
      </c>
      <c r="Y156">
        <v>56</v>
      </c>
      <c r="Z156">
        <v>89</v>
      </c>
      <c r="AA156">
        <v>4</v>
      </c>
      <c r="AB156">
        <v>122</v>
      </c>
      <c r="AC156">
        <v>67</v>
      </c>
      <c r="AD156" s="1">
        <v>95</v>
      </c>
      <c r="AE156" s="1">
        <v>67</v>
      </c>
      <c r="AF156">
        <v>4.74</v>
      </c>
    </row>
    <row r="157" spans="1:32" x14ac:dyDescent="0.2">
      <c r="A157" s="52">
        <v>2005</v>
      </c>
      <c r="B157" t="s">
        <v>157</v>
      </c>
      <c r="C157" t="s">
        <v>38</v>
      </c>
      <c r="D157">
        <v>619</v>
      </c>
      <c r="E157">
        <v>162</v>
      </c>
      <c r="F157">
        <v>8</v>
      </c>
      <c r="G157">
        <v>10</v>
      </c>
      <c r="H157">
        <v>154</v>
      </c>
      <c r="I157">
        <v>39</v>
      </c>
      <c r="J157">
        <v>1440</v>
      </c>
      <c r="K157">
        <v>6185</v>
      </c>
      <c r="L157">
        <v>1357</v>
      </c>
      <c r="M157" s="1">
        <v>714</v>
      </c>
      <c r="N157">
        <f t="shared" si="4"/>
        <v>894</v>
      </c>
      <c r="O157">
        <v>258</v>
      </c>
      <c r="P157">
        <v>19</v>
      </c>
      <c r="Q157">
        <v>186</v>
      </c>
      <c r="R157">
        <v>671</v>
      </c>
      <c r="S157">
        <v>576</v>
      </c>
      <c r="T157">
        <v>48</v>
      </c>
      <c r="U157">
        <f t="shared" si="5"/>
        <v>4202</v>
      </c>
      <c r="V157">
        <v>1256</v>
      </c>
      <c r="W157">
        <v>84</v>
      </c>
      <c r="X157">
        <v>40</v>
      </c>
      <c r="Y157">
        <v>57</v>
      </c>
      <c r="Z157">
        <v>50</v>
      </c>
      <c r="AA157">
        <v>7</v>
      </c>
      <c r="AB157">
        <v>118</v>
      </c>
      <c r="AC157">
        <v>79</v>
      </c>
      <c r="AD157" s="1">
        <v>79</v>
      </c>
      <c r="AE157" s="1">
        <v>83</v>
      </c>
      <c r="AF157">
        <v>4.1900000000000004</v>
      </c>
    </row>
    <row r="158" spans="1:32" x14ac:dyDescent="0.2">
      <c r="A158" s="52">
        <v>2005</v>
      </c>
      <c r="B158" t="s">
        <v>157</v>
      </c>
      <c r="C158" t="s">
        <v>163</v>
      </c>
      <c r="D158">
        <v>574</v>
      </c>
      <c r="E158">
        <v>162</v>
      </c>
      <c r="F158">
        <v>9</v>
      </c>
      <c r="G158">
        <v>10</v>
      </c>
      <c r="H158">
        <v>153</v>
      </c>
      <c r="I158">
        <v>54</v>
      </c>
      <c r="J158">
        <v>1475.2</v>
      </c>
      <c r="K158">
        <v>6176</v>
      </c>
      <c r="L158">
        <v>1392</v>
      </c>
      <c r="M158" s="1">
        <v>645</v>
      </c>
      <c r="N158">
        <f t="shared" si="4"/>
        <v>924</v>
      </c>
      <c r="O158">
        <v>278</v>
      </c>
      <c r="P158">
        <v>23</v>
      </c>
      <c r="Q158">
        <v>167</v>
      </c>
      <c r="R158">
        <v>592</v>
      </c>
      <c r="S158">
        <v>459</v>
      </c>
      <c r="T158">
        <v>42</v>
      </c>
      <c r="U158">
        <f t="shared" si="5"/>
        <v>4273</v>
      </c>
      <c r="V158">
        <v>1040</v>
      </c>
      <c r="W158">
        <v>45</v>
      </c>
      <c r="X158">
        <v>35</v>
      </c>
      <c r="Y158">
        <v>65</v>
      </c>
      <c r="Z158">
        <v>52</v>
      </c>
      <c r="AA158">
        <v>9</v>
      </c>
      <c r="AB158">
        <v>143</v>
      </c>
      <c r="AC158">
        <v>62</v>
      </c>
      <c r="AD158" s="1">
        <v>99</v>
      </c>
      <c r="AE158" s="1">
        <v>63</v>
      </c>
      <c r="AF158">
        <v>3.61</v>
      </c>
    </row>
    <row r="159" spans="1:32" x14ac:dyDescent="0.2">
      <c r="A159" s="52">
        <v>2005</v>
      </c>
      <c r="B159" t="s">
        <v>53</v>
      </c>
      <c r="C159" t="s">
        <v>38</v>
      </c>
      <c r="D159">
        <v>654</v>
      </c>
      <c r="E159">
        <v>163</v>
      </c>
      <c r="F159">
        <v>2</v>
      </c>
      <c r="G159">
        <v>1</v>
      </c>
      <c r="H159">
        <v>161</v>
      </c>
      <c r="I159">
        <v>31</v>
      </c>
      <c r="J159">
        <v>1433</v>
      </c>
      <c r="K159">
        <v>6397</v>
      </c>
      <c r="L159">
        <v>1657</v>
      </c>
      <c r="M159" s="1">
        <v>889</v>
      </c>
      <c r="N159">
        <f t="shared" si="4"/>
        <v>1033</v>
      </c>
      <c r="O159">
        <v>366</v>
      </c>
      <c r="P159">
        <v>39</v>
      </c>
      <c r="Q159">
        <v>219</v>
      </c>
      <c r="R159">
        <v>820</v>
      </c>
      <c r="S159">
        <v>492</v>
      </c>
      <c r="T159">
        <v>47</v>
      </c>
      <c r="U159">
        <f t="shared" si="5"/>
        <v>4168</v>
      </c>
      <c r="V159">
        <v>955</v>
      </c>
      <c r="W159">
        <v>63</v>
      </c>
      <c r="X159">
        <v>50</v>
      </c>
      <c r="Y159">
        <v>53</v>
      </c>
      <c r="Z159">
        <v>80</v>
      </c>
      <c r="AA159">
        <v>3</v>
      </c>
      <c r="AB159">
        <v>121</v>
      </c>
      <c r="AC159">
        <v>66</v>
      </c>
      <c r="AD159" s="1">
        <v>73</v>
      </c>
      <c r="AE159" s="1">
        <v>89</v>
      </c>
      <c r="AF159">
        <v>5.15</v>
      </c>
    </row>
    <row r="160" spans="1:32" x14ac:dyDescent="0.2">
      <c r="A160" s="52">
        <v>2005</v>
      </c>
      <c r="B160" t="s">
        <v>55</v>
      </c>
      <c r="C160" t="s">
        <v>163</v>
      </c>
      <c r="D160">
        <v>571</v>
      </c>
      <c r="E160">
        <v>162</v>
      </c>
      <c r="F160">
        <v>6</v>
      </c>
      <c r="G160">
        <v>10</v>
      </c>
      <c r="H160">
        <v>156</v>
      </c>
      <c r="I160">
        <v>51</v>
      </c>
      <c r="J160">
        <v>1452.2</v>
      </c>
      <c r="K160">
        <v>6048</v>
      </c>
      <c r="L160">
        <v>1363</v>
      </c>
      <c r="M160" s="1">
        <v>642</v>
      </c>
      <c r="N160">
        <f t="shared" si="4"/>
        <v>922</v>
      </c>
      <c r="O160">
        <v>269</v>
      </c>
      <c r="P160">
        <v>15</v>
      </c>
      <c r="Q160">
        <v>157</v>
      </c>
      <c r="R160">
        <v>582</v>
      </c>
      <c r="S160">
        <v>413</v>
      </c>
      <c r="T160">
        <v>20</v>
      </c>
      <c r="U160">
        <f t="shared" si="5"/>
        <v>4231</v>
      </c>
      <c r="V160">
        <v>1050</v>
      </c>
      <c r="W160">
        <v>36</v>
      </c>
      <c r="X160">
        <v>41</v>
      </c>
      <c r="Y160">
        <v>26</v>
      </c>
      <c r="Z160">
        <v>41</v>
      </c>
      <c r="AA160">
        <v>4</v>
      </c>
      <c r="AB160">
        <v>136</v>
      </c>
      <c r="AC160">
        <v>73</v>
      </c>
      <c r="AD160" s="1">
        <v>93</v>
      </c>
      <c r="AE160" s="1">
        <v>69</v>
      </c>
      <c r="AF160">
        <v>3.61</v>
      </c>
    </row>
    <row r="161" spans="1:32" x14ac:dyDescent="0.2">
      <c r="A161" s="52">
        <v>2005</v>
      </c>
      <c r="B161" t="s">
        <v>57</v>
      </c>
      <c r="C161" t="s">
        <v>38</v>
      </c>
      <c r="D161">
        <v>621</v>
      </c>
      <c r="E161">
        <v>162</v>
      </c>
      <c r="F161">
        <v>4</v>
      </c>
      <c r="G161">
        <v>4</v>
      </c>
      <c r="H161">
        <v>158</v>
      </c>
      <c r="I161">
        <v>37</v>
      </c>
      <c r="J161">
        <v>1418.2</v>
      </c>
      <c r="K161">
        <v>6385</v>
      </c>
      <c r="L161">
        <v>1600</v>
      </c>
      <c r="M161" s="1">
        <v>862</v>
      </c>
      <c r="N161">
        <f t="shared" si="4"/>
        <v>1036</v>
      </c>
      <c r="O161">
        <v>357</v>
      </c>
      <c r="P161">
        <v>32</v>
      </c>
      <c r="Q161">
        <v>175</v>
      </c>
      <c r="R161">
        <v>808</v>
      </c>
      <c r="S161">
        <v>604</v>
      </c>
      <c r="T161">
        <v>54</v>
      </c>
      <c r="U161">
        <f t="shared" si="5"/>
        <v>4097</v>
      </c>
      <c r="V161">
        <v>981</v>
      </c>
      <c r="W161">
        <v>66</v>
      </c>
      <c r="X161">
        <v>55</v>
      </c>
      <c r="Y161">
        <v>65</v>
      </c>
      <c r="Z161">
        <v>84</v>
      </c>
      <c r="AA161">
        <v>6</v>
      </c>
      <c r="AB161">
        <v>131</v>
      </c>
      <c r="AC161">
        <v>73</v>
      </c>
      <c r="AD161" s="1">
        <v>67</v>
      </c>
      <c r="AE161" s="1">
        <v>95</v>
      </c>
      <c r="AF161">
        <v>5.13</v>
      </c>
    </row>
    <row r="162" spans="1:32" x14ac:dyDescent="0.2">
      <c r="A162" s="52">
        <v>2005</v>
      </c>
      <c r="B162" t="s">
        <v>59</v>
      </c>
      <c r="C162" t="s">
        <v>163</v>
      </c>
      <c r="D162">
        <v>587</v>
      </c>
      <c r="E162">
        <v>162</v>
      </c>
      <c r="F162">
        <v>7</v>
      </c>
      <c r="G162">
        <v>2</v>
      </c>
      <c r="H162">
        <v>155</v>
      </c>
      <c r="I162">
        <v>37</v>
      </c>
      <c r="J162">
        <v>1435.2</v>
      </c>
      <c r="K162">
        <v>6139</v>
      </c>
      <c r="L162">
        <v>1504</v>
      </c>
      <c r="M162" s="1">
        <v>787</v>
      </c>
      <c r="N162">
        <f t="shared" si="4"/>
        <v>1018</v>
      </c>
      <c r="O162">
        <v>258</v>
      </c>
      <c r="P162">
        <v>35</v>
      </c>
      <c r="Q162">
        <v>193</v>
      </c>
      <c r="R162">
        <v>719</v>
      </c>
      <c r="S162">
        <v>461</v>
      </c>
      <c r="T162">
        <v>33</v>
      </c>
      <c r="U162">
        <f t="shared" si="5"/>
        <v>4123</v>
      </c>
      <c r="V162">
        <v>907</v>
      </c>
      <c r="W162">
        <v>39</v>
      </c>
      <c r="X162">
        <v>60</v>
      </c>
      <c r="Y162">
        <v>53</v>
      </c>
      <c r="Z162">
        <v>51</v>
      </c>
      <c r="AA162">
        <v>5</v>
      </c>
      <c r="AB162">
        <v>148</v>
      </c>
      <c r="AC162">
        <v>67</v>
      </c>
      <c r="AD162" s="1">
        <v>71</v>
      </c>
      <c r="AE162" s="1">
        <v>91</v>
      </c>
      <c r="AF162">
        <v>4.51</v>
      </c>
    </row>
    <row r="163" spans="1:32" x14ac:dyDescent="0.2">
      <c r="A163" s="52">
        <v>2005</v>
      </c>
      <c r="B163" t="s">
        <v>160</v>
      </c>
      <c r="C163" t="s">
        <v>38</v>
      </c>
      <c r="D163">
        <v>611</v>
      </c>
      <c r="E163">
        <v>162</v>
      </c>
      <c r="F163">
        <v>14</v>
      </c>
      <c r="G163">
        <v>15</v>
      </c>
      <c r="H163">
        <v>148</v>
      </c>
      <c r="I163">
        <v>42</v>
      </c>
      <c r="J163">
        <v>1442.1</v>
      </c>
      <c r="K163">
        <v>6236</v>
      </c>
      <c r="L163">
        <v>1459</v>
      </c>
      <c r="M163" s="1">
        <v>732</v>
      </c>
      <c r="N163">
        <f t="shared" si="4"/>
        <v>991</v>
      </c>
      <c r="O163">
        <v>306</v>
      </c>
      <c r="P163">
        <v>46</v>
      </c>
      <c r="Q163">
        <v>116</v>
      </c>
      <c r="R163">
        <v>666</v>
      </c>
      <c r="S163">
        <v>563</v>
      </c>
      <c r="T163">
        <v>57</v>
      </c>
      <c r="U163">
        <f t="shared" si="5"/>
        <v>4149</v>
      </c>
      <c r="V163">
        <v>1125</v>
      </c>
      <c r="W163">
        <v>80</v>
      </c>
      <c r="X163">
        <v>42</v>
      </c>
      <c r="Y163">
        <v>45</v>
      </c>
      <c r="Z163">
        <v>65</v>
      </c>
      <c r="AA163">
        <v>3</v>
      </c>
      <c r="AB163">
        <v>153</v>
      </c>
      <c r="AC163">
        <v>58</v>
      </c>
      <c r="AD163" s="1">
        <v>83</v>
      </c>
      <c r="AE163" s="1">
        <v>79</v>
      </c>
      <c r="AF163">
        <v>4.16</v>
      </c>
    </row>
    <row r="164" spans="1:32" x14ac:dyDescent="0.2">
      <c r="A164" s="52">
        <v>2005</v>
      </c>
      <c r="B164" t="s">
        <v>63</v>
      </c>
      <c r="C164" t="s">
        <v>38</v>
      </c>
      <c r="D164">
        <v>597</v>
      </c>
      <c r="E164">
        <v>163</v>
      </c>
      <c r="F164">
        <v>6</v>
      </c>
      <c r="G164">
        <v>11</v>
      </c>
      <c r="H164">
        <v>157</v>
      </c>
      <c r="I164">
        <v>45</v>
      </c>
      <c r="J164">
        <v>1443</v>
      </c>
      <c r="K164">
        <v>6023</v>
      </c>
      <c r="L164">
        <v>1336</v>
      </c>
      <c r="M164" s="1">
        <v>609</v>
      </c>
      <c r="N164">
        <f t="shared" si="4"/>
        <v>895</v>
      </c>
      <c r="O164">
        <v>259</v>
      </c>
      <c r="P164">
        <v>27</v>
      </c>
      <c r="Q164">
        <v>155</v>
      </c>
      <c r="R164">
        <v>563</v>
      </c>
      <c r="S164">
        <v>440</v>
      </c>
      <c r="T164">
        <v>29</v>
      </c>
      <c r="U164">
        <f t="shared" si="5"/>
        <v>4188</v>
      </c>
      <c r="V164">
        <v>1164</v>
      </c>
      <c r="W164">
        <v>61</v>
      </c>
      <c r="X164">
        <v>33</v>
      </c>
      <c r="Y164">
        <v>38</v>
      </c>
      <c r="Z164">
        <v>59</v>
      </c>
      <c r="AA164">
        <v>8</v>
      </c>
      <c r="AB164">
        <v>122</v>
      </c>
      <c r="AC164">
        <v>60</v>
      </c>
      <c r="AD164" s="1">
        <v>89</v>
      </c>
      <c r="AE164" s="1">
        <v>73</v>
      </c>
      <c r="AF164">
        <v>3.51</v>
      </c>
    </row>
    <row r="165" spans="1:32" x14ac:dyDescent="0.2">
      <c r="A165" s="52">
        <v>2005</v>
      </c>
      <c r="B165" t="s">
        <v>164</v>
      </c>
      <c r="C165" t="s">
        <v>163</v>
      </c>
      <c r="D165">
        <v>605</v>
      </c>
      <c r="E165">
        <v>162</v>
      </c>
      <c r="F165">
        <v>4</v>
      </c>
      <c r="G165">
        <v>4</v>
      </c>
      <c r="H165">
        <v>158</v>
      </c>
      <c r="I165">
        <v>25</v>
      </c>
      <c r="J165">
        <v>1413.1</v>
      </c>
      <c r="K165">
        <v>6370</v>
      </c>
      <c r="L165">
        <v>1640</v>
      </c>
      <c r="M165" s="1">
        <v>935</v>
      </c>
      <c r="N165">
        <f t="shared" si="4"/>
        <v>1073</v>
      </c>
      <c r="O165">
        <v>347</v>
      </c>
      <c r="P165">
        <v>42</v>
      </c>
      <c r="Q165">
        <v>178</v>
      </c>
      <c r="R165">
        <v>862</v>
      </c>
      <c r="S165">
        <v>580</v>
      </c>
      <c r="T165">
        <v>33</v>
      </c>
      <c r="U165">
        <f t="shared" si="5"/>
        <v>4076</v>
      </c>
      <c r="V165">
        <v>924</v>
      </c>
      <c r="W165">
        <v>34</v>
      </c>
      <c r="X165">
        <v>49</v>
      </c>
      <c r="Y165">
        <v>69</v>
      </c>
      <c r="Z165">
        <v>74</v>
      </c>
      <c r="AA165">
        <v>9</v>
      </c>
      <c r="AB165">
        <v>139</v>
      </c>
      <c r="AC165">
        <v>85</v>
      </c>
      <c r="AD165" s="1">
        <v>56</v>
      </c>
      <c r="AE165" s="1">
        <v>106</v>
      </c>
      <c r="AF165">
        <v>5.49</v>
      </c>
    </row>
    <row r="166" spans="1:32" x14ac:dyDescent="0.2">
      <c r="A166" s="52">
        <v>2005</v>
      </c>
      <c r="B166" t="s">
        <v>159</v>
      </c>
      <c r="C166" t="s">
        <v>38</v>
      </c>
      <c r="D166">
        <v>620</v>
      </c>
      <c r="E166">
        <v>162</v>
      </c>
      <c r="F166">
        <v>6</v>
      </c>
      <c r="G166">
        <v>9</v>
      </c>
      <c r="H166">
        <v>156</v>
      </c>
      <c r="I166">
        <v>40</v>
      </c>
      <c r="J166">
        <v>1427.1</v>
      </c>
      <c r="K166">
        <v>6113</v>
      </c>
      <c r="L166">
        <v>1434</v>
      </c>
      <c r="M166" s="1">
        <v>755</v>
      </c>
      <c r="N166">
        <f t="shared" si="4"/>
        <v>928</v>
      </c>
      <c r="O166">
        <v>291</v>
      </c>
      <c r="P166">
        <v>33</v>
      </c>
      <c r="Q166">
        <v>182</v>
      </c>
      <c r="R166">
        <v>695</v>
      </c>
      <c r="S166">
        <v>471</v>
      </c>
      <c r="T166">
        <v>34</v>
      </c>
      <c r="U166">
        <f t="shared" si="5"/>
        <v>4144</v>
      </c>
      <c r="V166">
        <v>1004</v>
      </c>
      <c r="W166">
        <v>90</v>
      </c>
      <c r="X166">
        <v>39</v>
      </c>
      <c r="Y166">
        <v>36</v>
      </c>
      <c r="Z166">
        <v>64</v>
      </c>
      <c r="AA166">
        <v>6</v>
      </c>
      <c r="AB166">
        <v>119</v>
      </c>
      <c r="AC166">
        <v>72</v>
      </c>
      <c r="AD166" s="1">
        <v>71</v>
      </c>
      <c r="AE166" s="1">
        <v>91</v>
      </c>
      <c r="AF166">
        <v>4.38</v>
      </c>
    </row>
    <row r="167" spans="1:32" x14ac:dyDescent="0.2">
      <c r="A167" s="52">
        <v>2005</v>
      </c>
      <c r="B167" t="s">
        <v>69</v>
      </c>
      <c r="C167" t="s">
        <v>38</v>
      </c>
      <c r="D167">
        <v>557</v>
      </c>
      <c r="E167">
        <v>162</v>
      </c>
      <c r="F167">
        <v>7</v>
      </c>
      <c r="G167">
        <v>6</v>
      </c>
      <c r="H167">
        <v>155</v>
      </c>
      <c r="I167">
        <v>46</v>
      </c>
      <c r="J167">
        <v>1438</v>
      </c>
      <c r="K167">
        <v>6208</v>
      </c>
      <c r="L167">
        <v>1382</v>
      </c>
      <c r="M167" s="1">
        <v>697</v>
      </c>
      <c r="N167">
        <f t="shared" si="4"/>
        <v>883</v>
      </c>
      <c r="O167">
        <v>300</v>
      </c>
      <c r="P167">
        <v>30</v>
      </c>
      <c r="Q167">
        <v>169</v>
      </c>
      <c r="R167">
        <v>635</v>
      </c>
      <c r="S167">
        <v>569</v>
      </c>
      <c r="T167">
        <v>52</v>
      </c>
      <c r="U167">
        <f t="shared" si="5"/>
        <v>4212</v>
      </c>
      <c r="V167">
        <v>1173</v>
      </c>
      <c r="W167">
        <v>54</v>
      </c>
      <c r="X167">
        <v>33</v>
      </c>
      <c r="Y167">
        <v>66</v>
      </c>
      <c r="Z167">
        <v>45</v>
      </c>
      <c r="AA167">
        <v>8</v>
      </c>
      <c r="AB167">
        <v>108</v>
      </c>
      <c r="AC167">
        <v>89</v>
      </c>
      <c r="AD167" s="1">
        <v>81</v>
      </c>
      <c r="AE167" s="1">
        <v>81</v>
      </c>
      <c r="AF167">
        <v>3.97</v>
      </c>
    </row>
    <row r="168" spans="1:32" x14ac:dyDescent="0.2">
      <c r="A168" s="52">
        <v>2005</v>
      </c>
      <c r="B168" t="s">
        <v>71</v>
      </c>
      <c r="C168" t="s">
        <v>163</v>
      </c>
      <c r="D168">
        <v>558</v>
      </c>
      <c r="E168">
        <v>162</v>
      </c>
      <c r="F168">
        <v>9</v>
      </c>
      <c r="G168">
        <v>8</v>
      </c>
      <c r="H168">
        <v>153</v>
      </c>
      <c r="I168">
        <v>44</v>
      </c>
      <c r="J168">
        <v>1464.1</v>
      </c>
      <c r="K168">
        <v>6072</v>
      </c>
      <c r="L168">
        <v>1458</v>
      </c>
      <c r="M168" s="1">
        <v>662</v>
      </c>
      <c r="N168">
        <f t="shared" si="4"/>
        <v>1004</v>
      </c>
      <c r="O168">
        <v>257</v>
      </c>
      <c r="P168">
        <v>28</v>
      </c>
      <c r="Q168">
        <v>169</v>
      </c>
      <c r="R168">
        <v>604</v>
      </c>
      <c r="S168">
        <v>348</v>
      </c>
      <c r="T168">
        <v>38</v>
      </c>
      <c r="U168">
        <f t="shared" si="5"/>
        <v>4223</v>
      </c>
      <c r="V168">
        <v>965</v>
      </c>
      <c r="W168">
        <v>50</v>
      </c>
      <c r="X168">
        <v>40</v>
      </c>
      <c r="Y168">
        <v>35</v>
      </c>
      <c r="Z168">
        <v>43</v>
      </c>
      <c r="AA168">
        <v>4</v>
      </c>
      <c r="AB168">
        <v>140</v>
      </c>
      <c r="AC168">
        <v>64</v>
      </c>
      <c r="AD168" s="1">
        <v>83</v>
      </c>
      <c r="AE168" s="1">
        <v>79</v>
      </c>
      <c r="AF168">
        <v>3.71</v>
      </c>
    </row>
    <row r="169" spans="1:32" x14ac:dyDescent="0.2">
      <c r="A169" s="52">
        <v>2005</v>
      </c>
      <c r="B169" t="s">
        <v>158</v>
      </c>
      <c r="C169" t="s">
        <v>38</v>
      </c>
      <c r="D169">
        <v>554</v>
      </c>
      <c r="E169">
        <v>162</v>
      </c>
      <c r="F169">
        <v>8</v>
      </c>
      <c r="G169">
        <v>11</v>
      </c>
      <c r="H169">
        <v>154</v>
      </c>
      <c r="I169">
        <v>38</v>
      </c>
      <c r="J169">
        <v>1435.2</v>
      </c>
      <c r="K169">
        <v>6121</v>
      </c>
      <c r="L169">
        <v>1390</v>
      </c>
      <c r="M169" s="1">
        <v>648</v>
      </c>
      <c r="N169">
        <f t="shared" si="4"/>
        <v>957</v>
      </c>
      <c r="O169">
        <v>277</v>
      </c>
      <c r="P169">
        <v>21</v>
      </c>
      <c r="Q169">
        <v>135</v>
      </c>
      <c r="R169">
        <v>599</v>
      </c>
      <c r="S169">
        <v>491</v>
      </c>
      <c r="T169">
        <v>43</v>
      </c>
      <c r="U169">
        <f t="shared" si="5"/>
        <v>4184</v>
      </c>
      <c r="V169">
        <v>1012</v>
      </c>
      <c r="W169">
        <v>83</v>
      </c>
      <c r="X169">
        <v>34</v>
      </c>
      <c r="Y169">
        <v>32</v>
      </c>
      <c r="Z169">
        <v>56</v>
      </c>
      <c r="AA169">
        <v>4</v>
      </c>
      <c r="AB169">
        <v>127</v>
      </c>
      <c r="AC169">
        <v>77</v>
      </c>
      <c r="AD169" s="1">
        <v>83</v>
      </c>
      <c r="AE169" s="1">
        <v>79</v>
      </c>
      <c r="AF169">
        <v>3.76</v>
      </c>
    </row>
    <row r="170" spans="1:32" x14ac:dyDescent="0.2">
      <c r="A170" s="52">
        <v>2005</v>
      </c>
      <c r="B170" t="s">
        <v>158</v>
      </c>
      <c r="C170" t="s">
        <v>163</v>
      </c>
      <c r="D170">
        <v>580</v>
      </c>
      <c r="E170">
        <v>162</v>
      </c>
      <c r="F170">
        <v>8</v>
      </c>
      <c r="G170">
        <v>14</v>
      </c>
      <c r="H170">
        <v>154</v>
      </c>
      <c r="I170">
        <v>46</v>
      </c>
      <c r="J170">
        <v>1430.2</v>
      </c>
      <c r="K170">
        <v>6182</v>
      </c>
      <c r="L170">
        <v>1495</v>
      </c>
      <c r="M170" s="1">
        <v>789</v>
      </c>
      <c r="N170">
        <f t="shared" si="4"/>
        <v>1005</v>
      </c>
      <c r="O170">
        <v>295</v>
      </c>
      <c r="P170">
        <v>31</v>
      </c>
      <c r="Q170">
        <v>164</v>
      </c>
      <c r="R170">
        <v>718</v>
      </c>
      <c r="S170">
        <v>463</v>
      </c>
      <c r="T170">
        <v>25</v>
      </c>
      <c r="U170">
        <f t="shared" si="5"/>
        <v>4140</v>
      </c>
      <c r="V170">
        <v>985</v>
      </c>
      <c r="W170">
        <v>27</v>
      </c>
      <c r="X170">
        <v>49</v>
      </c>
      <c r="Y170">
        <v>37</v>
      </c>
      <c r="Z170">
        <v>84</v>
      </c>
      <c r="AA170">
        <v>6</v>
      </c>
      <c r="AB170">
        <v>127</v>
      </c>
      <c r="AC170">
        <v>67</v>
      </c>
      <c r="AD170" s="1">
        <v>95</v>
      </c>
      <c r="AE170" s="1">
        <v>67</v>
      </c>
      <c r="AF170">
        <v>4.5199999999999996</v>
      </c>
    </row>
    <row r="171" spans="1:32" x14ac:dyDescent="0.2">
      <c r="A171" s="52">
        <v>2005</v>
      </c>
      <c r="B171" t="s">
        <v>79</v>
      </c>
      <c r="C171" t="s">
        <v>163</v>
      </c>
      <c r="D171">
        <v>572</v>
      </c>
      <c r="E171">
        <v>162</v>
      </c>
      <c r="F171">
        <v>9</v>
      </c>
      <c r="G171">
        <v>12</v>
      </c>
      <c r="H171">
        <v>153</v>
      </c>
      <c r="I171">
        <v>38</v>
      </c>
      <c r="J171">
        <v>1450.1</v>
      </c>
      <c r="K171">
        <v>6080</v>
      </c>
      <c r="L171">
        <v>1315</v>
      </c>
      <c r="M171" s="1">
        <v>658</v>
      </c>
      <c r="N171">
        <f t="shared" si="4"/>
        <v>881</v>
      </c>
      <c r="O171">
        <v>257</v>
      </c>
      <c r="P171">
        <v>23</v>
      </c>
      <c r="Q171">
        <v>154</v>
      </c>
      <c r="R171">
        <v>594</v>
      </c>
      <c r="S171">
        <v>504</v>
      </c>
      <c r="T171">
        <v>42</v>
      </c>
      <c r="U171">
        <f t="shared" si="5"/>
        <v>4201</v>
      </c>
      <c r="V171">
        <v>1075</v>
      </c>
      <c r="W171">
        <v>32</v>
      </c>
      <c r="X171">
        <v>38</v>
      </c>
      <c r="Y171">
        <v>41</v>
      </c>
      <c r="Z171">
        <v>60</v>
      </c>
      <c r="AA171">
        <v>3</v>
      </c>
      <c r="AB171">
        <v>137</v>
      </c>
      <c r="AC171">
        <v>65</v>
      </c>
      <c r="AD171" s="1">
        <v>88</v>
      </c>
      <c r="AE171" s="1">
        <v>74</v>
      </c>
      <c r="AF171">
        <v>3.69</v>
      </c>
    </row>
    <row r="172" spans="1:32" x14ac:dyDescent="0.2">
      <c r="A172" s="52">
        <v>2005</v>
      </c>
      <c r="B172" t="s">
        <v>81</v>
      </c>
      <c r="C172" t="s">
        <v>38</v>
      </c>
      <c r="D172">
        <v>604</v>
      </c>
      <c r="E172">
        <v>162</v>
      </c>
      <c r="F172">
        <v>4</v>
      </c>
      <c r="G172">
        <v>6</v>
      </c>
      <c r="H172">
        <v>158</v>
      </c>
      <c r="I172">
        <v>40</v>
      </c>
      <c r="J172">
        <v>1435</v>
      </c>
      <c r="K172">
        <v>6119</v>
      </c>
      <c r="L172">
        <v>1379</v>
      </c>
      <c r="M172" s="1">
        <v>726</v>
      </c>
      <c r="N172">
        <f t="shared" si="4"/>
        <v>843</v>
      </c>
      <c r="O172">
        <v>319</v>
      </c>
      <c r="P172">
        <v>28</v>
      </c>
      <c r="Q172">
        <v>189</v>
      </c>
      <c r="R172">
        <v>672</v>
      </c>
      <c r="S172">
        <v>487</v>
      </c>
      <c r="T172">
        <v>51</v>
      </c>
      <c r="U172">
        <f t="shared" si="5"/>
        <v>4181</v>
      </c>
      <c r="V172">
        <v>1159</v>
      </c>
      <c r="W172">
        <v>65</v>
      </c>
      <c r="X172">
        <v>41</v>
      </c>
      <c r="Y172">
        <v>36</v>
      </c>
      <c r="Z172">
        <v>72</v>
      </c>
      <c r="AA172">
        <v>9</v>
      </c>
      <c r="AB172">
        <v>111</v>
      </c>
      <c r="AC172">
        <v>62</v>
      </c>
      <c r="AD172" s="1">
        <v>88</v>
      </c>
      <c r="AE172" s="1">
        <v>74</v>
      </c>
      <c r="AF172">
        <v>4.21</v>
      </c>
    </row>
    <row r="173" spans="1:32" x14ac:dyDescent="0.2">
      <c r="A173" s="52">
        <v>2005</v>
      </c>
      <c r="B173" t="s">
        <v>83</v>
      </c>
      <c r="C173" t="s">
        <v>38</v>
      </c>
      <c r="D173">
        <v>613</v>
      </c>
      <c r="E173">
        <v>162</v>
      </c>
      <c r="F173">
        <v>4</v>
      </c>
      <c r="G173">
        <v>14</v>
      </c>
      <c r="H173">
        <v>158</v>
      </c>
      <c r="I173">
        <v>35</v>
      </c>
      <c r="J173">
        <v>1436</v>
      </c>
      <c r="K173">
        <v>6264</v>
      </c>
      <c r="L173">
        <v>1456</v>
      </c>
      <c r="M173" s="1">
        <v>769</v>
      </c>
      <c r="N173">
        <f t="shared" si="4"/>
        <v>945</v>
      </c>
      <c r="O173">
        <v>322</v>
      </c>
      <c r="P173">
        <v>27</v>
      </c>
      <c r="Q173">
        <v>162</v>
      </c>
      <c r="R173">
        <v>706</v>
      </c>
      <c r="S173">
        <v>612</v>
      </c>
      <c r="T173">
        <v>65</v>
      </c>
      <c r="U173">
        <f t="shared" si="5"/>
        <v>4131</v>
      </c>
      <c r="V173">
        <v>958</v>
      </c>
      <c r="W173">
        <v>68</v>
      </c>
      <c r="X173">
        <v>57</v>
      </c>
      <c r="Y173">
        <v>53</v>
      </c>
      <c r="Z173">
        <v>65</v>
      </c>
      <c r="AA173">
        <v>4</v>
      </c>
      <c r="AB173">
        <v>164</v>
      </c>
      <c r="AC173">
        <v>79</v>
      </c>
      <c r="AD173" s="1">
        <v>67</v>
      </c>
      <c r="AE173" s="1">
        <v>95</v>
      </c>
      <c r="AF173">
        <v>4.42</v>
      </c>
    </row>
    <row r="174" spans="1:32" x14ac:dyDescent="0.2">
      <c r="A174" s="52">
        <v>2005</v>
      </c>
      <c r="B174" t="s">
        <v>161</v>
      </c>
      <c r="C174" t="s">
        <v>38</v>
      </c>
      <c r="D174">
        <v>618</v>
      </c>
      <c r="E174">
        <v>162</v>
      </c>
      <c r="F174">
        <v>4</v>
      </c>
      <c r="G174">
        <v>8</v>
      </c>
      <c r="H174">
        <v>158</v>
      </c>
      <c r="I174">
        <v>45</v>
      </c>
      <c r="J174">
        <v>1455.1</v>
      </c>
      <c r="K174">
        <v>6253</v>
      </c>
      <c r="L174">
        <v>1452</v>
      </c>
      <c r="M174" s="1">
        <v>726</v>
      </c>
      <c r="N174">
        <f t="shared" si="4"/>
        <v>946</v>
      </c>
      <c r="O174">
        <v>318</v>
      </c>
      <c r="P174">
        <v>42</v>
      </c>
      <c r="Q174">
        <v>146</v>
      </c>
      <c r="R174">
        <v>668</v>
      </c>
      <c r="S174">
        <v>503</v>
      </c>
      <c r="T174">
        <v>45</v>
      </c>
      <c r="U174">
        <f t="shared" si="5"/>
        <v>4252</v>
      </c>
      <c r="V174">
        <v>1133</v>
      </c>
      <c r="W174">
        <v>46</v>
      </c>
      <c r="X174">
        <v>45</v>
      </c>
      <c r="Y174">
        <v>36</v>
      </c>
      <c r="Z174">
        <v>46</v>
      </c>
      <c r="AA174">
        <v>3</v>
      </c>
      <c r="AB174">
        <v>116</v>
      </c>
      <c r="AC174">
        <v>69</v>
      </c>
      <c r="AD174" s="1">
        <v>82</v>
      </c>
      <c r="AE174" s="1">
        <v>80</v>
      </c>
      <c r="AF174">
        <v>4.13</v>
      </c>
    </row>
    <row r="175" spans="1:32" x14ac:dyDescent="0.2">
      <c r="A175" s="52">
        <v>2005</v>
      </c>
      <c r="B175" t="s">
        <v>87</v>
      </c>
      <c r="C175" t="s">
        <v>163</v>
      </c>
      <c r="D175">
        <v>595</v>
      </c>
      <c r="E175">
        <v>162</v>
      </c>
      <c r="F175">
        <v>6</v>
      </c>
      <c r="G175">
        <v>7</v>
      </c>
      <c r="H175">
        <v>156</v>
      </c>
      <c r="I175">
        <v>39</v>
      </c>
      <c r="J175">
        <v>1427.2</v>
      </c>
      <c r="K175">
        <v>6172</v>
      </c>
      <c r="L175">
        <v>1483</v>
      </c>
      <c r="M175" s="1">
        <v>751</v>
      </c>
      <c r="N175">
        <f t="shared" si="4"/>
        <v>1015</v>
      </c>
      <c r="O175">
        <v>267</v>
      </c>
      <c r="P175">
        <v>22</v>
      </c>
      <c r="Q175">
        <v>179</v>
      </c>
      <c r="R175">
        <v>712</v>
      </c>
      <c r="S175">
        <v>496</v>
      </c>
      <c r="T175">
        <v>32</v>
      </c>
      <c r="U175">
        <f t="shared" si="5"/>
        <v>4136</v>
      </c>
      <c r="V175">
        <v>892</v>
      </c>
      <c r="W175">
        <v>37</v>
      </c>
      <c r="X175">
        <v>51</v>
      </c>
      <c r="Y175">
        <v>36</v>
      </c>
      <c r="Z175">
        <v>57</v>
      </c>
      <c r="AA175">
        <v>4</v>
      </c>
      <c r="AB175">
        <v>119</v>
      </c>
      <c r="AC175">
        <v>64</v>
      </c>
      <c r="AD175" s="1">
        <v>69</v>
      </c>
      <c r="AE175" s="1">
        <v>93</v>
      </c>
      <c r="AF175">
        <v>4.49</v>
      </c>
    </row>
    <row r="176" spans="1:32" x14ac:dyDescent="0.2">
      <c r="A176" s="52">
        <v>2005</v>
      </c>
      <c r="B176" t="s">
        <v>21</v>
      </c>
      <c r="C176" t="s">
        <v>38</v>
      </c>
      <c r="D176">
        <v>673</v>
      </c>
      <c r="E176">
        <v>162</v>
      </c>
      <c r="F176">
        <v>4</v>
      </c>
      <c r="G176">
        <v>8</v>
      </c>
      <c r="H176">
        <v>158</v>
      </c>
      <c r="I176">
        <v>46</v>
      </c>
      <c r="J176">
        <v>1444.1</v>
      </c>
      <c r="K176">
        <v>6280</v>
      </c>
      <c r="L176">
        <v>1456</v>
      </c>
      <c r="M176" s="1">
        <v>745</v>
      </c>
      <c r="N176">
        <f t="shared" si="4"/>
        <v>977</v>
      </c>
      <c r="O176">
        <v>288</v>
      </c>
      <c r="P176">
        <v>40</v>
      </c>
      <c r="Q176">
        <v>151</v>
      </c>
      <c r="R176">
        <v>695</v>
      </c>
      <c r="S176">
        <v>592</v>
      </c>
      <c r="T176">
        <v>42</v>
      </c>
      <c r="U176">
        <f t="shared" si="5"/>
        <v>4190</v>
      </c>
      <c r="V176">
        <v>972</v>
      </c>
      <c r="W176">
        <v>67</v>
      </c>
      <c r="X176">
        <v>50</v>
      </c>
      <c r="Y176">
        <v>38</v>
      </c>
      <c r="Z176">
        <v>42</v>
      </c>
      <c r="AA176">
        <v>3</v>
      </c>
      <c r="AB176">
        <v>118</v>
      </c>
      <c r="AC176">
        <v>66</v>
      </c>
      <c r="AD176" s="1">
        <v>75</v>
      </c>
      <c r="AE176" s="1">
        <v>87</v>
      </c>
      <c r="AF176">
        <v>4.33</v>
      </c>
    </row>
    <row r="177" spans="1:32" x14ac:dyDescent="0.2">
      <c r="A177" s="52">
        <v>2005</v>
      </c>
      <c r="B177" t="s">
        <v>156</v>
      </c>
      <c r="C177" t="s">
        <v>38</v>
      </c>
      <c r="D177">
        <v>598</v>
      </c>
      <c r="E177">
        <v>162</v>
      </c>
      <c r="F177">
        <v>15</v>
      </c>
      <c r="G177">
        <v>14</v>
      </c>
      <c r="H177">
        <v>147</v>
      </c>
      <c r="I177">
        <v>48</v>
      </c>
      <c r="J177">
        <v>1445.2</v>
      </c>
      <c r="K177">
        <v>6047</v>
      </c>
      <c r="L177">
        <v>1399</v>
      </c>
      <c r="M177" s="1">
        <v>634</v>
      </c>
      <c r="N177">
        <f t="shared" si="4"/>
        <v>958</v>
      </c>
      <c r="O177">
        <v>267</v>
      </c>
      <c r="P177">
        <v>21</v>
      </c>
      <c r="Q177">
        <v>153</v>
      </c>
      <c r="R177">
        <v>560</v>
      </c>
      <c r="S177">
        <v>443</v>
      </c>
      <c r="T177">
        <v>27</v>
      </c>
      <c r="U177">
        <f t="shared" si="5"/>
        <v>4145</v>
      </c>
      <c r="V177">
        <v>974</v>
      </c>
      <c r="W177">
        <v>61</v>
      </c>
      <c r="X177">
        <v>37</v>
      </c>
      <c r="Y177">
        <v>41</v>
      </c>
      <c r="Z177">
        <v>60</v>
      </c>
      <c r="AA177">
        <v>5</v>
      </c>
      <c r="AB177">
        <v>181</v>
      </c>
      <c r="AC177">
        <v>72</v>
      </c>
      <c r="AD177" s="1">
        <v>100</v>
      </c>
      <c r="AE177" s="1">
        <v>62</v>
      </c>
      <c r="AF177">
        <v>3.49</v>
      </c>
    </row>
    <row r="178" spans="1:32" x14ac:dyDescent="0.2">
      <c r="A178" s="52">
        <v>2005</v>
      </c>
      <c r="B178" t="s">
        <v>165</v>
      </c>
      <c r="C178" t="s">
        <v>163</v>
      </c>
      <c r="D178">
        <v>563</v>
      </c>
      <c r="E178">
        <v>162</v>
      </c>
      <c r="F178">
        <v>1</v>
      </c>
      <c r="G178">
        <v>4</v>
      </c>
      <c r="H178">
        <v>161</v>
      </c>
      <c r="I178">
        <v>43</v>
      </c>
      <c r="J178">
        <v>1421.2</v>
      </c>
      <c r="K178">
        <v>6384</v>
      </c>
      <c r="L178">
        <v>1570</v>
      </c>
      <c r="M178" s="1">
        <v>936</v>
      </c>
      <c r="N178">
        <f t="shared" si="4"/>
        <v>1020</v>
      </c>
      <c r="O178">
        <v>315</v>
      </c>
      <c r="P178">
        <v>41</v>
      </c>
      <c r="Q178">
        <v>194</v>
      </c>
      <c r="R178">
        <v>851</v>
      </c>
      <c r="S178">
        <v>615</v>
      </c>
      <c r="T178">
        <v>41</v>
      </c>
      <c r="U178">
        <f t="shared" si="5"/>
        <v>4135</v>
      </c>
      <c r="V178">
        <v>949</v>
      </c>
      <c r="W178">
        <v>47</v>
      </c>
      <c r="X178">
        <v>59</v>
      </c>
      <c r="Y178">
        <v>53</v>
      </c>
      <c r="Z178">
        <v>64</v>
      </c>
      <c r="AA178">
        <v>5</v>
      </c>
      <c r="AB178">
        <v>101</v>
      </c>
      <c r="AC178">
        <v>75</v>
      </c>
      <c r="AD178" s="1">
        <v>67</v>
      </c>
      <c r="AE178" s="1">
        <v>95</v>
      </c>
      <c r="AF178">
        <v>5.39</v>
      </c>
    </row>
    <row r="179" spans="1:32" x14ac:dyDescent="0.2">
      <c r="A179" s="52">
        <v>2005</v>
      </c>
      <c r="B179" t="s">
        <v>95</v>
      </c>
      <c r="C179" t="s">
        <v>163</v>
      </c>
      <c r="D179">
        <v>616</v>
      </c>
      <c r="E179">
        <v>162</v>
      </c>
      <c r="F179">
        <v>2</v>
      </c>
      <c r="G179">
        <v>6</v>
      </c>
      <c r="H179">
        <v>160</v>
      </c>
      <c r="I179">
        <v>46</v>
      </c>
      <c r="J179">
        <v>1440</v>
      </c>
      <c r="K179">
        <v>6371</v>
      </c>
      <c r="L179">
        <v>1589</v>
      </c>
      <c r="M179" s="1">
        <v>858</v>
      </c>
      <c r="N179">
        <f t="shared" si="4"/>
        <v>1080</v>
      </c>
      <c r="O179">
        <v>325</v>
      </c>
      <c r="P179">
        <v>25</v>
      </c>
      <c r="Q179">
        <v>159</v>
      </c>
      <c r="R179">
        <v>794</v>
      </c>
      <c r="S179">
        <v>522</v>
      </c>
      <c r="T179">
        <v>31</v>
      </c>
      <c r="U179">
        <f t="shared" si="5"/>
        <v>4200</v>
      </c>
      <c r="V179">
        <v>932</v>
      </c>
      <c r="W179">
        <v>45</v>
      </c>
      <c r="X179">
        <v>44</v>
      </c>
      <c r="Y179">
        <v>44</v>
      </c>
      <c r="Z179">
        <v>60</v>
      </c>
      <c r="AA179">
        <v>4</v>
      </c>
      <c r="AB179">
        <v>125</v>
      </c>
      <c r="AC179">
        <v>69</v>
      </c>
      <c r="AD179" s="1">
        <v>79</v>
      </c>
      <c r="AE179" s="1">
        <v>83</v>
      </c>
      <c r="AF179">
        <v>4.96</v>
      </c>
    </row>
    <row r="180" spans="1:32" x14ac:dyDescent="0.2">
      <c r="A180" s="52">
        <v>2005</v>
      </c>
      <c r="B180" t="s">
        <v>97</v>
      </c>
      <c r="C180" t="s">
        <v>163</v>
      </c>
      <c r="D180">
        <v>594</v>
      </c>
      <c r="E180">
        <v>162</v>
      </c>
      <c r="F180">
        <v>9</v>
      </c>
      <c r="G180">
        <v>8</v>
      </c>
      <c r="H180">
        <v>153</v>
      </c>
      <c r="I180">
        <v>35</v>
      </c>
      <c r="J180">
        <v>1447</v>
      </c>
      <c r="K180">
        <v>6166</v>
      </c>
      <c r="L180">
        <v>1475</v>
      </c>
      <c r="M180" s="1">
        <v>705</v>
      </c>
      <c r="N180">
        <f t="shared" si="4"/>
        <v>1007</v>
      </c>
      <c r="O180">
        <v>263</v>
      </c>
      <c r="P180">
        <v>20</v>
      </c>
      <c r="Q180">
        <v>185</v>
      </c>
      <c r="R180">
        <v>652</v>
      </c>
      <c r="S180">
        <v>444</v>
      </c>
      <c r="T180">
        <v>29</v>
      </c>
      <c r="U180">
        <f t="shared" si="5"/>
        <v>4179</v>
      </c>
      <c r="V180">
        <v>958</v>
      </c>
      <c r="W180">
        <v>31</v>
      </c>
      <c r="X180">
        <v>43</v>
      </c>
      <c r="Y180">
        <v>39</v>
      </c>
      <c r="Z180">
        <v>68</v>
      </c>
      <c r="AA180">
        <v>5</v>
      </c>
      <c r="AB180">
        <v>134</v>
      </c>
      <c r="AC180">
        <v>64</v>
      </c>
      <c r="AD180" s="1">
        <v>80</v>
      </c>
      <c r="AE180" s="1">
        <v>82</v>
      </c>
      <c r="AF180">
        <v>4.0599999999999996</v>
      </c>
    </row>
    <row r="181" spans="1:32" x14ac:dyDescent="0.2">
      <c r="A181" s="52">
        <v>2005</v>
      </c>
      <c r="B181" t="s">
        <v>101</v>
      </c>
      <c r="C181" t="s">
        <v>38</v>
      </c>
      <c r="D181">
        <v>632</v>
      </c>
      <c r="E181">
        <v>162</v>
      </c>
      <c r="F181">
        <v>4</v>
      </c>
      <c r="G181">
        <v>9</v>
      </c>
      <c r="H181">
        <v>158</v>
      </c>
      <c r="I181">
        <v>51</v>
      </c>
      <c r="J181">
        <v>1458</v>
      </c>
      <c r="K181">
        <v>6286</v>
      </c>
      <c r="L181">
        <v>1456</v>
      </c>
      <c r="M181" s="1">
        <v>673</v>
      </c>
      <c r="N181">
        <f t="shared" si="4"/>
        <v>1016</v>
      </c>
      <c r="O181">
        <v>279</v>
      </c>
      <c r="P181">
        <v>21</v>
      </c>
      <c r="Q181">
        <v>140</v>
      </c>
      <c r="R181">
        <v>627</v>
      </c>
      <c r="S181">
        <v>539</v>
      </c>
      <c r="T181">
        <v>77</v>
      </c>
      <c r="U181">
        <f t="shared" si="5"/>
        <v>4219</v>
      </c>
      <c r="V181">
        <v>997</v>
      </c>
      <c r="W181">
        <v>79</v>
      </c>
      <c r="X181">
        <v>46</v>
      </c>
      <c r="Y181">
        <v>49</v>
      </c>
      <c r="Z181">
        <v>72</v>
      </c>
      <c r="AA181">
        <v>8</v>
      </c>
      <c r="AB181">
        <v>124</v>
      </c>
      <c r="AC181">
        <v>64</v>
      </c>
      <c r="AD181" s="1">
        <v>81</v>
      </c>
      <c r="AE181" s="1">
        <v>81</v>
      </c>
      <c r="AF181">
        <v>3.87</v>
      </c>
    </row>
    <row r="182" spans="1:32" x14ac:dyDescent="0.2">
      <c r="A182" s="52">
        <v>2006</v>
      </c>
      <c r="B182" t="s">
        <v>37</v>
      </c>
      <c r="C182" t="s">
        <v>163</v>
      </c>
      <c r="D182">
        <v>542</v>
      </c>
      <c r="E182">
        <v>162</v>
      </c>
      <c r="F182">
        <v>5</v>
      </c>
      <c r="G182">
        <v>12</v>
      </c>
      <c r="H182">
        <v>157</v>
      </c>
      <c r="I182">
        <v>50</v>
      </c>
      <c r="J182">
        <v>1452.2</v>
      </c>
      <c r="K182">
        <v>6149</v>
      </c>
      <c r="L182">
        <v>1410</v>
      </c>
      <c r="M182" s="1">
        <v>732</v>
      </c>
      <c r="N182">
        <f t="shared" si="4"/>
        <v>929</v>
      </c>
      <c r="O182">
        <v>300</v>
      </c>
      <c r="P182">
        <v>23</v>
      </c>
      <c r="Q182">
        <v>158</v>
      </c>
      <c r="R182">
        <v>652</v>
      </c>
      <c r="S182">
        <v>471</v>
      </c>
      <c r="T182">
        <v>27</v>
      </c>
      <c r="U182">
        <f t="shared" si="5"/>
        <v>4218</v>
      </c>
      <c r="V182">
        <v>1164</v>
      </c>
      <c r="W182">
        <v>40</v>
      </c>
      <c r="X182">
        <v>43</v>
      </c>
      <c r="Y182">
        <v>85</v>
      </c>
      <c r="Z182">
        <v>50</v>
      </c>
      <c r="AA182">
        <v>3</v>
      </c>
      <c r="AB182">
        <v>128</v>
      </c>
      <c r="AC182">
        <v>87</v>
      </c>
      <c r="AD182" s="1">
        <v>89</v>
      </c>
      <c r="AE182" s="1">
        <v>73</v>
      </c>
      <c r="AF182">
        <v>4.04</v>
      </c>
    </row>
    <row r="183" spans="1:32" x14ac:dyDescent="0.2">
      <c r="A183" s="52">
        <v>2006</v>
      </c>
      <c r="B183" t="s">
        <v>40</v>
      </c>
      <c r="C183" t="s">
        <v>38</v>
      </c>
      <c r="D183">
        <v>623</v>
      </c>
      <c r="E183">
        <v>162</v>
      </c>
      <c r="F183">
        <v>8</v>
      </c>
      <c r="G183">
        <v>9</v>
      </c>
      <c r="H183">
        <v>154</v>
      </c>
      <c r="I183">
        <v>34</v>
      </c>
      <c r="J183">
        <v>1459.2</v>
      </c>
      <c r="K183">
        <v>6341</v>
      </c>
      <c r="L183">
        <v>1503</v>
      </c>
      <c r="M183" s="1">
        <v>788</v>
      </c>
      <c r="N183">
        <f t="shared" si="4"/>
        <v>961</v>
      </c>
      <c r="O183">
        <v>325</v>
      </c>
      <c r="P183">
        <v>49</v>
      </c>
      <c r="Q183">
        <v>168</v>
      </c>
      <c r="R183">
        <v>727</v>
      </c>
      <c r="S183">
        <v>536</v>
      </c>
      <c r="T183">
        <v>44</v>
      </c>
      <c r="U183">
        <f t="shared" si="5"/>
        <v>4241</v>
      </c>
      <c r="V183">
        <v>1115</v>
      </c>
      <c r="W183">
        <v>76</v>
      </c>
      <c r="X183">
        <v>34</v>
      </c>
      <c r="Y183">
        <v>53</v>
      </c>
      <c r="Z183">
        <v>61</v>
      </c>
      <c r="AA183">
        <v>4</v>
      </c>
      <c r="AB183">
        <v>139</v>
      </c>
      <c r="AC183">
        <v>84</v>
      </c>
      <c r="AD183" s="1">
        <v>76</v>
      </c>
      <c r="AE183" s="1">
        <v>86</v>
      </c>
      <c r="AF183">
        <v>4.4800000000000004</v>
      </c>
    </row>
    <row r="184" spans="1:32" x14ac:dyDescent="0.2">
      <c r="A184" s="52">
        <v>2006</v>
      </c>
      <c r="B184" t="s">
        <v>42</v>
      </c>
      <c r="C184" t="s">
        <v>38</v>
      </c>
      <c r="D184">
        <v>684</v>
      </c>
      <c r="E184">
        <v>162</v>
      </c>
      <c r="F184">
        <v>6</v>
      </c>
      <c r="G184">
        <v>6</v>
      </c>
      <c r="H184">
        <v>156</v>
      </c>
      <c r="I184">
        <v>38</v>
      </c>
      <c r="J184">
        <v>1441.1</v>
      </c>
      <c r="K184">
        <v>6350</v>
      </c>
      <c r="L184">
        <v>1529</v>
      </c>
      <c r="M184" s="1">
        <v>805</v>
      </c>
      <c r="N184">
        <f t="shared" si="4"/>
        <v>1006</v>
      </c>
      <c r="O184">
        <v>304</v>
      </c>
      <c r="P184">
        <v>36</v>
      </c>
      <c r="Q184">
        <v>183</v>
      </c>
      <c r="R184">
        <v>736</v>
      </c>
      <c r="S184">
        <v>572</v>
      </c>
      <c r="T184">
        <v>69</v>
      </c>
      <c r="U184">
        <f t="shared" si="5"/>
        <v>4194</v>
      </c>
      <c r="V184">
        <v>1049</v>
      </c>
      <c r="W184">
        <v>68</v>
      </c>
      <c r="X184">
        <v>54</v>
      </c>
      <c r="Y184">
        <v>39</v>
      </c>
      <c r="Z184">
        <v>55</v>
      </c>
      <c r="AA184">
        <v>2</v>
      </c>
      <c r="AB184">
        <v>131</v>
      </c>
      <c r="AC184">
        <v>67</v>
      </c>
      <c r="AD184" s="1">
        <v>79</v>
      </c>
      <c r="AE184" s="1">
        <v>83</v>
      </c>
      <c r="AF184">
        <v>4.5999999999999996</v>
      </c>
    </row>
    <row r="185" spans="1:32" x14ac:dyDescent="0.2">
      <c r="A185" s="52">
        <v>2006</v>
      </c>
      <c r="B185" t="s">
        <v>45</v>
      </c>
      <c r="C185" t="s">
        <v>163</v>
      </c>
      <c r="D185">
        <v>634</v>
      </c>
      <c r="E185">
        <v>162</v>
      </c>
      <c r="F185">
        <v>5</v>
      </c>
      <c r="G185">
        <v>9</v>
      </c>
      <c r="H185">
        <v>157</v>
      </c>
      <c r="I185">
        <v>35</v>
      </c>
      <c r="J185">
        <v>1419</v>
      </c>
      <c r="K185">
        <v>6327</v>
      </c>
      <c r="L185">
        <v>1579</v>
      </c>
      <c r="M185" s="1">
        <v>899</v>
      </c>
      <c r="N185">
        <f t="shared" si="4"/>
        <v>1049</v>
      </c>
      <c r="O185">
        <v>286</v>
      </c>
      <c r="P185">
        <v>28</v>
      </c>
      <c r="Q185">
        <v>216</v>
      </c>
      <c r="R185">
        <v>843</v>
      </c>
      <c r="S185">
        <v>613</v>
      </c>
      <c r="T185">
        <v>26</v>
      </c>
      <c r="U185">
        <f t="shared" si="5"/>
        <v>4087</v>
      </c>
      <c r="V185">
        <v>1016</v>
      </c>
      <c r="W185">
        <v>45</v>
      </c>
      <c r="X185">
        <v>61</v>
      </c>
      <c r="Y185">
        <v>59</v>
      </c>
      <c r="Z185">
        <v>48</v>
      </c>
      <c r="AA185">
        <v>4</v>
      </c>
      <c r="AB185">
        <v>129</v>
      </c>
      <c r="AC185">
        <v>61</v>
      </c>
      <c r="AD185" s="1">
        <v>70</v>
      </c>
      <c r="AE185" s="1">
        <v>92</v>
      </c>
      <c r="AF185">
        <v>5.35</v>
      </c>
    </row>
    <row r="186" spans="1:32" x14ac:dyDescent="0.2">
      <c r="A186" s="52">
        <v>2006</v>
      </c>
      <c r="B186" t="s">
        <v>47</v>
      </c>
      <c r="C186" t="s">
        <v>163</v>
      </c>
      <c r="D186">
        <v>616</v>
      </c>
      <c r="E186">
        <v>162</v>
      </c>
      <c r="F186">
        <v>3</v>
      </c>
      <c r="G186">
        <v>6</v>
      </c>
      <c r="H186">
        <v>159</v>
      </c>
      <c r="I186">
        <v>46</v>
      </c>
      <c r="J186">
        <v>1441.1</v>
      </c>
      <c r="K186">
        <v>6292</v>
      </c>
      <c r="L186">
        <v>1570</v>
      </c>
      <c r="M186" s="1">
        <v>825</v>
      </c>
      <c r="N186">
        <f t="shared" si="4"/>
        <v>1013</v>
      </c>
      <c r="O186">
        <v>348</v>
      </c>
      <c r="P186">
        <v>28</v>
      </c>
      <c r="Q186">
        <v>181</v>
      </c>
      <c r="R186">
        <v>773</v>
      </c>
      <c r="S186">
        <v>509</v>
      </c>
      <c r="T186">
        <v>25</v>
      </c>
      <c r="U186">
        <f t="shared" si="5"/>
        <v>4145</v>
      </c>
      <c r="V186">
        <v>1070</v>
      </c>
      <c r="W186">
        <v>31</v>
      </c>
      <c r="X186">
        <v>46</v>
      </c>
      <c r="Y186">
        <v>52</v>
      </c>
      <c r="Z186">
        <v>68</v>
      </c>
      <c r="AA186">
        <v>3</v>
      </c>
      <c r="AB186">
        <v>148</v>
      </c>
      <c r="AC186">
        <v>51</v>
      </c>
      <c r="AD186" s="1">
        <v>86</v>
      </c>
      <c r="AE186" s="1">
        <v>76</v>
      </c>
      <c r="AF186">
        <v>4.83</v>
      </c>
    </row>
    <row r="187" spans="1:32" x14ac:dyDescent="0.2">
      <c r="A187" s="52">
        <v>2006</v>
      </c>
      <c r="B187" t="s">
        <v>157</v>
      </c>
      <c r="C187" t="s">
        <v>38</v>
      </c>
      <c r="D187">
        <v>704</v>
      </c>
      <c r="E187">
        <v>162</v>
      </c>
      <c r="F187">
        <v>2</v>
      </c>
      <c r="G187">
        <v>7</v>
      </c>
      <c r="H187">
        <v>160</v>
      </c>
      <c r="I187">
        <v>29</v>
      </c>
      <c r="J187">
        <v>1439</v>
      </c>
      <c r="K187">
        <v>6366</v>
      </c>
      <c r="L187">
        <v>1396</v>
      </c>
      <c r="M187" s="1">
        <v>834</v>
      </c>
      <c r="N187">
        <f t="shared" si="4"/>
        <v>878</v>
      </c>
      <c r="O187">
        <v>276</v>
      </c>
      <c r="P187">
        <v>32</v>
      </c>
      <c r="Q187">
        <v>210</v>
      </c>
      <c r="R187">
        <v>758</v>
      </c>
      <c r="S187">
        <v>687</v>
      </c>
      <c r="T187">
        <v>44</v>
      </c>
      <c r="U187">
        <f t="shared" si="5"/>
        <v>4216</v>
      </c>
      <c r="V187">
        <v>1250</v>
      </c>
      <c r="W187">
        <v>82</v>
      </c>
      <c r="X187">
        <v>46</v>
      </c>
      <c r="Y187">
        <v>68</v>
      </c>
      <c r="Z187">
        <v>67</v>
      </c>
      <c r="AA187">
        <v>4</v>
      </c>
      <c r="AB187">
        <v>95</v>
      </c>
      <c r="AC187">
        <v>66</v>
      </c>
      <c r="AD187" s="1">
        <v>66</v>
      </c>
      <c r="AE187" s="1">
        <v>96</v>
      </c>
      <c r="AF187">
        <v>4.74</v>
      </c>
    </row>
    <row r="188" spans="1:32" x14ac:dyDescent="0.2">
      <c r="A188" s="52">
        <v>2006</v>
      </c>
      <c r="B188" t="s">
        <v>157</v>
      </c>
      <c r="C188" t="s">
        <v>163</v>
      </c>
      <c r="D188">
        <v>560</v>
      </c>
      <c r="E188">
        <v>162</v>
      </c>
      <c r="F188">
        <v>5</v>
      </c>
      <c r="G188">
        <v>11</v>
      </c>
      <c r="H188">
        <v>157</v>
      </c>
      <c r="I188">
        <v>46</v>
      </c>
      <c r="J188">
        <v>1449</v>
      </c>
      <c r="K188">
        <v>6232</v>
      </c>
      <c r="L188">
        <v>1534</v>
      </c>
      <c r="M188" s="1">
        <v>794</v>
      </c>
      <c r="N188">
        <f t="shared" si="4"/>
        <v>1007</v>
      </c>
      <c r="O188">
        <v>296</v>
      </c>
      <c r="P188">
        <v>31</v>
      </c>
      <c r="Q188">
        <v>200</v>
      </c>
      <c r="R188">
        <v>743</v>
      </c>
      <c r="S188">
        <v>433</v>
      </c>
      <c r="T188">
        <v>59</v>
      </c>
      <c r="U188">
        <f t="shared" si="5"/>
        <v>4207</v>
      </c>
      <c r="V188">
        <v>1012</v>
      </c>
      <c r="W188">
        <v>29</v>
      </c>
      <c r="X188">
        <v>48</v>
      </c>
      <c r="Y188">
        <v>51</v>
      </c>
      <c r="Z188">
        <v>58</v>
      </c>
      <c r="AA188">
        <v>1</v>
      </c>
      <c r="AB188">
        <v>128</v>
      </c>
      <c r="AC188">
        <v>60</v>
      </c>
      <c r="AD188" s="1">
        <v>90</v>
      </c>
      <c r="AE188" s="1">
        <v>72</v>
      </c>
      <c r="AF188">
        <v>4.6100000000000003</v>
      </c>
    </row>
    <row r="189" spans="1:32" x14ac:dyDescent="0.2">
      <c r="A189" s="52">
        <v>2006</v>
      </c>
      <c r="B189" t="s">
        <v>53</v>
      </c>
      <c r="C189" t="s">
        <v>38</v>
      </c>
      <c r="D189">
        <v>638</v>
      </c>
      <c r="E189">
        <v>162</v>
      </c>
      <c r="F189">
        <v>9</v>
      </c>
      <c r="G189">
        <v>10</v>
      </c>
      <c r="H189">
        <v>153</v>
      </c>
      <c r="I189">
        <v>36</v>
      </c>
      <c r="J189">
        <v>1445.2</v>
      </c>
      <c r="K189">
        <v>6319</v>
      </c>
      <c r="L189">
        <v>1576</v>
      </c>
      <c r="M189" s="1">
        <v>801</v>
      </c>
      <c r="N189">
        <f t="shared" si="4"/>
        <v>1008</v>
      </c>
      <c r="O189">
        <v>332</v>
      </c>
      <c r="P189">
        <v>23</v>
      </c>
      <c r="Q189">
        <v>213</v>
      </c>
      <c r="R189">
        <v>725</v>
      </c>
      <c r="S189">
        <v>464</v>
      </c>
      <c r="T189">
        <v>55</v>
      </c>
      <c r="U189">
        <f t="shared" si="5"/>
        <v>4219</v>
      </c>
      <c r="V189">
        <v>1053</v>
      </c>
      <c r="W189">
        <v>84</v>
      </c>
      <c r="X189">
        <v>40</v>
      </c>
      <c r="Y189">
        <v>40</v>
      </c>
      <c r="Z189">
        <v>60</v>
      </c>
      <c r="AA189">
        <v>9</v>
      </c>
      <c r="AB189">
        <v>111</v>
      </c>
      <c r="AC189">
        <v>86</v>
      </c>
      <c r="AD189" s="1">
        <v>80</v>
      </c>
      <c r="AE189" s="1">
        <v>82</v>
      </c>
      <c r="AF189">
        <v>4.51</v>
      </c>
    </row>
    <row r="190" spans="1:32" x14ac:dyDescent="0.2">
      <c r="A190" s="52">
        <v>2006</v>
      </c>
      <c r="B190" t="s">
        <v>55</v>
      </c>
      <c r="C190" t="s">
        <v>163</v>
      </c>
      <c r="D190">
        <v>539</v>
      </c>
      <c r="E190">
        <v>162</v>
      </c>
      <c r="F190">
        <v>13</v>
      </c>
      <c r="G190">
        <v>13</v>
      </c>
      <c r="H190">
        <v>149</v>
      </c>
      <c r="I190">
        <v>24</v>
      </c>
      <c r="J190">
        <v>1423.1</v>
      </c>
      <c r="K190">
        <v>6190</v>
      </c>
      <c r="L190">
        <v>1583</v>
      </c>
      <c r="M190" s="1">
        <v>782</v>
      </c>
      <c r="N190">
        <f t="shared" si="4"/>
        <v>1101</v>
      </c>
      <c r="O190">
        <v>293</v>
      </c>
      <c r="P190">
        <v>23</v>
      </c>
      <c r="Q190">
        <v>166</v>
      </c>
      <c r="R190">
        <v>698</v>
      </c>
      <c r="S190">
        <v>429</v>
      </c>
      <c r="T190">
        <v>35</v>
      </c>
      <c r="U190">
        <f t="shared" si="5"/>
        <v>4127</v>
      </c>
      <c r="V190">
        <v>948</v>
      </c>
      <c r="W190">
        <v>35</v>
      </c>
      <c r="X190">
        <v>55</v>
      </c>
      <c r="Y190">
        <v>46</v>
      </c>
      <c r="Z190">
        <v>51</v>
      </c>
      <c r="AA190">
        <v>2</v>
      </c>
      <c r="AB190">
        <v>143</v>
      </c>
      <c r="AC190">
        <v>84</v>
      </c>
      <c r="AD190" s="1">
        <v>78</v>
      </c>
      <c r="AE190" s="1">
        <v>84</v>
      </c>
      <c r="AF190">
        <v>4.41</v>
      </c>
    </row>
    <row r="191" spans="1:32" x14ac:dyDescent="0.2">
      <c r="A191" s="52">
        <v>2006</v>
      </c>
      <c r="B191" t="s">
        <v>57</v>
      </c>
      <c r="C191" t="s">
        <v>38</v>
      </c>
      <c r="D191">
        <v>661</v>
      </c>
      <c r="E191">
        <v>162</v>
      </c>
      <c r="F191">
        <v>5</v>
      </c>
      <c r="G191">
        <v>8</v>
      </c>
      <c r="H191">
        <v>157</v>
      </c>
      <c r="I191">
        <v>34</v>
      </c>
      <c r="J191">
        <v>1447.1</v>
      </c>
      <c r="K191">
        <v>6318</v>
      </c>
      <c r="L191">
        <v>1549</v>
      </c>
      <c r="M191" s="1">
        <v>812</v>
      </c>
      <c r="N191">
        <f t="shared" si="4"/>
        <v>1008</v>
      </c>
      <c r="O191">
        <v>331</v>
      </c>
      <c r="P191">
        <v>55</v>
      </c>
      <c r="Q191">
        <v>155</v>
      </c>
      <c r="R191">
        <v>749</v>
      </c>
      <c r="S191">
        <v>553</v>
      </c>
      <c r="T191">
        <v>81</v>
      </c>
      <c r="U191">
        <f t="shared" si="5"/>
        <v>4150</v>
      </c>
      <c r="V191">
        <v>952</v>
      </c>
      <c r="W191">
        <v>53</v>
      </c>
      <c r="X191">
        <v>44</v>
      </c>
      <c r="Y191">
        <v>43</v>
      </c>
      <c r="Z191">
        <v>66</v>
      </c>
      <c r="AA191">
        <v>2</v>
      </c>
      <c r="AB191">
        <v>165</v>
      </c>
      <c r="AC191">
        <v>68</v>
      </c>
      <c r="AD191" s="1">
        <v>76</v>
      </c>
      <c r="AE191" s="1">
        <v>86</v>
      </c>
      <c r="AF191">
        <v>4.66</v>
      </c>
    </row>
    <row r="192" spans="1:32" x14ac:dyDescent="0.2">
      <c r="A192" s="52">
        <v>2006</v>
      </c>
      <c r="B192" t="s">
        <v>59</v>
      </c>
      <c r="C192" t="s">
        <v>163</v>
      </c>
      <c r="D192">
        <v>552</v>
      </c>
      <c r="E192">
        <v>162</v>
      </c>
      <c r="F192">
        <v>3</v>
      </c>
      <c r="G192">
        <v>16</v>
      </c>
      <c r="H192">
        <v>159</v>
      </c>
      <c r="I192">
        <v>46</v>
      </c>
      <c r="J192">
        <v>1448</v>
      </c>
      <c r="K192">
        <v>6145</v>
      </c>
      <c r="L192">
        <v>1420</v>
      </c>
      <c r="M192" s="1">
        <v>675</v>
      </c>
      <c r="N192">
        <f t="shared" si="4"/>
        <v>959</v>
      </c>
      <c r="O192">
        <v>263</v>
      </c>
      <c r="P192">
        <v>38</v>
      </c>
      <c r="Q192">
        <v>160</v>
      </c>
      <c r="R192">
        <v>618</v>
      </c>
      <c r="S192">
        <v>489</v>
      </c>
      <c r="T192">
        <v>35</v>
      </c>
      <c r="U192">
        <f t="shared" si="5"/>
        <v>4183</v>
      </c>
      <c r="V192">
        <v>1003</v>
      </c>
      <c r="W192">
        <v>26</v>
      </c>
      <c r="X192">
        <v>41</v>
      </c>
      <c r="Y192">
        <v>44</v>
      </c>
      <c r="Z192">
        <v>53</v>
      </c>
      <c r="AA192">
        <v>2</v>
      </c>
      <c r="AB192">
        <v>140</v>
      </c>
      <c r="AC192">
        <v>70</v>
      </c>
      <c r="AD192" s="1">
        <v>95</v>
      </c>
      <c r="AE192" s="1">
        <v>67</v>
      </c>
      <c r="AF192">
        <v>3.84</v>
      </c>
    </row>
    <row r="193" spans="1:32" x14ac:dyDescent="0.2">
      <c r="A193" s="52">
        <v>2006</v>
      </c>
      <c r="B193" t="s">
        <v>160</v>
      </c>
      <c r="C193" t="s">
        <v>38</v>
      </c>
      <c r="D193">
        <v>600</v>
      </c>
      <c r="E193">
        <v>162</v>
      </c>
      <c r="F193">
        <v>6</v>
      </c>
      <c r="G193">
        <v>6</v>
      </c>
      <c r="H193">
        <v>156</v>
      </c>
      <c r="I193">
        <v>41</v>
      </c>
      <c r="J193">
        <v>1433.1</v>
      </c>
      <c r="K193">
        <v>6294</v>
      </c>
      <c r="L193">
        <v>1465</v>
      </c>
      <c r="M193" s="1">
        <v>772</v>
      </c>
      <c r="N193">
        <f t="shared" si="4"/>
        <v>984</v>
      </c>
      <c r="O193">
        <v>268</v>
      </c>
      <c r="P193">
        <v>47</v>
      </c>
      <c r="Q193">
        <v>166</v>
      </c>
      <c r="R193">
        <v>696</v>
      </c>
      <c r="S193">
        <v>622</v>
      </c>
      <c r="T193">
        <v>58</v>
      </c>
      <c r="U193">
        <f t="shared" si="5"/>
        <v>4133</v>
      </c>
      <c r="V193">
        <v>1088</v>
      </c>
      <c r="W193">
        <v>71</v>
      </c>
      <c r="X193">
        <v>35</v>
      </c>
      <c r="Y193">
        <v>47</v>
      </c>
      <c r="Z193">
        <v>74</v>
      </c>
      <c r="AA193">
        <v>4</v>
      </c>
      <c r="AB193">
        <v>146</v>
      </c>
      <c r="AC193">
        <v>71</v>
      </c>
      <c r="AD193" s="1">
        <v>78</v>
      </c>
      <c r="AE193" s="1">
        <v>84</v>
      </c>
      <c r="AF193">
        <v>4.37</v>
      </c>
    </row>
    <row r="194" spans="1:32" x14ac:dyDescent="0.2">
      <c r="A194" s="52">
        <v>2006</v>
      </c>
      <c r="B194" t="s">
        <v>63</v>
      </c>
      <c r="C194" t="s">
        <v>38</v>
      </c>
      <c r="D194">
        <v>659</v>
      </c>
      <c r="E194">
        <v>162</v>
      </c>
      <c r="F194">
        <v>5</v>
      </c>
      <c r="G194">
        <v>12</v>
      </c>
      <c r="H194">
        <v>157</v>
      </c>
      <c r="I194">
        <v>42</v>
      </c>
      <c r="J194">
        <v>1468.2</v>
      </c>
      <c r="K194">
        <v>6219</v>
      </c>
      <c r="L194">
        <v>1425</v>
      </c>
      <c r="M194" s="1">
        <v>719</v>
      </c>
      <c r="N194">
        <f t="shared" si="4"/>
        <v>894</v>
      </c>
      <c r="O194">
        <v>321</v>
      </c>
      <c r="P194">
        <v>28</v>
      </c>
      <c r="Q194">
        <v>182</v>
      </c>
      <c r="R194">
        <v>666</v>
      </c>
      <c r="S194">
        <v>480</v>
      </c>
      <c r="T194">
        <v>65</v>
      </c>
      <c r="U194">
        <f t="shared" si="5"/>
        <v>4260</v>
      </c>
      <c r="V194">
        <v>1160</v>
      </c>
      <c r="W194">
        <v>72</v>
      </c>
      <c r="X194">
        <v>41</v>
      </c>
      <c r="Y194">
        <v>44</v>
      </c>
      <c r="Z194">
        <v>54</v>
      </c>
      <c r="AA194">
        <v>2</v>
      </c>
      <c r="AB194">
        <v>144</v>
      </c>
      <c r="AC194">
        <v>64</v>
      </c>
      <c r="AD194" s="1">
        <v>82</v>
      </c>
      <c r="AE194" s="1">
        <v>80</v>
      </c>
      <c r="AF194">
        <v>4.08</v>
      </c>
    </row>
    <row r="195" spans="1:32" x14ac:dyDescent="0.2">
      <c r="A195" s="52">
        <v>2006</v>
      </c>
      <c r="B195" t="s">
        <v>164</v>
      </c>
      <c r="C195" t="s">
        <v>163</v>
      </c>
      <c r="D195">
        <v>635</v>
      </c>
      <c r="E195">
        <v>162</v>
      </c>
      <c r="F195">
        <v>3</v>
      </c>
      <c r="G195">
        <v>5</v>
      </c>
      <c r="H195">
        <v>159</v>
      </c>
      <c r="I195">
        <v>35</v>
      </c>
      <c r="J195">
        <v>1426.1</v>
      </c>
      <c r="K195">
        <v>6434</v>
      </c>
      <c r="L195">
        <v>1648</v>
      </c>
      <c r="M195" s="1">
        <v>971</v>
      </c>
      <c r="N195">
        <f t="shared" ref="N195:N258" si="6">L195-(O195+P195+Q195)</f>
        <v>1067</v>
      </c>
      <c r="O195">
        <v>341</v>
      </c>
      <c r="P195">
        <v>27</v>
      </c>
      <c r="Q195">
        <v>213</v>
      </c>
      <c r="R195">
        <v>896</v>
      </c>
      <c r="S195">
        <v>637</v>
      </c>
      <c r="T195">
        <v>45</v>
      </c>
      <c r="U195">
        <f t="shared" ref="U195:U258" si="7">K195-(L195+S195+Z195)</f>
        <v>4089</v>
      </c>
      <c r="V195">
        <v>904</v>
      </c>
      <c r="W195">
        <v>44</v>
      </c>
      <c r="X195">
        <v>57</v>
      </c>
      <c r="Y195">
        <v>85</v>
      </c>
      <c r="Z195">
        <v>60</v>
      </c>
      <c r="AA195">
        <v>9</v>
      </c>
      <c r="AB195">
        <v>161</v>
      </c>
      <c r="AC195">
        <v>63</v>
      </c>
      <c r="AD195" s="1">
        <v>62</v>
      </c>
      <c r="AE195" s="1">
        <v>100</v>
      </c>
      <c r="AF195">
        <v>5.65</v>
      </c>
    </row>
    <row r="196" spans="1:32" x14ac:dyDescent="0.2">
      <c r="A196" s="52">
        <v>2006</v>
      </c>
      <c r="B196" t="s">
        <v>159</v>
      </c>
      <c r="C196" t="s">
        <v>38</v>
      </c>
      <c r="D196">
        <v>616</v>
      </c>
      <c r="E196">
        <v>162</v>
      </c>
      <c r="F196">
        <v>1</v>
      </c>
      <c r="G196">
        <v>10</v>
      </c>
      <c r="H196">
        <v>161</v>
      </c>
      <c r="I196">
        <v>40</v>
      </c>
      <c r="J196">
        <v>1460.1</v>
      </c>
      <c r="K196">
        <v>6289</v>
      </c>
      <c r="L196">
        <v>1524</v>
      </c>
      <c r="M196" s="1">
        <v>751</v>
      </c>
      <c r="N196">
        <f t="shared" si="6"/>
        <v>1019</v>
      </c>
      <c r="O196">
        <v>323</v>
      </c>
      <c r="P196">
        <v>30</v>
      </c>
      <c r="Q196">
        <v>152</v>
      </c>
      <c r="R196">
        <v>686</v>
      </c>
      <c r="S196">
        <v>492</v>
      </c>
      <c r="T196">
        <v>40</v>
      </c>
      <c r="U196">
        <f t="shared" si="7"/>
        <v>4232</v>
      </c>
      <c r="V196">
        <v>1068</v>
      </c>
      <c r="W196">
        <v>63</v>
      </c>
      <c r="X196">
        <v>38</v>
      </c>
      <c r="Y196">
        <v>54</v>
      </c>
      <c r="Z196">
        <v>41</v>
      </c>
      <c r="AA196">
        <v>8</v>
      </c>
      <c r="AB196">
        <v>154</v>
      </c>
      <c r="AC196">
        <v>86</v>
      </c>
      <c r="AD196" s="1">
        <v>88</v>
      </c>
      <c r="AE196" s="1">
        <v>74</v>
      </c>
      <c r="AF196">
        <v>4.2300000000000004</v>
      </c>
    </row>
    <row r="197" spans="1:32" x14ac:dyDescent="0.2">
      <c r="A197" s="52">
        <v>2006</v>
      </c>
      <c r="B197" t="s">
        <v>69</v>
      </c>
      <c r="C197" t="s">
        <v>38</v>
      </c>
      <c r="D197">
        <v>589</v>
      </c>
      <c r="E197">
        <v>162</v>
      </c>
      <c r="F197">
        <v>7</v>
      </c>
      <c r="G197">
        <v>8</v>
      </c>
      <c r="H197">
        <v>155</v>
      </c>
      <c r="I197">
        <v>43</v>
      </c>
      <c r="J197">
        <v>1425.2</v>
      </c>
      <c r="K197">
        <v>6210</v>
      </c>
      <c r="L197">
        <v>1454</v>
      </c>
      <c r="M197" s="1">
        <v>833</v>
      </c>
      <c r="N197">
        <f t="shared" si="6"/>
        <v>890</v>
      </c>
      <c r="O197">
        <v>355</v>
      </c>
      <c r="P197">
        <v>32</v>
      </c>
      <c r="Q197">
        <v>177</v>
      </c>
      <c r="R197">
        <v>763</v>
      </c>
      <c r="S197">
        <v>514</v>
      </c>
      <c r="T197">
        <v>34</v>
      </c>
      <c r="U197">
        <f t="shared" si="7"/>
        <v>4168</v>
      </c>
      <c r="V197">
        <v>1145</v>
      </c>
      <c r="W197">
        <v>77</v>
      </c>
      <c r="X197">
        <v>51</v>
      </c>
      <c r="Y197">
        <v>57</v>
      </c>
      <c r="Z197">
        <v>74</v>
      </c>
      <c r="AA197">
        <v>2</v>
      </c>
      <c r="AB197">
        <v>111</v>
      </c>
      <c r="AC197">
        <v>76</v>
      </c>
      <c r="AD197" s="1">
        <v>75</v>
      </c>
      <c r="AE197" s="1">
        <v>87</v>
      </c>
      <c r="AF197">
        <v>4.82</v>
      </c>
    </row>
    <row r="198" spans="1:32" x14ac:dyDescent="0.2">
      <c r="A198" s="52">
        <v>2006</v>
      </c>
      <c r="B198" t="s">
        <v>71</v>
      </c>
      <c r="C198" t="s">
        <v>163</v>
      </c>
      <c r="D198">
        <v>583</v>
      </c>
      <c r="E198">
        <v>162</v>
      </c>
      <c r="F198">
        <v>1</v>
      </c>
      <c r="G198">
        <v>6</v>
      </c>
      <c r="H198">
        <v>161</v>
      </c>
      <c r="I198">
        <v>40</v>
      </c>
      <c r="J198">
        <v>1439.1</v>
      </c>
      <c r="K198">
        <v>6066</v>
      </c>
      <c r="L198">
        <v>1490</v>
      </c>
      <c r="M198" s="1">
        <v>683</v>
      </c>
      <c r="N198">
        <f t="shared" si="6"/>
        <v>1005</v>
      </c>
      <c r="O198">
        <v>280</v>
      </c>
      <c r="P198">
        <v>23</v>
      </c>
      <c r="Q198">
        <v>182</v>
      </c>
      <c r="R198">
        <v>632</v>
      </c>
      <c r="S198">
        <v>356</v>
      </c>
      <c r="T198">
        <v>25</v>
      </c>
      <c r="U198">
        <f t="shared" si="7"/>
        <v>4184</v>
      </c>
      <c r="V198">
        <v>1164</v>
      </c>
      <c r="W198">
        <v>40</v>
      </c>
      <c r="X198">
        <v>48</v>
      </c>
      <c r="Y198">
        <v>40</v>
      </c>
      <c r="Z198">
        <v>36</v>
      </c>
      <c r="AA198">
        <v>3</v>
      </c>
      <c r="AB198">
        <v>110</v>
      </c>
      <c r="AC198">
        <v>56</v>
      </c>
      <c r="AD198" s="1">
        <v>96</v>
      </c>
      <c r="AE198" s="1">
        <v>66</v>
      </c>
      <c r="AF198">
        <v>3.95</v>
      </c>
    </row>
    <row r="199" spans="1:32" x14ac:dyDescent="0.2">
      <c r="A199" s="52">
        <v>2006</v>
      </c>
      <c r="B199" t="s">
        <v>158</v>
      </c>
      <c r="C199" t="s">
        <v>38</v>
      </c>
      <c r="D199">
        <v>636</v>
      </c>
      <c r="E199">
        <v>162</v>
      </c>
      <c r="F199">
        <v>5</v>
      </c>
      <c r="G199">
        <v>12</v>
      </c>
      <c r="H199">
        <v>157</v>
      </c>
      <c r="I199">
        <v>43</v>
      </c>
      <c r="J199">
        <v>1461.1</v>
      </c>
      <c r="K199">
        <v>6240</v>
      </c>
      <c r="L199">
        <v>1402</v>
      </c>
      <c r="M199" s="1">
        <v>731</v>
      </c>
      <c r="N199">
        <f t="shared" si="6"/>
        <v>930</v>
      </c>
      <c r="O199">
        <v>274</v>
      </c>
      <c r="P199">
        <v>18</v>
      </c>
      <c r="Q199">
        <v>180</v>
      </c>
      <c r="R199">
        <v>673</v>
      </c>
      <c r="S199">
        <v>527</v>
      </c>
      <c r="T199">
        <v>39</v>
      </c>
      <c r="U199">
        <f t="shared" si="7"/>
        <v>4249</v>
      </c>
      <c r="V199">
        <v>1161</v>
      </c>
      <c r="W199">
        <v>67</v>
      </c>
      <c r="X199">
        <v>53</v>
      </c>
      <c r="Y199">
        <v>37</v>
      </c>
      <c r="Z199">
        <v>62</v>
      </c>
      <c r="AA199">
        <v>5</v>
      </c>
      <c r="AB199">
        <v>105</v>
      </c>
      <c r="AC199">
        <v>67</v>
      </c>
      <c r="AD199" s="1">
        <v>97</v>
      </c>
      <c r="AE199" s="1">
        <v>65</v>
      </c>
      <c r="AF199">
        <v>4.1399999999999997</v>
      </c>
    </row>
    <row r="200" spans="1:32" x14ac:dyDescent="0.2">
      <c r="A200" s="52">
        <v>2006</v>
      </c>
      <c r="B200" t="s">
        <v>158</v>
      </c>
      <c r="C200" t="s">
        <v>163</v>
      </c>
      <c r="D200">
        <v>651</v>
      </c>
      <c r="E200">
        <v>162</v>
      </c>
      <c r="F200">
        <v>5</v>
      </c>
      <c r="G200">
        <v>8</v>
      </c>
      <c r="H200">
        <v>157</v>
      </c>
      <c r="I200">
        <v>43</v>
      </c>
      <c r="J200">
        <v>1443.2</v>
      </c>
      <c r="K200">
        <v>6215</v>
      </c>
      <c r="L200">
        <v>1463</v>
      </c>
      <c r="M200" s="1">
        <v>767</v>
      </c>
      <c r="N200">
        <f t="shared" si="6"/>
        <v>977</v>
      </c>
      <c r="O200">
        <v>294</v>
      </c>
      <c r="P200">
        <v>22</v>
      </c>
      <c r="Q200">
        <v>170</v>
      </c>
      <c r="R200">
        <v>708</v>
      </c>
      <c r="S200">
        <v>496</v>
      </c>
      <c r="T200">
        <v>41</v>
      </c>
      <c r="U200">
        <f t="shared" si="7"/>
        <v>4197</v>
      </c>
      <c r="V200">
        <v>1019</v>
      </c>
      <c r="W200">
        <v>31</v>
      </c>
      <c r="X200">
        <v>39</v>
      </c>
      <c r="Y200">
        <v>46</v>
      </c>
      <c r="Z200">
        <v>59</v>
      </c>
      <c r="AA200">
        <v>7</v>
      </c>
      <c r="AB200">
        <v>126</v>
      </c>
      <c r="AC200">
        <v>79</v>
      </c>
      <c r="AD200" s="1">
        <v>97</v>
      </c>
      <c r="AE200" s="1">
        <v>65</v>
      </c>
      <c r="AF200">
        <v>4.41</v>
      </c>
    </row>
    <row r="201" spans="1:32" x14ac:dyDescent="0.2">
      <c r="A201" s="52">
        <v>2006</v>
      </c>
      <c r="B201" t="s">
        <v>79</v>
      </c>
      <c r="C201" t="s">
        <v>163</v>
      </c>
      <c r="D201">
        <v>606</v>
      </c>
      <c r="E201">
        <v>162</v>
      </c>
      <c r="F201">
        <v>5</v>
      </c>
      <c r="G201">
        <v>11</v>
      </c>
      <c r="H201">
        <v>157</v>
      </c>
      <c r="I201">
        <v>54</v>
      </c>
      <c r="J201">
        <v>1451.2</v>
      </c>
      <c r="K201">
        <v>6279</v>
      </c>
      <c r="L201">
        <v>1525</v>
      </c>
      <c r="M201" s="1">
        <v>727</v>
      </c>
      <c r="N201">
        <f t="shared" si="6"/>
        <v>1040</v>
      </c>
      <c r="O201">
        <v>289</v>
      </c>
      <c r="P201">
        <v>34</v>
      </c>
      <c r="Q201">
        <v>162</v>
      </c>
      <c r="R201">
        <v>679</v>
      </c>
      <c r="S201">
        <v>529</v>
      </c>
      <c r="T201">
        <v>47</v>
      </c>
      <c r="U201">
        <f t="shared" si="7"/>
        <v>4170</v>
      </c>
      <c r="V201">
        <v>1003</v>
      </c>
      <c r="W201">
        <v>32</v>
      </c>
      <c r="X201">
        <v>49</v>
      </c>
      <c r="Y201">
        <v>43</v>
      </c>
      <c r="Z201">
        <v>55</v>
      </c>
      <c r="AA201">
        <v>4</v>
      </c>
      <c r="AB201">
        <v>149</v>
      </c>
      <c r="AC201">
        <v>46</v>
      </c>
      <c r="AD201" s="1">
        <v>93</v>
      </c>
      <c r="AE201" s="1">
        <v>69</v>
      </c>
      <c r="AF201">
        <v>4.21</v>
      </c>
    </row>
    <row r="202" spans="1:32" x14ac:dyDescent="0.2">
      <c r="A202" s="52">
        <v>2006</v>
      </c>
      <c r="B202" t="s">
        <v>81</v>
      </c>
      <c r="C202" t="s">
        <v>38</v>
      </c>
      <c r="D202">
        <v>662</v>
      </c>
      <c r="E202">
        <v>162</v>
      </c>
      <c r="F202">
        <v>4</v>
      </c>
      <c r="G202">
        <v>6</v>
      </c>
      <c r="H202">
        <v>158</v>
      </c>
      <c r="I202">
        <v>42</v>
      </c>
      <c r="J202">
        <v>1460.1</v>
      </c>
      <c r="K202">
        <v>6366</v>
      </c>
      <c r="L202">
        <v>1561</v>
      </c>
      <c r="M202" s="1">
        <v>812</v>
      </c>
      <c r="N202">
        <f t="shared" si="6"/>
        <v>975</v>
      </c>
      <c r="O202">
        <v>335</v>
      </c>
      <c r="P202">
        <v>40</v>
      </c>
      <c r="Q202">
        <v>211</v>
      </c>
      <c r="R202">
        <v>747</v>
      </c>
      <c r="S202">
        <v>512</v>
      </c>
      <c r="T202">
        <v>63</v>
      </c>
      <c r="U202">
        <f t="shared" si="7"/>
        <v>4231</v>
      </c>
      <c r="V202">
        <v>1138</v>
      </c>
      <c r="W202">
        <v>63</v>
      </c>
      <c r="X202">
        <v>49</v>
      </c>
      <c r="Y202">
        <v>58</v>
      </c>
      <c r="Z202">
        <v>62</v>
      </c>
      <c r="AA202">
        <v>4</v>
      </c>
      <c r="AB202">
        <v>135</v>
      </c>
      <c r="AC202">
        <v>74</v>
      </c>
      <c r="AD202" s="1">
        <v>85</v>
      </c>
      <c r="AE202" s="1">
        <v>77</v>
      </c>
      <c r="AF202">
        <v>4.5999999999999996</v>
      </c>
    </row>
    <row r="203" spans="1:32" x14ac:dyDescent="0.2">
      <c r="A203" s="52">
        <v>2006</v>
      </c>
      <c r="B203" t="s">
        <v>83</v>
      </c>
      <c r="C203" t="s">
        <v>38</v>
      </c>
      <c r="D203">
        <v>667</v>
      </c>
      <c r="E203">
        <v>162</v>
      </c>
      <c r="F203">
        <v>2</v>
      </c>
      <c r="G203">
        <v>10</v>
      </c>
      <c r="H203">
        <v>160</v>
      </c>
      <c r="I203">
        <v>39</v>
      </c>
      <c r="J203">
        <v>1435</v>
      </c>
      <c r="K203">
        <v>6354</v>
      </c>
      <c r="L203">
        <v>1545</v>
      </c>
      <c r="M203" s="1">
        <v>797</v>
      </c>
      <c r="N203">
        <f t="shared" si="6"/>
        <v>1058</v>
      </c>
      <c r="O203">
        <v>300</v>
      </c>
      <c r="P203">
        <v>31</v>
      </c>
      <c r="Q203">
        <v>156</v>
      </c>
      <c r="R203">
        <v>720</v>
      </c>
      <c r="S203">
        <v>620</v>
      </c>
      <c r="T203">
        <v>62</v>
      </c>
      <c r="U203">
        <f t="shared" si="7"/>
        <v>4119</v>
      </c>
      <c r="V203">
        <v>1060</v>
      </c>
      <c r="W203">
        <v>102</v>
      </c>
      <c r="X203">
        <v>55</v>
      </c>
      <c r="Y203">
        <v>61</v>
      </c>
      <c r="Z203">
        <v>70</v>
      </c>
      <c r="AA203">
        <v>6</v>
      </c>
      <c r="AB203">
        <v>144</v>
      </c>
      <c r="AC203">
        <v>66</v>
      </c>
      <c r="AD203" s="1">
        <v>67</v>
      </c>
      <c r="AE203" s="1">
        <v>95</v>
      </c>
      <c r="AF203">
        <v>4.5199999999999996</v>
      </c>
    </row>
    <row r="204" spans="1:32" x14ac:dyDescent="0.2">
      <c r="A204" s="52">
        <v>2006</v>
      </c>
      <c r="B204" t="s">
        <v>161</v>
      </c>
      <c r="C204" t="s">
        <v>38</v>
      </c>
      <c r="D204">
        <v>637</v>
      </c>
      <c r="E204">
        <v>162</v>
      </c>
      <c r="F204">
        <v>4</v>
      </c>
      <c r="G204">
        <v>11</v>
      </c>
      <c r="H204">
        <v>158</v>
      </c>
      <c r="I204">
        <v>50</v>
      </c>
      <c r="J204">
        <v>1463.2</v>
      </c>
      <c r="K204">
        <v>6175</v>
      </c>
      <c r="L204">
        <v>1385</v>
      </c>
      <c r="M204" s="1">
        <v>679</v>
      </c>
      <c r="N204">
        <f t="shared" si="6"/>
        <v>910</v>
      </c>
      <c r="O204">
        <v>264</v>
      </c>
      <c r="P204">
        <v>35</v>
      </c>
      <c r="Q204">
        <v>176</v>
      </c>
      <c r="R204">
        <v>629</v>
      </c>
      <c r="S204">
        <v>468</v>
      </c>
      <c r="T204">
        <v>63</v>
      </c>
      <c r="U204">
        <f t="shared" si="7"/>
        <v>4272</v>
      </c>
      <c r="V204">
        <v>1097</v>
      </c>
      <c r="W204">
        <v>68</v>
      </c>
      <c r="X204">
        <v>32</v>
      </c>
      <c r="Y204">
        <v>34</v>
      </c>
      <c r="Z204">
        <v>50</v>
      </c>
      <c r="AA204">
        <v>4</v>
      </c>
      <c r="AB204">
        <v>120</v>
      </c>
      <c r="AC204">
        <v>62</v>
      </c>
      <c r="AD204" s="1">
        <v>88</v>
      </c>
      <c r="AE204" s="1">
        <v>74</v>
      </c>
      <c r="AF204">
        <v>3.87</v>
      </c>
    </row>
    <row r="205" spans="1:32" x14ac:dyDescent="0.2">
      <c r="A205" s="52">
        <v>2006</v>
      </c>
      <c r="B205" t="s">
        <v>87</v>
      </c>
      <c r="C205" t="s">
        <v>163</v>
      </c>
      <c r="D205">
        <v>591</v>
      </c>
      <c r="E205">
        <v>162</v>
      </c>
      <c r="F205">
        <v>6</v>
      </c>
      <c r="G205">
        <v>6</v>
      </c>
      <c r="H205">
        <v>156</v>
      </c>
      <c r="I205">
        <v>47</v>
      </c>
      <c r="J205">
        <v>1446.2</v>
      </c>
      <c r="K205">
        <v>6294</v>
      </c>
      <c r="L205">
        <v>1500</v>
      </c>
      <c r="M205" s="1">
        <v>792</v>
      </c>
      <c r="N205">
        <f t="shared" si="6"/>
        <v>967</v>
      </c>
      <c r="O205">
        <v>327</v>
      </c>
      <c r="P205">
        <v>23</v>
      </c>
      <c r="Q205">
        <v>183</v>
      </c>
      <c r="R205">
        <v>739</v>
      </c>
      <c r="S205">
        <v>560</v>
      </c>
      <c r="T205">
        <v>50</v>
      </c>
      <c r="U205">
        <f t="shared" si="7"/>
        <v>4181</v>
      </c>
      <c r="V205">
        <v>1067</v>
      </c>
      <c r="W205">
        <v>31</v>
      </c>
      <c r="X205">
        <v>39</v>
      </c>
      <c r="Y205">
        <v>47</v>
      </c>
      <c r="Z205">
        <v>53</v>
      </c>
      <c r="AA205">
        <v>6</v>
      </c>
      <c r="AB205">
        <v>130</v>
      </c>
      <c r="AC205">
        <v>62</v>
      </c>
      <c r="AD205" s="1">
        <v>78</v>
      </c>
      <c r="AE205" s="1">
        <v>84</v>
      </c>
      <c r="AF205">
        <v>4.5999999999999996</v>
      </c>
    </row>
    <row r="206" spans="1:32" x14ac:dyDescent="0.2">
      <c r="A206" s="52">
        <v>2006</v>
      </c>
      <c r="B206" t="s">
        <v>21</v>
      </c>
      <c r="C206" t="s">
        <v>38</v>
      </c>
      <c r="D206">
        <v>599</v>
      </c>
      <c r="E206">
        <v>161</v>
      </c>
      <c r="F206">
        <v>7</v>
      </c>
      <c r="G206">
        <v>9</v>
      </c>
      <c r="H206">
        <v>154</v>
      </c>
      <c r="I206">
        <v>37</v>
      </c>
      <c r="J206">
        <v>1429.2</v>
      </c>
      <c r="K206">
        <v>6225</v>
      </c>
      <c r="L206">
        <v>1422</v>
      </c>
      <c r="M206" s="1">
        <v>790</v>
      </c>
      <c r="N206">
        <f t="shared" si="6"/>
        <v>935</v>
      </c>
      <c r="O206">
        <v>287</v>
      </c>
      <c r="P206">
        <v>47</v>
      </c>
      <c r="Q206">
        <v>153</v>
      </c>
      <c r="R206">
        <v>735</v>
      </c>
      <c r="S206">
        <v>584</v>
      </c>
      <c r="T206">
        <v>37</v>
      </c>
      <c r="U206">
        <f t="shared" si="7"/>
        <v>4149</v>
      </c>
      <c r="V206">
        <v>992</v>
      </c>
      <c r="W206">
        <v>66</v>
      </c>
      <c r="X206">
        <v>55</v>
      </c>
      <c r="Y206">
        <v>50</v>
      </c>
      <c r="Z206">
        <v>70</v>
      </c>
      <c r="AA206">
        <v>7</v>
      </c>
      <c r="AB206">
        <v>108</v>
      </c>
      <c r="AC206">
        <v>57</v>
      </c>
      <c r="AD206" s="1">
        <v>76</v>
      </c>
      <c r="AE206" s="1">
        <v>85</v>
      </c>
      <c r="AF206">
        <v>4.63</v>
      </c>
    </row>
    <row r="207" spans="1:32" x14ac:dyDescent="0.2">
      <c r="A207" s="52">
        <v>2006</v>
      </c>
      <c r="B207" t="s">
        <v>156</v>
      </c>
      <c r="C207" t="s">
        <v>38</v>
      </c>
      <c r="D207">
        <v>630</v>
      </c>
      <c r="E207">
        <v>161</v>
      </c>
      <c r="F207">
        <v>6</v>
      </c>
      <c r="G207">
        <v>9</v>
      </c>
      <c r="H207">
        <v>155</v>
      </c>
      <c r="I207">
        <v>38</v>
      </c>
      <c r="J207">
        <v>1429.2</v>
      </c>
      <c r="K207">
        <v>6196</v>
      </c>
      <c r="L207">
        <v>1475</v>
      </c>
      <c r="M207" s="1">
        <v>762</v>
      </c>
      <c r="N207">
        <f t="shared" si="6"/>
        <v>938</v>
      </c>
      <c r="O207">
        <v>310</v>
      </c>
      <c r="P207">
        <v>34</v>
      </c>
      <c r="Q207">
        <v>193</v>
      </c>
      <c r="R207">
        <v>721</v>
      </c>
      <c r="S207">
        <v>504</v>
      </c>
      <c r="T207">
        <v>35</v>
      </c>
      <c r="U207">
        <f t="shared" si="7"/>
        <v>4137</v>
      </c>
      <c r="V207">
        <v>970</v>
      </c>
      <c r="W207">
        <v>83</v>
      </c>
      <c r="X207">
        <v>32</v>
      </c>
      <c r="Y207">
        <v>35</v>
      </c>
      <c r="Z207">
        <v>80</v>
      </c>
      <c r="AA207">
        <v>3</v>
      </c>
      <c r="AB207">
        <v>155</v>
      </c>
      <c r="AC207">
        <v>74</v>
      </c>
      <c r="AD207" s="1">
        <v>83</v>
      </c>
      <c r="AE207" s="1">
        <v>78</v>
      </c>
      <c r="AF207">
        <v>4.54</v>
      </c>
    </row>
    <row r="208" spans="1:32" x14ac:dyDescent="0.2">
      <c r="A208" s="52">
        <v>2006</v>
      </c>
      <c r="B208" t="s">
        <v>165</v>
      </c>
      <c r="C208" t="s">
        <v>163</v>
      </c>
      <c r="D208">
        <v>606</v>
      </c>
      <c r="E208">
        <v>162</v>
      </c>
      <c r="F208">
        <v>3</v>
      </c>
      <c r="G208">
        <v>7</v>
      </c>
      <c r="H208">
        <v>159</v>
      </c>
      <c r="I208">
        <v>33</v>
      </c>
      <c r="J208">
        <v>1420.1</v>
      </c>
      <c r="K208">
        <v>6374</v>
      </c>
      <c r="L208">
        <v>1600</v>
      </c>
      <c r="M208" s="1">
        <v>856</v>
      </c>
      <c r="N208">
        <f t="shared" si="6"/>
        <v>1059</v>
      </c>
      <c r="O208">
        <v>334</v>
      </c>
      <c r="P208">
        <v>27</v>
      </c>
      <c r="Q208">
        <v>180</v>
      </c>
      <c r="R208">
        <v>782</v>
      </c>
      <c r="S208">
        <v>606</v>
      </c>
      <c r="T208">
        <v>39</v>
      </c>
      <c r="U208">
        <f t="shared" si="7"/>
        <v>4105</v>
      </c>
      <c r="V208">
        <v>979</v>
      </c>
      <c r="W208">
        <v>34</v>
      </c>
      <c r="X208">
        <v>73</v>
      </c>
      <c r="Y208">
        <v>70</v>
      </c>
      <c r="Z208">
        <v>63</v>
      </c>
      <c r="AA208">
        <v>8</v>
      </c>
      <c r="AB208">
        <v>128</v>
      </c>
      <c r="AC208">
        <v>81</v>
      </c>
      <c r="AD208" s="1">
        <v>61</v>
      </c>
      <c r="AE208" s="1">
        <v>101</v>
      </c>
      <c r="AF208">
        <v>4.96</v>
      </c>
    </row>
    <row r="209" spans="1:32" x14ac:dyDescent="0.2">
      <c r="A209" s="52">
        <v>2006</v>
      </c>
      <c r="B209" t="s">
        <v>95</v>
      </c>
      <c r="C209" t="s">
        <v>163</v>
      </c>
      <c r="D209">
        <v>651</v>
      </c>
      <c r="E209">
        <v>162</v>
      </c>
      <c r="F209">
        <v>3</v>
      </c>
      <c r="G209">
        <v>8</v>
      </c>
      <c r="H209">
        <v>159</v>
      </c>
      <c r="I209">
        <v>42</v>
      </c>
      <c r="J209">
        <v>1431.1</v>
      </c>
      <c r="K209">
        <v>6237</v>
      </c>
      <c r="L209">
        <v>1558</v>
      </c>
      <c r="M209" s="1">
        <v>784</v>
      </c>
      <c r="N209">
        <f t="shared" si="6"/>
        <v>1088</v>
      </c>
      <c r="O209">
        <v>283</v>
      </c>
      <c r="P209">
        <v>25</v>
      </c>
      <c r="Q209">
        <v>162</v>
      </c>
      <c r="R209">
        <v>731</v>
      </c>
      <c r="S209">
        <v>496</v>
      </c>
      <c r="T209">
        <v>18</v>
      </c>
      <c r="U209">
        <f t="shared" si="7"/>
        <v>4117</v>
      </c>
      <c r="V209">
        <v>972</v>
      </c>
      <c r="W209">
        <v>26</v>
      </c>
      <c r="X209">
        <v>48</v>
      </c>
      <c r="Y209">
        <v>34</v>
      </c>
      <c r="Z209">
        <v>66</v>
      </c>
      <c r="AA209">
        <v>4</v>
      </c>
      <c r="AB209">
        <v>145</v>
      </c>
      <c r="AC209">
        <v>64</v>
      </c>
      <c r="AD209" s="1">
        <v>80</v>
      </c>
      <c r="AE209" s="1">
        <v>82</v>
      </c>
      <c r="AF209">
        <v>4.5999999999999996</v>
      </c>
    </row>
    <row r="210" spans="1:32" x14ac:dyDescent="0.2">
      <c r="A210" s="52">
        <v>2006</v>
      </c>
      <c r="B210" t="s">
        <v>97</v>
      </c>
      <c r="C210" t="s">
        <v>163</v>
      </c>
      <c r="D210">
        <v>644</v>
      </c>
      <c r="E210">
        <v>162</v>
      </c>
      <c r="F210">
        <v>6</v>
      </c>
      <c r="G210">
        <v>6</v>
      </c>
      <c r="H210">
        <v>156</v>
      </c>
      <c r="I210">
        <v>42</v>
      </c>
      <c r="J210">
        <v>1428.1</v>
      </c>
      <c r="K210">
        <v>6151</v>
      </c>
      <c r="L210">
        <v>1447</v>
      </c>
      <c r="M210" s="1">
        <v>754</v>
      </c>
      <c r="N210">
        <f t="shared" si="6"/>
        <v>950</v>
      </c>
      <c r="O210">
        <v>291</v>
      </c>
      <c r="P210">
        <v>21</v>
      </c>
      <c r="Q210">
        <v>185</v>
      </c>
      <c r="R210">
        <v>694</v>
      </c>
      <c r="S210">
        <v>504</v>
      </c>
      <c r="T210">
        <v>56</v>
      </c>
      <c r="U210">
        <f t="shared" si="7"/>
        <v>4141</v>
      </c>
      <c r="V210">
        <v>1076</v>
      </c>
      <c r="W210">
        <v>25</v>
      </c>
      <c r="X210">
        <v>31</v>
      </c>
      <c r="Y210">
        <v>53</v>
      </c>
      <c r="Z210">
        <v>59</v>
      </c>
      <c r="AA210">
        <v>13</v>
      </c>
      <c r="AB210">
        <v>127</v>
      </c>
      <c r="AC210">
        <v>74</v>
      </c>
      <c r="AD210" s="1">
        <v>87</v>
      </c>
      <c r="AE210" s="1">
        <v>75</v>
      </c>
      <c r="AF210">
        <v>4.37</v>
      </c>
    </row>
    <row r="211" spans="1:32" x14ac:dyDescent="0.2">
      <c r="A211" s="52">
        <v>2006</v>
      </c>
      <c r="B211" t="s">
        <v>101</v>
      </c>
      <c r="C211" t="s">
        <v>38</v>
      </c>
      <c r="D211">
        <v>679</v>
      </c>
      <c r="E211">
        <v>162</v>
      </c>
      <c r="F211">
        <v>1</v>
      </c>
      <c r="G211">
        <v>3</v>
      </c>
      <c r="H211">
        <v>161</v>
      </c>
      <c r="I211">
        <v>32</v>
      </c>
      <c r="J211">
        <v>1436.1</v>
      </c>
      <c r="K211">
        <v>6424</v>
      </c>
      <c r="L211">
        <v>1535</v>
      </c>
      <c r="M211" s="1">
        <v>872</v>
      </c>
      <c r="N211">
        <f t="shared" si="6"/>
        <v>995</v>
      </c>
      <c r="O211">
        <v>305</v>
      </c>
      <c r="P211">
        <v>42</v>
      </c>
      <c r="Q211">
        <v>193</v>
      </c>
      <c r="R211">
        <v>803</v>
      </c>
      <c r="S211">
        <v>584</v>
      </c>
      <c r="T211">
        <v>93</v>
      </c>
      <c r="U211">
        <f t="shared" si="7"/>
        <v>4213</v>
      </c>
      <c r="V211">
        <v>960</v>
      </c>
      <c r="W211">
        <v>87</v>
      </c>
      <c r="X211">
        <v>59</v>
      </c>
      <c r="Y211">
        <v>47</v>
      </c>
      <c r="Z211">
        <v>92</v>
      </c>
      <c r="AA211">
        <v>10</v>
      </c>
      <c r="AB211">
        <v>90</v>
      </c>
      <c r="AC211">
        <v>80</v>
      </c>
      <c r="AD211" s="1">
        <v>71</v>
      </c>
      <c r="AE211" s="1">
        <v>91</v>
      </c>
      <c r="AF211">
        <v>5.03</v>
      </c>
    </row>
    <row r="212" spans="1:32" x14ac:dyDescent="0.2">
      <c r="A212" s="52">
        <v>2007</v>
      </c>
      <c r="B212" t="s">
        <v>37</v>
      </c>
      <c r="C212" t="s">
        <v>163</v>
      </c>
      <c r="D212">
        <v>558</v>
      </c>
      <c r="E212">
        <v>162</v>
      </c>
      <c r="F212">
        <v>5</v>
      </c>
      <c r="G212">
        <v>9</v>
      </c>
      <c r="H212">
        <v>157</v>
      </c>
      <c r="I212">
        <v>43</v>
      </c>
      <c r="J212">
        <v>1435</v>
      </c>
      <c r="K212">
        <v>6161</v>
      </c>
      <c r="L212">
        <v>1480</v>
      </c>
      <c r="M212" s="1">
        <v>731</v>
      </c>
      <c r="N212">
        <f t="shared" si="6"/>
        <v>1006</v>
      </c>
      <c r="O212">
        <v>289</v>
      </c>
      <c r="P212">
        <v>34</v>
      </c>
      <c r="Q212">
        <v>151</v>
      </c>
      <c r="R212">
        <v>674</v>
      </c>
      <c r="S212">
        <v>477</v>
      </c>
      <c r="T212">
        <v>22</v>
      </c>
      <c r="U212">
        <f t="shared" si="7"/>
        <v>4153</v>
      </c>
      <c r="V212">
        <v>1156</v>
      </c>
      <c r="W212">
        <v>28</v>
      </c>
      <c r="X212">
        <v>40</v>
      </c>
      <c r="Y212">
        <v>69</v>
      </c>
      <c r="Z212">
        <v>51</v>
      </c>
      <c r="AA212">
        <v>5</v>
      </c>
      <c r="AB212">
        <v>133</v>
      </c>
      <c r="AC212">
        <v>69</v>
      </c>
      <c r="AD212" s="1">
        <v>94</v>
      </c>
      <c r="AE212" s="1">
        <v>68</v>
      </c>
      <c r="AF212">
        <v>4.2300000000000004</v>
      </c>
    </row>
    <row r="213" spans="1:32" x14ac:dyDescent="0.2">
      <c r="A213" s="52">
        <v>2007</v>
      </c>
      <c r="B213" t="s">
        <v>40</v>
      </c>
      <c r="C213" t="s">
        <v>38</v>
      </c>
      <c r="D213">
        <v>631</v>
      </c>
      <c r="E213">
        <v>162</v>
      </c>
      <c r="F213">
        <v>7</v>
      </c>
      <c r="G213">
        <v>12</v>
      </c>
      <c r="H213">
        <v>155</v>
      </c>
      <c r="I213">
        <v>51</v>
      </c>
      <c r="J213">
        <v>1441</v>
      </c>
      <c r="K213">
        <v>6216</v>
      </c>
      <c r="L213">
        <v>1446</v>
      </c>
      <c r="M213" s="1">
        <v>732</v>
      </c>
      <c r="N213">
        <f t="shared" si="6"/>
        <v>950</v>
      </c>
      <c r="O213">
        <v>293</v>
      </c>
      <c r="P213">
        <v>34</v>
      </c>
      <c r="Q213">
        <v>169</v>
      </c>
      <c r="R213">
        <v>662</v>
      </c>
      <c r="S213">
        <v>546</v>
      </c>
      <c r="T213">
        <v>38</v>
      </c>
      <c r="U213">
        <f t="shared" si="7"/>
        <v>4163</v>
      </c>
      <c r="V213">
        <v>1088</v>
      </c>
      <c r="W213">
        <v>59</v>
      </c>
      <c r="X213">
        <v>35</v>
      </c>
      <c r="Y213">
        <v>48</v>
      </c>
      <c r="Z213">
        <v>61</v>
      </c>
      <c r="AA213">
        <v>9</v>
      </c>
      <c r="AB213">
        <v>138</v>
      </c>
      <c r="AC213">
        <v>65</v>
      </c>
      <c r="AD213" s="1">
        <v>90</v>
      </c>
      <c r="AE213" s="1">
        <v>72</v>
      </c>
      <c r="AF213">
        <v>4.13</v>
      </c>
    </row>
    <row r="214" spans="1:32" x14ac:dyDescent="0.2">
      <c r="A214" s="52">
        <v>2007</v>
      </c>
      <c r="B214" t="s">
        <v>42</v>
      </c>
      <c r="C214" t="s">
        <v>38</v>
      </c>
      <c r="D214">
        <v>690</v>
      </c>
      <c r="E214">
        <v>162</v>
      </c>
      <c r="F214">
        <v>1</v>
      </c>
      <c r="G214">
        <v>6</v>
      </c>
      <c r="H214">
        <v>161</v>
      </c>
      <c r="I214">
        <v>36</v>
      </c>
      <c r="J214">
        <v>1456.1</v>
      </c>
      <c r="K214">
        <v>6263</v>
      </c>
      <c r="L214">
        <v>1442</v>
      </c>
      <c r="M214" s="1">
        <v>733</v>
      </c>
      <c r="N214">
        <f t="shared" si="6"/>
        <v>959</v>
      </c>
      <c r="O214">
        <v>272</v>
      </c>
      <c r="P214">
        <v>39</v>
      </c>
      <c r="Q214">
        <v>172</v>
      </c>
      <c r="R214">
        <v>665</v>
      </c>
      <c r="S214">
        <v>537</v>
      </c>
      <c r="T214">
        <v>89</v>
      </c>
      <c r="U214">
        <f t="shared" si="7"/>
        <v>4242</v>
      </c>
      <c r="V214">
        <v>1106</v>
      </c>
      <c r="W214">
        <v>76</v>
      </c>
      <c r="X214">
        <v>49</v>
      </c>
      <c r="Y214">
        <v>48</v>
      </c>
      <c r="Z214">
        <v>42</v>
      </c>
      <c r="AA214">
        <v>5</v>
      </c>
      <c r="AB214">
        <v>119</v>
      </c>
      <c r="AC214">
        <v>73</v>
      </c>
      <c r="AD214" s="1">
        <v>84</v>
      </c>
      <c r="AE214" s="1">
        <v>78</v>
      </c>
      <c r="AF214">
        <v>4.1100000000000003</v>
      </c>
    </row>
    <row r="215" spans="1:32" x14ac:dyDescent="0.2">
      <c r="A215" s="52">
        <v>2007</v>
      </c>
      <c r="B215" t="s">
        <v>45</v>
      </c>
      <c r="C215" t="s">
        <v>163</v>
      </c>
      <c r="D215">
        <v>652</v>
      </c>
      <c r="E215">
        <v>162</v>
      </c>
      <c r="F215">
        <v>4</v>
      </c>
      <c r="G215">
        <v>9</v>
      </c>
      <c r="H215">
        <v>158</v>
      </c>
      <c r="I215">
        <v>30</v>
      </c>
      <c r="J215">
        <v>1438.2</v>
      </c>
      <c r="K215">
        <v>6418</v>
      </c>
      <c r="L215">
        <v>1491</v>
      </c>
      <c r="M215" s="1">
        <v>868</v>
      </c>
      <c r="N215">
        <f t="shared" si="6"/>
        <v>1030</v>
      </c>
      <c r="O215">
        <v>283</v>
      </c>
      <c r="P215">
        <v>17</v>
      </c>
      <c r="Q215">
        <v>161</v>
      </c>
      <c r="R215">
        <v>827</v>
      </c>
      <c r="S215">
        <v>696</v>
      </c>
      <c r="T215">
        <v>37</v>
      </c>
      <c r="U215">
        <f t="shared" si="7"/>
        <v>4159</v>
      </c>
      <c r="V215">
        <v>1087</v>
      </c>
      <c r="W215">
        <v>41</v>
      </c>
      <c r="X215">
        <v>50</v>
      </c>
      <c r="Y215">
        <v>55</v>
      </c>
      <c r="Z215">
        <v>72</v>
      </c>
      <c r="AA215">
        <v>8</v>
      </c>
      <c r="AB215">
        <v>133</v>
      </c>
      <c r="AC215">
        <v>56</v>
      </c>
      <c r="AD215" s="1">
        <v>69</v>
      </c>
      <c r="AE215" s="1">
        <v>93</v>
      </c>
      <c r="AF215">
        <v>5.17</v>
      </c>
    </row>
    <row r="216" spans="1:32" x14ac:dyDescent="0.2">
      <c r="A216" s="52">
        <v>2007</v>
      </c>
      <c r="B216" t="s">
        <v>47</v>
      </c>
      <c r="C216" t="s">
        <v>163</v>
      </c>
      <c r="D216">
        <v>613</v>
      </c>
      <c r="E216">
        <v>162</v>
      </c>
      <c r="F216">
        <v>5</v>
      </c>
      <c r="G216">
        <v>13</v>
      </c>
      <c r="H216">
        <v>157</v>
      </c>
      <c r="I216">
        <v>45</v>
      </c>
      <c r="J216">
        <v>1438.2</v>
      </c>
      <c r="K216">
        <v>6071</v>
      </c>
      <c r="L216">
        <v>1350</v>
      </c>
      <c r="M216" s="1">
        <v>657</v>
      </c>
      <c r="N216">
        <f t="shared" si="6"/>
        <v>884</v>
      </c>
      <c r="O216">
        <v>295</v>
      </c>
      <c r="P216">
        <v>20</v>
      </c>
      <c r="Q216">
        <v>151</v>
      </c>
      <c r="R216">
        <v>618</v>
      </c>
      <c r="S216">
        <v>482</v>
      </c>
      <c r="T216">
        <v>20</v>
      </c>
      <c r="U216">
        <f t="shared" si="7"/>
        <v>4177</v>
      </c>
      <c r="V216">
        <v>1149</v>
      </c>
      <c r="W216">
        <v>32</v>
      </c>
      <c r="X216">
        <v>34</v>
      </c>
      <c r="Y216">
        <v>33</v>
      </c>
      <c r="Z216">
        <v>62</v>
      </c>
      <c r="AA216">
        <v>0</v>
      </c>
      <c r="AB216">
        <v>115</v>
      </c>
      <c r="AC216">
        <v>55</v>
      </c>
      <c r="AD216" s="1">
        <v>96</v>
      </c>
      <c r="AE216" s="1">
        <v>66</v>
      </c>
      <c r="AF216">
        <v>3.87</v>
      </c>
    </row>
    <row r="217" spans="1:32" x14ac:dyDescent="0.2">
      <c r="A217" s="52">
        <v>2007</v>
      </c>
      <c r="B217" t="s">
        <v>157</v>
      </c>
      <c r="C217" t="s">
        <v>38</v>
      </c>
      <c r="D217">
        <v>640</v>
      </c>
      <c r="E217">
        <v>162</v>
      </c>
      <c r="F217">
        <v>2</v>
      </c>
      <c r="G217">
        <v>10</v>
      </c>
      <c r="H217">
        <v>160</v>
      </c>
      <c r="I217">
        <v>39</v>
      </c>
      <c r="J217">
        <v>1446.2</v>
      </c>
      <c r="K217">
        <v>6186</v>
      </c>
      <c r="L217">
        <v>1340</v>
      </c>
      <c r="M217" s="1">
        <v>690</v>
      </c>
      <c r="N217">
        <f t="shared" si="6"/>
        <v>866</v>
      </c>
      <c r="O217">
        <v>280</v>
      </c>
      <c r="P217">
        <v>29</v>
      </c>
      <c r="Q217">
        <v>165</v>
      </c>
      <c r="R217">
        <v>650</v>
      </c>
      <c r="S217">
        <v>573</v>
      </c>
      <c r="T217">
        <v>46</v>
      </c>
      <c r="U217">
        <f t="shared" si="7"/>
        <v>4214</v>
      </c>
      <c r="V217">
        <v>1211</v>
      </c>
      <c r="W217">
        <v>68</v>
      </c>
      <c r="X217">
        <v>33</v>
      </c>
      <c r="Y217">
        <v>42</v>
      </c>
      <c r="Z217">
        <v>59</v>
      </c>
      <c r="AA217">
        <v>3</v>
      </c>
      <c r="AB217">
        <v>117</v>
      </c>
      <c r="AC217">
        <v>64</v>
      </c>
      <c r="AD217" s="1">
        <v>85</v>
      </c>
      <c r="AE217" s="1">
        <v>77</v>
      </c>
      <c r="AF217">
        <v>4.04</v>
      </c>
    </row>
    <row r="218" spans="1:32" x14ac:dyDescent="0.2">
      <c r="A218" s="52">
        <v>2007</v>
      </c>
      <c r="B218" t="s">
        <v>157</v>
      </c>
      <c r="C218" t="s">
        <v>163</v>
      </c>
      <c r="D218">
        <v>625</v>
      </c>
      <c r="E218">
        <v>162</v>
      </c>
      <c r="F218">
        <v>9</v>
      </c>
      <c r="G218">
        <v>9</v>
      </c>
      <c r="H218">
        <v>153</v>
      </c>
      <c r="I218">
        <v>42</v>
      </c>
      <c r="J218">
        <v>1440.2</v>
      </c>
      <c r="K218">
        <v>6293</v>
      </c>
      <c r="L218">
        <v>1556</v>
      </c>
      <c r="M218" s="1">
        <v>839</v>
      </c>
      <c r="N218">
        <f t="shared" si="6"/>
        <v>1049</v>
      </c>
      <c r="O218">
        <v>297</v>
      </c>
      <c r="P218">
        <v>36</v>
      </c>
      <c r="Q218">
        <v>174</v>
      </c>
      <c r="R218">
        <v>763</v>
      </c>
      <c r="S218">
        <v>499</v>
      </c>
      <c r="T218">
        <v>50</v>
      </c>
      <c r="U218">
        <f t="shared" si="7"/>
        <v>4179</v>
      </c>
      <c r="V218">
        <v>1015</v>
      </c>
      <c r="W218">
        <v>46</v>
      </c>
      <c r="X218">
        <v>58</v>
      </c>
      <c r="Y218">
        <v>45</v>
      </c>
      <c r="Z218">
        <v>59</v>
      </c>
      <c r="AA218">
        <v>0</v>
      </c>
      <c r="AB218">
        <v>138</v>
      </c>
      <c r="AC218">
        <v>76</v>
      </c>
      <c r="AD218" s="1">
        <v>72</v>
      </c>
      <c r="AE218" s="1">
        <v>90</v>
      </c>
      <c r="AF218">
        <v>4.7699999999999996</v>
      </c>
    </row>
    <row r="219" spans="1:32" x14ac:dyDescent="0.2">
      <c r="A219" s="52">
        <v>2007</v>
      </c>
      <c r="B219" t="s">
        <v>53</v>
      </c>
      <c r="C219" t="s">
        <v>38</v>
      </c>
      <c r="D219">
        <v>684</v>
      </c>
      <c r="E219">
        <v>162</v>
      </c>
      <c r="F219">
        <v>6</v>
      </c>
      <c r="G219">
        <v>7</v>
      </c>
      <c r="H219">
        <v>156</v>
      </c>
      <c r="I219">
        <v>34</v>
      </c>
      <c r="J219">
        <v>1449.2</v>
      </c>
      <c r="K219">
        <v>6354</v>
      </c>
      <c r="L219">
        <v>1605</v>
      </c>
      <c r="M219" s="1">
        <v>853</v>
      </c>
      <c r="N219">
        <f t="shared" si="6"/>
        <v>1036</v>
      </c>
      <c r="O219">
        <v>345</v>
      </c>
      <c r="P219">
        <v>26</v>
      </c>
      <c r="Q219">
        <v>198</v>
      </c>
      <c r="R219">
        <v>796</v>
      </c>
      <c r="S219">
        <v>482</v>
      </c>
      <c r="T219">
        <v>47</v>
      </c>
      <c r="U219">
        <f t="shared" si="7"/>
        <v>4194</v>
      </c>
      <c r="V219">
        <v>1068</v>
      </c>
      <c r="W219">
        <v>61</v>
      </c>
      <c r="X219">
        <v>49</v>
      </c>
      <c r="Y219">
        <v>54</v>
      </c>
      <c r="Z219">
        <v>73</v>
      </c>
      <c r="AA219">
        <v>5</v>
      </c>
      <c r="AB219">
        <v>130</v>
      </c>
      <c r="AC219">
        <v>62</v>
      </c>
      <c r="AD219" s="1">
        <v>72</v>
      </c>
      <c r="AE219" s="1">
        <v>90</v>
      </c>
      <c r="AF219">
        <v>4.9400000000000004</v>
      </c>
    </row>
    <row r="220" spans="1:32" x14ac:dyDescent="0.2">
      <c r="A220" s="52">
        <v>2007</v>
      </c>
      <c r="B220" t="s">
        <v>55</v>
      </c>
      <c r="C220" t="s">
        <v>163</v>
      </c>
      <c r="D220">
        <v>557</v>
      </c>
      <c r="E220">
        <v>162</v>
      </c>
      <c r="F220">
        <v>9</v>
      </c>
      <c r="G220">
        <v>9</v>
      </c>
      <c r="H220">
        <v>153</v>
      </c>
      <c r="I220">
        <v>49</v>
      </c>
      <c r="J220">
        <v>1462.2</v>
      </c>
      <c r="K220">
        <v>6206</v>
      </c>
      <c r="L220">
        <v>1519</v>
      </c>
      <c r="M220" s="1">
        <v>704</v>
      </c>
      <c r="N220">
        <f t="shared" si="6"/>
        <v>1045</v>
      </c>
      <c r="O220">
        <v>306</v>
      </c>
      <c r="P220">
        <v>22</v>
      </c>
      <c r="Q220">
        <v>146</v>
      </c>
      <c r="R220">
        <v>658</v>
      </c>
      <c r="S220">
        <v>410</v>
      </c>
      <c r="T220">
        <v>42</v>
      </c>
      <c r="U220">
        <f t="shared" si="7"/>
        <v>4221</v>
      </c>
      <c r="V220">
        <v>1047</v>
      </c>
      <c r="W220">
        <v>32</v>
      </c>
      <c r="X220">
        <v>45</v>
      </c>
      <c r="Y220">
        <v>42</v>
      </c>
      <c r="Z220">
        <v>56</v>
      </c>
      <c r="AA220">
        <v>2</v>
      </c>
      <c r="AB220">
        <v>136</v>
      </c>
      <c r="AC220">
        <v>63</v>
      </c>
      <c r="AD220" s="1">
        <v>96</v>
      </c>
      <c r="AE220" s="1">
        <v>66</v>
      </c>
      <c r="AF220">
        <v>4.05</v>
      </c>
    </row>
    <row r="221" spans="1:32" x14ac:dyDescent="0.2">
      <c r="A221" s="52">
        <v>2007</v>
      </c>
      <c r="B221" t="s">
        <v>57</v>
      </c>
      <c r="C221" t="s">
        <v>38</v>
      </c>
      <c r="D221">
        <v>692</v>
      </c>
      <c r="E221">
        <v>163</v>
      </c>
      <c r="F221">
        <v>4</v>
      </c>
      <c r="G221">
        <v>7</v>
      </c>
      <c r="H221">
        <v>159</v>
      </c>
      <c r="I221">
        <v>39</v>
      </c>
      <c r="J221">
        <v>1472</v>
      </c>
      <c r="K221">
        <v>6293</v>
      </c>
      <c r="L221">
        <v>1497</v>
      </c>
      <c r="M221" s="1">
        <v>758</v>
      </c>
      <c r="N221">
        <f t="shared" si="6"/>
        <v>990</v>
      </c>
      <c r="O221">
        <v>298</v>
      </c>
      <c r="P221">
        <v>45</v>
      </c>
      <c r="Q221">
        <v>164</v>
      </c>
      <c r="R221">
        <v>706</v>
      </c>
      <c r="S221">
        <v>504</v>
      </c>
      <c r="T221">
        <v>61</v>
      </c>
      <c r="U221">
        <f t="shared" si="7"/>
        <v>4233</v>
      </c>
      <c r="V221">
        <v>967</v>
      </c>
      <c r="W221">
        <v>60</v>
      </c>
      <c r="X221">
        <v>50</v>
      </c>
      <c r="Y221">
        <v>35</v>
      </c>
      <c r="Z221">
        <v>59</v>
      </c>
      <c r="AA221">
        <v>8</v>
      </c>
      <c r="AB221">
        <v>154</v>
      </c>
      <c r="AC221">
        <v>49</v>
      </c>
      <c r="AD221" s="1">
        <v>90</v>
      </c>
      <c r="AE221" s="1">
        <v>73</v>
      </c>
      <c r="AF221">
        <v>4.32</v>
      </c>
    </row>
    <row r="222" spans="1:32" x14ac:dyDescent="0.2">
      <c r="A222" s="52">
        <v>2007</v>
      </c>
      <c r="B222" t="s">
        <v>59</v>
      </c>
      <c r="C222" t="s">
        <v>163</v>
      </c>
      <c r="D222">
        <v>605</v>
      </c>
      <c r="E222">
        <v>162</v>
      </c>
      <c r="F222">
        <v>1</v>
      </c>
      <c r="G222">
        <v>9</v>
      </c>
      <c r="H222">
        <v>161</v>
      </c>
      <c r="I222">
        <v>44</v>
      </c>
      <c r="J222">
        <v>1447.1</v>
      </c>
      <c r="K222">
        <v>6345</v>
      </c>
      <c r="L222">
        <v>1498</v>
      </c>
      <c r="M222" s="1">
        <v>797</v>
      </c>
      <c r="N222">
        <f t="shared" si="6"/>
        <v>990</v>
      </c>
      <c r="O222">
        <v>288</v>
      </c>
      <c r="P222">
        <v>46</v>
      </c>
      <c r="Q222">
        <v>174</v>
      </c>
      <c r="R222">
        <v>735</v>
      </c>
      <c r="S222">
        <v>566</v>
      </c>
      <c r="T222">
        <v>41</v>
      </c>
      <c r="U222">
        <f t="shared" si="7"/>
        <v>4213</v>
      </c>
      <c r="V222">
        <v>1047</v>
      </c>
      <c r="W222">
        <v>35</v>
      </c>
      <c r="X222">
        <v>49</v>
      </c>
      <c r="Y222">
        <v>75</v>
      </c>
      <c r="Z222">
        <v>68</v>
      </c>
      <c r="AA222">
        <v>8</v>
      </c>
      <c r="AB222">
        <v>125</v>
      </c>
      <c r="AC222">
        <v>72</v>
      </c>
      <c r="AD222" s="1">
        <v>88</v>
      </c>
      <c r="AE222" s="1">
        <v>74</v>
      </c>
      <c r="AF222">
        <v>4.57</v>
      </c>
    </row>
    <row r="223" spans="1:32" x14ac:dyDescent="0.2">
      <c r="A223" s="52">
        <v>2007</v>
      </c>
      <c r="B223" t="s">
        <v>160</v>
      </c>
      <c r="C223" t="s">
        <v>38</v>
      </c>
      <c r="D223">
        <v>722</v>
      </c>
      <c r="E223">
        <v>162</v>
      </c>
      <c r="F223">
        <v>0</v>
      </c>
      <c r="G223">
        <v>4</v>
      </c>
      <c r="H223">
        <v>162</v>
      </c>
      <c r="I223">
        <v>40</v>
      </c>
      <c r="J223">
        <v>1443.2</v>
      </c>
      <c r="K223">
        <v>6544</v>
      </c>
      <c r="L223">
        <v>1617</v>
      </c>
      <c r="M223" s="1">
        <v>891</v>
      </c>
      <c r="N223">
        <f t="shared" si="6"/>
        <v>1108</v>
      </c>
      <c r="O223">
        <v>302</v>
      </c>
      <c r="P223">
        <v>31</v>
      </c>
      <c r="Q223">
        <v>176</v>
      </c>
      <c r="R223">
        <v>793</v>
      </c>
      <c r="S223">
        <v>661</v>
      </c>
      <c r="T223">
        <v>60</v>
      </c>
      <c r="U223">
        <f t="shared" si="7"/>
        <v>4190</v>
      </c>
      <c r="V223">
        <v>1142</v>
      </c>
      <c r="W223">
        <v>77</v>
      </c>
      <c r="X223">
        <v>57</v>
      </c>
      <c r="Y223">
        <v>67</v>
      </c>
      <c r="Z223">
        <v>76</v>
      </c>
      <c r="AA223">
        <v>9</v>
      </c>
      <c r="AB223">
        <v>128</v>
      </c>
      <c r="AC223">
        <v>87</v>
      </c>
      <c r="AD223" s="1">
        <v>71</v>
      </c>
      <c r="AE223" s="1">
        <v>91</v>
      </c>
      <c r="AF223">
        <v>4.9400000000000004</v>
      </c>
    </row>
    <row r="224" spans="1:32" x14ac:dyDescent="0.2">
      <c r="A224" s="52">
        <v>2007</v>
      </c>
      <c r="B224" t="s">
        <v>63</v>
      </c>
      <c r="C224" t="s">
        <v>38</v>
      </c>
      <c r="D224">
        <v>638</v>
      </c>
      <c r="E224">
        <v>162</v>
      </c>
      <c r="F224">
        <v>2</v>
      </c>
      <c r="G224">
        <v>6</v>
      </c>
      <c r="H224">
        <v>160</v>
      </c>
      <c r="I224">
        <v>38</v>
      </c>
      <c r="J224">
        <v>1464.2</v>
      </c>
      <c r="K224">
        <v>6417</v>
      </c>
      <c r="L224">
        <v>1566</v>
      </c>
      <c r="M224" s="1">
        <v>813</v>
      </c>
      <c r="N224">
        <f t="shared" si="6"/>
        <v>978</v>
      </c>
      <c r="O224">
        <v>345</v>
      </c>
      <c r="P224">
        <v>37</v>
      </c>
      <c r="Q224">
        <v>206</v>
      </c>
      <c r="R224">
        <v>761</v>
      </c>
      <c r="S224">
        <v>510</v>
      </c>
      <c r="T224">
        <v>62</v>
      </c>
      <c r="U224">
        <f t="shared" si="7"/>
        <v>4278</v>
      </c>
      <c r="V224">
        <v>1109</v>
      </c>
      <c r="W224">
        <v>63</v>
      </c>
      <c r="X224">
        <v>52</v>
      </c>
      <c r="Y224">
        <v>40</v>
      </c>
      <c r="Z224">
        <v>63</v>
      </c>
      <c r="AA224">
        <v>3</v>
      </c>
      <c r="AB224">
        <v>112</v>
      </c>
      <c r="AC224">
        <v>71</v>
      </c>
      <c r="AD224" s="1">
        <v>73</v>
      </c>
      <c r="AE224" s="1">
        <v>89</v>
      </c>
      <c r="AF224">
        <v>4.68</v>
      </c>
    </row>
    <row r="225" spans="1:32" x14ac:dyDescent="0.2">
      <c r="A225" s="52">
        <v>2007</v>
      </c>
      <c r="B225" t="s">
        <v>164</v>
      </c>
      <c r="C225" t="s">
        <v>163</v>
      </c>
      <c r="D225">
        <v>610</v>
      </c>
      <c r="E225">
        <v>162</v>
      </c>
      <c r="F225">
        <v>2</v>
      </c>
      <c r="G225">
        <v>6</v>
      </c>
      <c r="H225">
        <v>160</v>
      </c>
      <c r="I225">
        <v>36</v>
      </c>
      <c r="J225">
        <v>1437.1</v>
      </c>
      <c r="K225">
        <v>6253</v>
      </c>
      <c r="L225">
        <v>1547</v>
      </c>
      <c r="M225" s="1">
        <v>778</v>
      </c>
      <c r="N225">
        <f t="shared" si="6"/>
        <v>969</v>
      </c>
      <c r="O225">
        <v>380</v>
      </c>
      <c r="P225">
        <v>30</v>
      </c>
      <c r="Q225">
        <v>168</v>
      </c>
      <c r="R225">
        <v>716</v>
      </c>
      <c r="S225">
        <v>520</v>
      </c>
      <c r="T225">
        <v>54</v>
      </c>
      <c r="U225">
        <f t="shared" si="7"/>
        <v>4145</v>
      </c>
      <c r="V225">
        <v>993</v>
      </c>
      <c r="W225">
        <v>38</v>
      </c>
      <c r="X225">
        <v>59</v>
      </c>
      <c r="Y225">
        <v>56</v>
      </c>
      <c r="Z225">
        <v>41</v>
      </c>
      <c r="AA225">
        <v>4</v>
      </c>
      <c r="AB225">
        <v>138</v>
      </c>
      <c r="AC225">
        <v>59</v>
      </c>
      <c r="AD225" s="1">
        <v>69</v>
      </c>
      <c r="AE225" s="1">
        <v>93</v>
      </c>
      <c r="AF225">
        <v>4.4800000000000004</v>
      </c>
    </row>
    <row r="226" spans="1:32" x14ac:dyDescent="0.2">
      <c r="A226" s="52">
        <v>2007</v>
      </c>
      <c r="B226" t="s">
        <v>159</v>
      </c>
      <c r="C226" t="s">
        <v>38</v>
      </c>
      <c r="D226">
        <v>645</v>
      </c>
      <c r="E226">
        <v>162</v>
      </c>
      <c r="F226">
        <v>4</v>
      </c>
      <c r="G226">
        <v>6</v>
      </c>
      <c r="H226">
        <v>158</v>
      </c>
      <c r="I226">
        <v>43</v>
      </c>
      <c r="J226">
        <v>1450</v>
      </c>
      <c r="K226">
        <v>6196</v>
      </c>
      <c r="L226">
        <v>1443</v>
      </c>
      <c r="M226" s="1">
        <v>727</v>
      </c>
      <c r="N226">
        <f t="shared" si="6"/>
        <v>996</v>
      </c>
      <c r="O226">
        <v>279</v>
      </c>
      <c r="P226">
        <v>22</v>
      </c>
      <c r="Q226">
        <v>146</v>
      </c>
      <c r="R226">
        <v>677</v>
      </c>
      <c r="S226">
        <v>518</v>
      </c>
      <c r="T226">
        <v>34</v>
      </c>
      <c r="U226">
        <f t="shared" si="7"/>
        <v>4197</v>
      </c>
      <c r="V226">
        <v>1184</v>
      </c>
      <c r="W226">
        <v>70</v>
      </c>
      <c r="X226">
        <v>42</v>
      </c>
      <c r="Y226">
        <v>44</v>
      </c>
      <c r="Z226">
        <v>38</v>
      </c>
      <c r="AA226">
        <v>5</v>
      </c>
      <c r="AB226">
        <v>142</v>
      </c>
      <c r="AC226">
        <v>72</v>
      </c>
      <c r="AD226" s="1">
        <v>82</v>
      </c>
      <c r="AE226" s="1">
        <v>80</v>
      </c>
      <c r="AF226">
        <v>4.2</v>
      </c>
    </row>
    <row r="227" spans="1:32" x14ac:dyDescent="0.2">
      <c r="A227" s="52">
        <v>2007</v>
      </c>
      <c r="B227" t="s">
        <v>69</v>
      </c>
      <c r="C227" t="s">
        <v>38</v>
      </c>
      <c r="D227">
        <v>654</v>
      </c>
      <c r="E227">
        <v>162</v>
      </c>
      <c r="F227">
        <v>3</v>
      </c>
      <c r="G227">
        <v>6</v>
      </c>
      <c r="H227">
        <v>159</v>
      </c>
      <c r="I227">
        <v>49</v>
      </c>
      <c r="J227">
        <v>1444.1</v>
      </c>
      <c r="K227">
        <v>6285</v>
      </c>
      <c r="L227">
        <v>1513</v>
      </c>
      <c r="M227" s="1">
        <v>776</v>
      </c>
      <c r="N227">
        <f t="shared" si="6"/>
        <v>1005</v>
      </c>
      <c r="O227">
        <v>321</v>
      </c>
      <c r="P227">
        <v>26</v>
      </c>
      <c r="Q227">
        <v>161</v>
      </c>
      <c r="R227">
        <v>708</v>
      </c>
      <c r="S227">
        <v>507</v>
      </c>
      <c r="T227">
        <v>37</v>
      </c>
      <c r="U227">
        <f t="shared" si="7"/>
        <v>4213</v>
      </c>
      <c r="V227">
        <v>1174</v>
      </c>
      <c r="W227">
        <v>58</v>
      </c>
      <c r="X227">
        <v>48</v>
      </c>
      <c r="Y227">
        <v>57</v>
      </c>
      <c r="Z227">
        <v>52</v>
      </c>
      <c r="AA227">
        <v>2</v>
      </c>
      <c r="AB227">
        <v>125</v>
      </c>
      <c r="AC227">
        <v>77</v>
      </c>
      <c r="AD227" s="1">
        <v>83</v>
      </c>
      <c r="AE227" s="1">
        <v>79</v>
      </c>
      <c r="AF227">
        <v>4.41</v>
      </c>
    </row>
    <row r="228" spans="1:32" x14ac:dyDescent="0.2">
      <c r="A228" s="52">
        <v>2007</v>
      </c>
      <c r="B228" t="s">
        <v>71</v>
      </c>
      <c r="C228" t="s">
        <v>163</v>
      </c>
      <c r="D228">
        <v>600</v>
      </c>
      <c r="E228">
        <v>162</v>
      </c>
      <c r="F228">
        <v>5</v>
      </c>
      <c r="G228">
        <v>8</v>
      </c>
      <c r="H228">
        <v>157</v>
      </c>
      <c r="I228">
        <v>38</v>
      </c>
      <c r="J228">
        <v>1436.2</v>
      </c>
      <c r="K228">
        <v>6133</v>
      </c>
      <c r="L228">
        <v>1505</v>
      </c>
      <c r="M228" s="1">
        <v>725</v>
      </c>
      <c r="N228">
        <f t="shared" si="6"/>
        <v>996</v>
      </c>
      <c r="O228">
        <v>297</v>
      </c>
      <c r="P228">
        <v>27</v>
      </c>
      <c r="Q228">
        <v>185</v>
      </c>
      <c r="R228">
        <v>663</v>
      </c>
      <c r="S228">
        <v>420</v>
      </c>
      <c r="T228">
        <v>33</v>
      </c>
      <c r="U228">
        <f t="shared" si="7"/>
        <v>4157</v>
      </c>
      <c r="V228">
        <v>1094</v>
      </c>
      <c r="W228">
        <v>34</v>
      </c>
      <c r="X228">
        <v>40</v>
      </c>
      <c r="Y228">
        <v>46</v>
      </c>
      <c r="Z228">
        <v>51</v>
      </c>
      <c r="AA228">
        <v>5</v>
      </c>
      <c r="AB228">
        <v>128</v>
      </c>
      <c r="AC228">
        <v>62</v>
      </c>
      <c r="AD228" s="1">
        <v>79</v>
      </c>
      <c r="AE228" s="1">
        <v>83</v>
      </c>
      <c r="AF228">
        <v>4.1500000000000004</v>
      </c>
    </row>
    <row r="229" spans="1:32" x14ac:dyDescent="0.2">
      <c r="A229" s="52">
        <v>2007</v>
      </c>
      <c r="B229" t="s">
        <v>158</v>
      </c>
      <c r="C229" t="s">
        <v>38</v>
      </c>
      <c r="D229">
        <v>661</v>
      </c>
      <c r="E229">
        <v>162</v>
      </c>
      <c r="F229">
        <v>2</v>
      </c>
      <c r="G229">
        <v>10</v>
      </c>
      <c r="H229">
        <v>160</v>
      </c>
      <c r="I229">
        <v>39</v>
      </c>
      <c r="J229">
        <v>1452.1</v>
      </c>
      <c r="K229">
        <v>6293</v>
      </c>
      <c r="L229">
        <v>1415</v>
      </c>
      <c r="M229" s="1">
        <v>750</v>
      </c>
      <c r="N229">
        <f t="shared" si="6"/>
        <v>921</v>
      </c>
      <c r="O229">
        <v>296</v>
      </c>
      <c r="P229">
        <v>33</v>
      </c>
      <c r="Q229">
        <v>165</v>
      </c>
      <c r="R229">
        <v>687</v>
      </c>
      <c r="S229">
        <v>570</v>
      </c>
      <c r="T229">
        <v>40</v>
      </c>
      <c r="U229">
        <f t="shared" si="7"/>
        <v>4247</v>
      </c>
      <c r="V229">
        <v>1134</v>
      </c>
      <c r="W229">
        <v>66</v>
      </c>
      <c r="X229">
        <v>38</v>
      </c>
      <c r="Y229">
        <v>36</v>
      </c>
      <c r="Z229">
        <v>61</v>
      </c>
      <c r="AA229">
        <v>3</v>
      </c>
      <c r="AB229">
        <v>110</v>
      </c>
      <c r="AC229">
        <v>66</v>
      </c>
      <c r="AD229" s="1">
        <v>88</v>
      </c>
      <c r="AE229" s="1">
        <v>74</v>
      </c>
      <c r="AF229">
        <v>4.26</v>
      </c>
    </row>
    <row r="230" spans="1:32" x14ac:dyDescent="0.2">
      <c r="A230" s="52">
        <v>2007</v>
      </c>
      <c r="B230" t="s">
        <v>158</v>
      </c>
      <c r="C230" t="s">
        <v>163</v>
      </c>
      <c r="D230">
        <v>684</v>
      </c>
      <c r="E230">
        <v>162</v>
      </c>
      <c r="F230">
        <v>1</v>
      </c>
      <c r="G230">
        <v>5</v>
      </c>
      <c r="H230">
        <v>161</v>
      </c>
      <c r="I230">
        <v>34</v>
      </c>
      <c r="J230">
        <v>1450.2</v>
      </c>
      <c r="K230">
        <v>6308</v>
      </c>
      <c r="L230">
        <v>1498</v>
      </c>
      <c r="M230" s="1">
        <v>777</v>
      </c>
      <c r="N230">
        <f t="shared" si="6"/>
        <v>994</v>
      </c>
      <c r="O230">
        <v>327</v>
      </c>
      <c r="P230">
        <v>27</v>
      </c>
      <c r="Q230">
        <v>150</v>
      </c>
      <c r="R230">
        <v>724</v>
      </c>
      <c r="S230">
        <v>578</v>
      </c>
      <c r="T230">
        <v>33</v>
      </c>
      <c r="U230">
        <f t="shared" si="7"/>
        <v>4172</v>
      </c>
      <c r="V230">
        <v>1009</v>
      </c>
      <c r="W230">
        <v>31</v>
      </c>
      <c r="X230">
        <v>51</v>
      </c>
      <c r="Y230">
        <v>59</v>
      </c>
      <c r="Z230">
        <v>60</v>
      </c>
      <c r="AA230">
        <v>6</v>
      </c>
      <c r="AB230">
        <v>151</v>
      </c>
      <c r="AC230">
        <v>64</v>
      </c>
      <c r="AD230" s="1">
        <v>94</v>
      </c>
      <c r="AE230" s="1">
        <v>68</v>
      </c>
      <c r="AF230">
        <v>4.49</v>
      </c>
    </row>
    <row r="231" spans="1:32" x14ac:dyDescent="0.2">
      <c r="A231" s="52">
        <v>2007</v>
      </c>
      <c r="B231" t="s">
        <v>79</v>
      </c>
      <c r="C231" t="s">
        <v>163</v>
      </c>
      <c r="D231">
        <v>608</v>
      </c>
      <c r="E231">
        <v>162</v>
      </c>
      <c r="F231">
        <v>4</v>
      </c>
      <c r="G231">
        <v>9</v>
      </c>
      <c r="H231">
        <v>158</v>
      </c>
      <c r="I231">
        <v>36</v>
      </c>
      <c r="J231">
        <v>1448</v>
      </c>
      <c r="K231">
        <v>6247</v>
      </c>
      <c r="L231">
        <v>1468</v>
      </c>
      <c r="M231" s="1">
        <v>758</v>
      </c>
      <c r="N231">
        <f t="shared" si="6"/>
        <v>1003</v>
      </c>
      <c r="O231">
        <v>282</v>
      </c>
      <c r="P231">
        <v>45</v>
      </c>
      <c r="Q231">
        <v>138</v>
      </c>
      <c r="R231">
        <v>689</v>
      </c>
      <c r="S231">
        <v>530</v>
      </c>
      <c r="T231">
        <v>60</v>
      </c>
      <c r="U231">
        <f t="shared" si="7"/>
        <v>4206</v>
      </c>
      <c r="V231">
        <v>1036</v>
      </c>
      <c r="W231">
        <v>40</v>
      </c>
      <c r="X231">
        <v>60</v>
      </c>
      <c r="Y231">
        <v>52</v>
      </c>
      <c r="Z231">
        <v>43</v>
      </c>
      <c r="AA231">
        <v>4</v>
      </c>
      <c r="AB231">
        <v>135</v>
      </c>
      <c r="AC231">
        <v>60</v>
      </c>
      <c r="AD231" s="1">
        <v>76</v>
      </c>
      <c r="AE231" s="1">
        <v>86</v>
      </c>
      <c r="AF231">
        <v>4.28</v>
      </c>
    </row>
    <row r="232" spans="1:32" x14ac:dyDescent="0.2">
      <c r="A232" s="52">
        <v>2007</v>
      </c>
      <c r="B232" t="s">
        <v>81</v>
      </c>
      <c r="C232" t="s">
        <v>38</v>
      </c>
      <c r="D232">
        <v>660</v>
      </c>
      <c r="E232">
        <v>162</v>
      </c>
      <c r="F232">
        <v>5</v>
      </c>
      <c r="G232">
        <v>5</v>
      </c>
      <c r="H232">
        <v>157</v>
      </c>
      <c r="I232">
        <v>42</v>
      </c>
      <c r="J232">
        <v>1458.1</v>
      </c>
      <c r="K232">
        <v>6385</v>
      </c>
      <c r="L232">
        <v>1555</v>
      </c>
      <c r="M232" s="1">
        <v>821</v>
      </c>
      <c r="N232">
        <f t="shared" si="6"/>
        <v>986</v>
      </c>
      <c r="O232">
        <v>345</v>
      </c>
      <c r="P232">
        <v>26</v>
      </c>
      <c r="Q232">
        <v>198</v>
      </c>
      <c r="R232">
        <v>767</v>
      </c>
      <c r="S232">
        <v>558</v>
      </c>
      <c r="T232">
        <v>62</v>
      </c>
      <c r="U232">
        <f t="shared" si="7"/>
        <v>4200</v>
      </c>
      <c r="V232">
        <v>1050</v>
      </c>
      <c r="W232">
        <v>66</v>
      </c>
      <c r="X232">
        <v>47</v>
      </c>
      <c r="Y232">
        <v>46</v>
      </c>
      <c r="Z232">
        <v>72</v>
      </c>
      <c r="AA232">
        <v>3</v>
      </c>
      <c r="AB232">
        <v>135</v>
      </c>
      <c r="AC232">
        <v>64</v>
      </c>
      <c r="AD232" s="1">
        <v>89</v>
      </c>
      <c r="AE232" s="1">
        <v>73</v>
      </c>
      <c r="AF232">
        <v>4.7300000000000004</v>
      </c>
    </row>
    <row r="233" spans="1:32" x14ac:dyDescent="0.2">
      <c r="A233" s="52">
        <v>2007</v>
      </c>
      <c r="B233" t="s">
        <v>83</v>
      </c>
      <c r="C233" t="s">
        <v>38</v>
      </c>
      <c r="D233">
        <v>657</v>
      </c>
      <c r="E233">
        <v>162</v>
      </c>
      <c r="F233">
        <v>4</v>
      </c>
      <c r="G233">
        <v>5</v>
      </c>
      <c r="H233">
        <v>158</v>
      </c>
      <c r="I233">
        <v>32</v>
      </c>
      <c r="J233">
        <v>1447.2</v>
      </c>
      <c r="K233">
        <v>6374</v>
      </c>
      <c r="L233">
        <v>1627</v>
      </c>
      <c r="M233" s="1">
        <v>846</v>
      </c>
      <c r="N233">
        <f t="shared" si="6"/>
        <v>1095</v>
      </c>
      <c r="O233">
        <v>337</v>
      </c>
      <c r="P233">
        <v>21</v>
      </c>
      <c r="Q233">
        <v>174</v>
      </c>
      <c r="R233">
        <v>793</v>
      </c>
      <c r="S233">
        <v>518</v>
      </c>
      <c r="T233">
        <v>55</v>
      </c>
      <c r="U233">
        <f t="shared" si="7"/>
        <v>4153</v>
      </c>
      <c r="V233">
        <v>997</v>
      </c>
      <c r="W233">
        <v>66</v>
      </c>
      <c r="X233">
        <v>60</v>
      </c>
      <c r="Y233">
        <v>45</v>
      </c>
      <c r="Z233">
        <v>76</v>
      </c>
      <c r="AA233">
        <v>3</v>
      </c>
      <c r="AB233">
        <v>163</v>
      </c>
      <c r="AC233">
        <v>57</v>
      </c>
      <c r="AD233" s="1">
        <v>68</v>
      </c>
      <c r="AE233" s="1">
        <v>94</v>
      </c>
      <c r="AF233">
        <v>4.93</v>
      </c>
    </row>
    <row r="234" spans="1:32" x14ac:dyDescent="0.2">
      <c r="A234" s="52">
        <v>2007</v>
      </c>
      <c r="B234" t="s">
        <v>161</v>
      </c>
      <c r="C234" t="s">
        <v>38</v>
      </c>
      <c r="D234">
        <v>648</v>
      </c>
      <c r="E234">
        <v>163</v>
      </c>
      <c r="F234">
        <v>1</v>
      </c>
      <c r="G234">
        <v>20</v>
      </c>
      <c r="H234">
        <v>162</v>
      </c>
      <c r="I234">
        <v>45</v>
      </c>
      <c r="J234">
        <v>1484.2</v>
      </c>
      <c r="K234">
        <v>6254</v>
      </c>
      <c r="L234">
        <v>1406</v>
      </c>
      <c r="M234" s="1">
        <v>666</v>
      </c>
      <c r="N234">
        <f t="shared" si="6"/>
        <v>979</v>
      </c>
      <c r="O234">
        <v>270</v>
      </c>
      <c r="P234">
        <v>38</v>
      </c>
      <c r="Q234">
        <v>119</v>
      </c>
      <c r="R234">
        <v>611</v>
      </c>
      <c r="S234">
        <v>474</v>
      </c>
      <c r="T234">
        <v>48</v>
      </c>
      <c r="U234">
        <f t="shared" si="7"/>
        <v>4326</v>
      </c>
      <c r="V234">
        <v>1136</v>
      </c>
      <c r="W234">
        <v>58</v>
      </c>
      <c r="X234">
        <v>39</v>
      </c>
      <c r="Y234">
        <v>42</v>
      </c>
      <c r="Z234">
        <v>48</v>
      </c>
      <c r="AA234">
        <v>6</v>
      </c>
      <c r="AB234">
        <v>126</v>
      </c>
      <c r="AC234">
        <v>64</v>
      </c>
      <c r="AD234" s="1">
        <v>89</v>
      </c>
      <c r="AE234" s="1">
        <v>74</v>
      </c>
      <c r="AF234">
        <v>3.7</v>
      </c>
    </row>
    <row r="235" spans="1:32" x14ac:dyDescent="0.2">
      <c r="A235" s="52">
        <v>2007</v>
      </c>
      <c r="B235" t="s">
        <v>87</v>
      </c>
      <c r="C235" t="s">
        <v>163</v>
      </c>
      <c r="D235">
        <v>618</v>
      </c>
      <c r="E235">
        <v>162</v>
      </c>
      <c r="F235">
        <v>6</v>
      </c>
      <c r="G235">
        <v>12</v>
      </c>
      <c r="H235">
        <v>156</v>
      </c>
      <c r="I235">
        <v>43</v>
      </c>
      <c r="J235">
        <v>1434.1</v>
      </c>
      <c r="K235">
        <v>6313</v>
      </c>
      <c r="L235">
        <v>1578</v>
      </c>
      <c r="M235" s="1">
        <v>813</v>
      </c>
      <c r="N235">
        <f t="shared" si="6"/>
        <v>1066</v>
      </c>
      <c r="O235">
        <v>331</v>
      </c>
      <c r="P235">
        <v>34</v>
      </c>
      <c r="Q235">
        <v>147</v>
      </c>
      <c r="R235">
        <v>754</v>
      </c>
      <c r="S235">
        <v>546</v>
      </c>
      <c r="T235">
        <v>39</v>
      </c>
      <c r="U235">
        <f t="shared" si="7"/>
        <v>4127</v>
      </c>
      <c r="V235">
        <v>1020</v>
      </c>
      <c r="W235">
        <v>47</v>
      </c>
      <c r="X235">
        <v>50</v>
      </c>
      <c r="Y235">
        <v>59</v>
      </c>
      <c r="Z235">
        <v>62</v>
      </c>
      <c r="AA235">
        <v>10</v>
      </c>
      <c r="AB235">
        <v>140</v>
      </c>
      <c r="AC235">
        <v>57</v>
      </c>
      <c r="AD235" s="1">
        <v>88</v>
      </c>
      <c r="AE235" s="1">
        <v>74</v>
      </c>
      <c r="AF235">
        <v>4.7300000000000004</v>
      </c>
    </row>
    <row r="236" spans="1:32" x14ac:dyDescent="0.2">
      <c r="A236" s="52">
        <v>2007</v>
      </c>
      <c r="B236" t="s">
        <v>21</v>
      </c>
      <c r="C236" t="s">
        <v>38</v>
      </c>
      <c r="D236">
        <v>658</v>
      </c>
      <c r="E236">
        <v>162</v>
      </c>
      <c r="F236">
        <v>5</v>
      </c>
      <c r="G236">
        <v>10</v>
      </c>
      <c r="H236">
        <v>157</v>
      </c>
      <c r="I236">
        <v>37</v>
      </c>
      <c r="J236">
        <v>1453.2</v>
      </c>
      <c r="K236">
        <v>6299</v>
      </c>
      <c r="L236">
        <v>1442</v>
      </c>
      <c r="M236" s="1">
        <v>720</v>
      </c>
      <c r="N236">
        <f t="shared" si="6"/>
        <v>948</v>
      </c>
      <c r="O236">
        <v>320</v>
      </c>
      <c r="P236">
        <v>41</v>
      </c>
      <c r="Q236">
        <v>133</v>
      </c>
      <c r="R236">
        <v>677</v>
      </c>
      <c r="S236">
        <v>593</v>
      </c>
      <c r="T236">
        <v>41</v>
      </c>
      <c r="U236">
        <f t="shared" si="7"/>
        <v>4217</v>
      </c>
      <c r="V236">
        <v>1057</v>
      </c>
      <c r="W236">
        <v>73</v>
      </c>
      <c r="X236">
        <v>50</v>
      </c>
      <c r="Y236">
        <v>49</v>
      </c>
      <c r="Z236">
        <v>47</v>
      </c>
      <c r="AA236">
        <v>4</v>
      </c>
      <c r="AB236">
        <v>130</v>
      </c>
      <c r="AC236">
        <v>56</v>
      </c>
      <c r="AD236" s="1">
        <v>71</v>
      </c>
      <c r="AE236" s="1">
        <v>91</v>
      </c>
      <c r="AF236">
        <v>4.1900000000000004</v>
      </c>
    </row>
    <row r="237" spans="1:32" x14ac:dyDescent="0.2">
      <c r="A237" s="52">
        <v>2007</v>
      </c>
      <c r="B237" t="s">
        <v>156</v>
      </c>
      <c r="C237" t="s">
        <v>38</v>
      </c>
      <c r="D237">
        <v>678</v>
      </c>
      <c r="E237">
        <v>162</v>
      </c>
      <c r="F237">
        <v>2</v>
      </c>
      <c r="G237">
        <v>8</v>
      </c>
      <c r="H237">
        <v>160</v>
      </c>
      <c r="I237">
        <v>34</v>
      </c>
      <c r="J237">
        <v>1435.2</v>
      </c>
      <c r="K237">
        <v>6283</v>
      </c>
      <c r="L237">
        <v>1514</v>
      </c>
      <c r="M237" s="1">
        <v>829</v>
      </c>
      <c r="N237">
        <f t="shared" si="6"/>
        <v>989</v>
      </c>
      <c r="O237">
        <v>319</v>
      </c>
      <c r="P237">
        <v>38</v>
      </c>
      <c r="Q237">
        <v>168</v>
      </c>
      <c r="R237">
        <v>741</v>
      </c>
      <c r="S237">
        <v>509</v>
      </c>
      <c r="T237">
        <v>25</v>
      </c>
      <c r="U237">
        <f t="shared" si="7"/>
        <v>4187</v>
      </c>
      <c r="V237">
        <v>945</v>
      </c>
      <c r="W237">
        <v>53</v>
      </c>
      <c r="X237">
        <v>53</v>
      </c>
      <c r="Y237">
        <v>39</v>
      </c>
      <c r="Z237">
        <v>73</v>
      </c>
      <c r="AA237">
        <v>6</v>
      </c>
      <c r="AB237">
        <v>131</v>
      </c>
      <c r="AC237">
        <v>92</v>
      </c>
      <c r="AD237" s="1">
        <v>78</v>
      </c>
      <c r="AE237" s="1">
        <v>84</v>
      </c>
      <c r="AF237">
        <v>4.6500000000000004</v>
      </c>
    </row>
    <row r="238" spans="1:32" x14ac:dyDescent="0.2">
      <c r="A238" s="52">
        <v>2007</v>
      </c>
      <c r="B238" t="s">
        <v>165</v>
      </c>
      <c r="C238" t="s">
        <v>163</v>
      </c>
      <c r="D238">
        <v>645</v>
      </c>
      <c r="E238">
        <v>162</v>
      </c>
      <c r="F238">
        <v>2</v>
      </c>
      <c r="G238">
        <v>2</v>
      </c>
      <c r="H238">
        <v>160</v>
      </c>
      <c r="I238">
        <v>28</v>
      </c>
      <c r="J238">
        <v>1429.2</v>
      </c>
      <c r="K238">
        <v>6403</v>
      </c>
      <c r="L238">
        <v>1649</v>
      </c>
      <c r="M238" s="1">
        <v>944</v>
      </c>
      <c r="N238">
        <f t="shared" si="6"/>
        <v>1078</v>
      </c>
      <c r="O238">
        <v>334</v>
      </c>
      <c r="P238">
        <v>38</v>
      </c>
      <c r="Q238">
        <v>199</v>
      </c>
      <c r="R238">
        <v>879</v>
      </c>
      <c r="S238">
        <v>568</v>
      </c>
      <c r="T238">
        <v>31</v>
      </c>
      <c r="U238">
        <f t="shared" si="7"/>
        <v>4123</v>
      </c>
      <c r="V238">
        <v>1194</v>
      </c>
      <c r="W238">
        <v>41</v>
      </c>
      <c r="X238">
        <v>47</v>
      </c>
      <c r="Y238">
        <v>55</v>
      </c>
      <c r="Z238">
        <v>63</v>
      </c>
      <c r="AA238">
        <v>2</v>
      </c>
      <c r="AB238">
        <v>128</v>
      </c>
      <c r="AC238">
        <v>61</v>
      </c>
      <c r="AD238" s="1">
        <v>66</v>
      </c>
      <c r="AE238" s="1">
        <v>96</v>
      </c>
      <c r="AF238">
        <v>5.53</v>
      </c>
    </row>
    <row r="239" spans="1:32" x14ac:dyDescent="0.2">
      <c r="A239" s="52">
        <v>2007</v>
      </c>
      <c r="B239" t="s">
        <v>95</v>
      </c>
      <c r="C239" t="s">
        <v>163</v>
      </c>
      <c r="D239">
        <v>629</v>
      </c>
      <c r="E239">
        <v>162</v>
      </c>
      <c r="F239">
        <v>0</v>
      </c>
      <c r="G239">
        <v>6</v>
      </c>
      <c r="H239">
        <v>162</v>
      </c>
      <c r="I239">
        <v>42</v>
      </c>
      <c r="J239">
        <v>1430</v>
      </c>
      <c r="K239">
        <v>6389</v>
      </c>
      <c r="L239">
        <v>1525</v>
      </c>
      <c r="M239" s="1">
        <v>844</v>
      </c>
      <c r="N239">
        <f t="shared" si="6"/>
        <v>1031</v>
      </c>
      <c r="O239">
        <v>314</v>
      </c>
      <c r="P239">
        <v>25</v>
      </c>
      <c r="Q239">
        <v>155</v>
      </c>
      <c r="R239">
        <v>755</v>
      </c>
      <c r="S239">
        <v>668</v>
      </c>
      <c r="T239">
        <v>38</v>
      </c>
      <c r="U239">
        <f t="shared" si="7"/>
        <v>4126</v>
      </c>
      <c r="V239">
        <v>976</v>
      </c>
      <c r="W239">
        <v>38</v>
      </c>
      <c r="X239">
        <v>51</v>
      </c>
      <c r="Y239">
        <v>66</v>
      </c>
      <c r="Z239">
        <v>70</v>
      </c>
      <c r="AA239">
        <v>4</v>
      </c>
      <c r="AB239">
        <v>143</v>
      </c>
      <c r="AC239">
        <v>80</v>
      </c>
      <c r="AD239" s="1">
        <v>75</v>
      </c>
      <c r="AE239" s="1">
        <v>87</v>
      </c>
      <c r="AF239">
        <v>4.75</v>
      </c>
    </row>
    <row r="240" spans="1:32" x14ac:dyDescent="0.2">
      <c r="A240" s="52">
        <v>2007</v>
      </c>
      <c r="B240" t="s">
        <v>97</v>
      </c>
      <c r="C240" t="s">
        <v>163</v>
      </c>
      <c r="D240">
        <v>582</v>
      </c>
      <c r="E240">
        <v>162</v>
      </c>
      <c r="F240">
        <v>11</v>
      </c>
      <c r="G240">
        <v>9</v>
      </c>
      <c r="H240">
        <v>151</v>
      </c>
      <c r="I240">
        <v>44</v>
      </c>
      <c r="J240">
        <v>1448.2</v>
      </c>
      <c r="K240">
        <v>6108</v>
      </c>
      <c r="L240">
        <v>1383</v>
      </c>
      <c r="M240" s="1">
        <v>699</v>
      </c>
      <c r="N240">
        <f t="shared" si="6"/>
        <v>950</v>
      </c>
      <c r="O240">
        <v>252</v>
      </c>
      <c r="P240">
        <v>24</v>
      </c>
      <c r="Q240">
        <v>157</v>
      </c>
      <c r="R240">
        <v>644</v>
      </c>
      <c r="S240">
        <v>479</v>
      </c>
      <c r="T240">
        <v>34</v>
      </c>
      <c r="U240">
        <f t="shared" si="7"/>
        <v>4191</v>
      </c>
      <c r="V240">
        <v>1067</v>
      </c>
      <c r="W240">
        <v>17</v>
      </c>
      <c r="X240">
        <v>44</v>
      </c>
      <c r="Y240">
        <v>42</v>
      </c>
      <c r="Z240">
        <v>55</v>
      </c>
      <c r="AA240">
        <v>3</v>
      </c>
      <c r="AB240">
        <v>146</v>
      </c>
      <c r="AC240">
        <v>68</v>
      </c>
      <c r="AD240" s="1">
        <v>83</v>
      </c>
      <c r="AE240" s="1">
        <v>79</v>
      </c>
      <c r="AF240">
        <v>4</v>
      </c>
    </row>
    <row r="241" spans="1:32" x14ac:dyDescent="0.2">
      <c r="A241" s="52">
        <v>2007</v>
      </c>
      <c r="B241" t="s">
        <v>101</v>
      </c>
      <c r="C241" t="s">
        <v>38</v>
      </c>
      <c r="D241">
        <v>750</v>
      </c>
      <c r="E241">
        <v>162</v>
      </c>
      <c r="F241">
        <v>0</v>
      </c>
      <c r="G241">
        <v>6</v>
      </c>
      <c r="H241">
        <v>162</v>
      </c>
      <c r="I241">
        <v>46</v>
      </c>
      <c r="J241">
        <v>1446.2</v>
      </c>
      <c r="K241">
        <v>6333</v>
      </c>
      <c r="L241">
        <v>1502</v>
      </c>
      <c r="M241" s="1">
        <v>783</v>
      </c>
      <c r="N241">
        <f t="shared" si="6"/>
        <v>988</v>
      </c>
      <c r="O241">
        <v>300</v>
      </c>
      <c r="P241">
        <v>27</v>
      </c>
      <c r="Q241">
        <v>187</v>
      </c>
      <c r="R241">
        <v>736</v>
      </c>
      <c r="S241">
        <v>580</v>
      </c>
      <c r="T241">
        <v>44</v>
      </c>
      <c r="U241">
        <f t="shared" si="7"/>
        <v>4209</v>
      </c>
      <c r="V241">
        <v>931</v>
      </c>
      <c r="W241">
        <v>66</v>
      </c>
      <c r="X241">
        <v>61</v>
      </c>
      <c r="Y241">
        <v>52</v>
      </c>
      <c r="Z241">
        <v>42</v>
      </c>
      <c r="AA241">
        <v>4</v>
      </c>
      <c r="AB241">
        <v>134</v>
      </c>
      <c r="AC241">
        <v>80</v>
      </c>
      <c r="AD241" s="1">
        <v>73</v>
      </c>
      <c r="AE241" s="1">
        <v>89</v>
      </c>
      <c r="AF241">
        <v>4.58</v>
      </c>
    </row>
    <row r="242" spans="1:32" x14ac:dyDescent="0.2">
      <c r="A242" s="52">
        <v>2008</v>
      </c>
      <c r="B242" t="s">
        <v>37</v>
      </c>
      <c r="C242" t="s">
        <v>163</v>
      </c>
      <c r="D242">
        <v>545</v>
      </c>
      <c r="E242">
        <v>162</v>
      </c>
      <c r="F242">
        <v>7</v>
      </c>
      <c r="G242">
        <v>10</v>
      </c>
      <c r="H242">
        <v>155</v>
      </c>
      <c r="I242">
        <v>66</v>
      </c>
      <c r="J242">
        <v>1451.1</v>
      </c>
      <c r="K242">
        <v>6161</v>
      </c>
      <c r="L242">
        <v>1455</v>
      </c>
      <c r="M242" s="1">
        <v>697</v>
      </c>
      <c r="N242">
        <f t="shared" si="6"/>
        <v>995</v>
      </c>
      <c r="O242">
        <v>272</v>
      </c>
      <c r="P242">
        <v>28</v>
      </c>
      <c r="Q242">
        <v>160</v>
      </c>
      <c r="R242">
        <v>644</v>
      </c>
      <c r="S242">
        <v>457</v>
      </c>
      <c r="T242">
        <v>32</v>
      </c>
      <c r="U242">
        <f t="shared" si="7"/>
        <v>4186</v>
      </c>
      <c r="V242">
        <v>1106</v>
      </c>
      <c r="W242">
        <v>36</v>
      </c>
      <c r="X242">
        <v>33</v>
      </c>
      <c r="Y242">
        <v>50</v>
      </c>
      <c r="Z242">
        <v>63</v>
      </c>
      <c r="AA242">
        <v>2</v>
      </c>
      <c r="AB242">
        <v>141</v>
      </c>
      <c r="AC242">
        <v>61</v>
      </c>
      <c r="AD242" s="1">
        <v>100</v>
      </c>
      <c r="AE242" s="1">
        <v>62</v>
      </c>
      <c r="AF242">
        <v>3.99</v>
      </c>
    </row>
    <row r="243" spans="1:32" x14ac:dyDescent="0.2">
      <c r="A243" s="52">
        <v>2008</v>
      </c>
      <c r="B243" t="s">
        <v>40</v>
      </c>
      <c r="C243" t="s">
        <v>38</v>
      </c>
      <c r="D243">
        <v>606</v>
      </c>
      <c r="E243">
        <v>162</v>
      </c>
      <c r="F243">
        <v>6</v>
      </c>
      <c r="G243">
        <v>9</v>
      </c>
      <c r="H243">
        <v>156</v>
      </c>
      <c r="I243">
        <v>39</v>
      </c>
      <c r="J243">
        <v>1434.2</v>
      </c>
      <c r="K243">
        <v>6119</v>
      </c>
      <c r="L243">
        <v>1403</v>
      </c>
      <c r="M243" s="1">
        <v>706</v>
      </c>
      <c r="N243">
        <f t="shared" si="6"/>
        <v>950</v>
      </c>
      <c r="O243">
        <v>276</v>
      </c>
      <c r="P243">
        <v>30</v>
      </c>
      <c r="Q243">
        <v>147</v>
      </c>
      <c r="R243">
        <v>635</v>
      </c>
      <c r="S243">
        <v>451</v>
      </c>
      <c r="T243">
        <v>41</v>
      </c>
      <c r="U243">
        <f t="shared" si="7"/>
        <v>4197</v>
      </c>
      <c r="V243">
        <v>1229</v>
      </c>
      <c r="W243">
        <v>72</v>
      </c>
      <c r="X243">
        <v>47</v>
      </c>
      <c r="Y243">
        <v>59</v>
      </c>
      <c r="Z243">
        <v>68</v>
      </c>
      <c r="AA243">
        <v>3</v>
      </c>
      <c r="AB243">
        <v>114</v>
      </c>
      <c r="AC243">
        <v>80</v>
      </c>
      <c r="AD243" s="1">
        <v>82</v>
      </c>
      <c r="AE243" s="1">
        <v>80</v>
      </c>
      <c r="AF243">
        <v>3.98</v>
      </c>
    </row>
    <row r="244" spans="1:32" x14ac:dyDescent="0.2">
      <c r="A244" s="52">
        <v>2008</v>
      </c>
      <c r="B244" t="s">
        <v>42</v>
      </c>
      <c r="C244" t="s">
        <v>38</v>
      </c>
      <c r="D244">
        <v>707</v>
      </c>
      <c r="E244">
        <v>162</v>
      </c>
      <c r="F244">
        <v>2</v>
      </c>
      <c r="G244">
        <v>7</v>
      </c>
      <c r="H244">
        <v>160</v>
      </c>
      <c r="I244">
        <v>26</v>
      </c>
      <c r="J244">
        <v>1440.2</v>
      </c>
      <c r="K244">
        <v>6244</v>
      </c>
      <c r="L244">
        <v>1439</v>
      </c>
      <c r="M244" s="1">
        <v>778</v>
      </c>
      <c r="N244">
        <f t="shared" si="6"/>
        <v>916</v>
      </c>
      <c r="O244">
        <v>325</v>
      </c>
      <c r="P244">
        <v>42</v>
      </c>
      <c r="Q244">
        <v>156</v>
      </c>
      <c r="R244">
        <v>714</v>
      </c>
      <c r="S244">
        <v>586</v>
      </c>
      <c r="T244">
        <v>80</v>
      </c>
      <c r="U244">
        <f t="shared" si="7"/>
        <v>4177</v>
      </c>
      <c r="V244">
        <v>1076</v>
      </c>
      <c r="W244">
        <v>86</v>
      </c>
      <c r="X244">
        <v>50</v>
      </c>
      <c r="Y244">
        <v>42</v>
      </c>
      <c r="Z244">
        <v>42</v>
      </c>
      <c r="AA244">
        <v>5</v>
      </c>
      <c r="AB244">
        <v>129</v>
      </c>
      <c r="AC244">
        <v>68</v>
      </c>
      <c r="AD244" s="1">
        <v>72</v>
      </c>
      <c r="AE244" s="1">
        <v>90</v>
      </c>
      <c r="AF244">
        <v>4.46</v>
      </c>
    </row>
    <row r="245" spans="1:32" x14ac:dyDescent="0.2">
      <c r="A245" s="52">
        <v>2008</v>
      </c>
      <c r="B245" t="s">
        <v>45</v>
      </c>
      <c r="C245" t="s">
        <v>163</v>
      </c>
      <c r="D245">
        <v>653</v>
      </c>
      <c r="E245">
        <v>161</v>
      </c>
      <c r="F245">
        <v>4</v>
      </c>
      <c r="G245">
        <v>4</v>
      </c>
      <c r="H245">
        <v>157</v>
      </c>
      <c r="I245">
        <v>35</v>
      </c>
      <c r="J245">
        <v>1422</v>
      </c>
      <c r="K245">
        <v>6414</v>
      </c>
      <c r="L245">
        <v>1538</v>
      </c>
      <c r="M245" s="1">
        <v>869</v>
      </c>
      <c r="N245">
        <f t="shared" si="6"/>
        <v>1052</v>
      </c>
      <c r="O245">
        <v>279</v>
      </c>
      <c r="P245">
        <v>23</v>
      </c>
      <c r="Q245">
        <v>184</v>
      </c>
      <c r="R245">
        <v>810</v>
      </c>
      <c r="S245">
        <v>687</v>
      </c>
      <c r="T245">
        <v>44</v>
      </c>
      <c r="U245">
        <f t="shared" si="7"/>
        <v>4109</v>
      </c>
      <c r="V245">
        <v>922</v>
      </c>
      <c r="W245">
        <v>32</v>
      </c>
      <c r="X245">
        <v>63</v>
      </c>
      <c r="Y245">
        <v>72</v>
      </c>
      <c r="Z245">
        <v>80</v>
      </c>
      <c r="AA245">
        <v>7</v>
      </c>
      <c r="AB245">
        <v>141</v>
      </c>
      <c r="AC245">
        <v>68</v>
      </c>
      <c r="AD245" s="1">
        <v>68</v>
      </c>
      <c r="AE245" s="1">
        <v>93</v>
      </c>
      <c r="AF245">
        <v>5.13</v>
      </c>
    </row>
    <row r="246" spans="1:32" x14ac:dyDescent="0.2">
      <c r="A246" s="52">
        <v>2008</v>
      </c>
      <c r="B246" t="s">
        <v>47</v>
      </c>
      <c r="C246" t="s">
        <v>163</v>
      </c>
      <c r="D246">
        <v>628</v>
      </c>
      <c r="E246">
        <v>162</v>
      </c>
      <c r="F246">
        <v>5</v>
      </c>
      <c r="G246">
        <v>16</v>
      </c>
      <c r="H246">
        <v>157</v>
      </c>
      <c r="I246">
        <v>47</v>
      </c>
      <c r="J246">
        <v>1446.1</v>
      </c>
      <c r="K246">
        <v>6180</v>
      </c>
      <c r="L246">
        <v>1369</v>
      </c>
      <c r="M246" s="1">
        <v>694</v>
      </c>
      <c r="N246">
        <f t="shared" si="6"/>
        <v>914</v>
      </c>
      <c r="O246">
        <v>289</v>
      </c>
      <c r="P246">
        <v>19</v>
      </c>
      <c r="Q246">
        <v>147</v>
      </c>
      <c r="R246">
        <v>645</v>
      </c>
      <c r="S246">
        <v>548</v>
      </c>
      <c r="T246">
        <v>17</v>
      </c>
      <c r="U246">
        <f t="shared" si="7"/>
        <v>4195</v>
      </c>
      <c r="V246">
        <v>1185</v>
      </c>
      <c r="W246">
        <v>40</v>
      </c>
      <c r="X246">
        <v>39</v>
      </c>
      <c r="Y246">
        <v>43</v>
      </c>
      <c r="Z246">
        <v>68</v>
      </c>
      <c r="AA246">
        <v>2</v>
      </c>
      <c r="AB246">
        <v>119</v>
      </c>
      <c r="AC246">
        <v>59</v>
      </c>
      <c r="AD246" s="1">
        <v>95</v>
      </c>
      <c r="AE246" s="1">
        <v>67</v>
      </c>
      <c r="AF246">
        <v>4.01</v>
      </c>
    </row>
    <row r="247" spans="1:32" x14ac:dyDescent="0.2">
      <c r="A247" s="52">
        <v>2008</v>
      </c>
      <c r="B247" t="s">
        <v>157</v>
      </c>
      <c r="C247" t="s">
        <v>38</v>
      </c>
      <c r="D247">
        <v>639</v>
      </c>
      <c r="E247">
        <v>161</v>
      </c>
      <c r="F247">
        <v>2</v>
      </c>
      <c r="G247">
        <v>8</v>
      </c>
      <c r="H247">
        <v>159</v>
      </c>
      <c r="I247">
        <v>44</v>
      </c>
      <c r="J247">
        <v>1450.2</v>
      </c>
      <c r="K247">
        <v>6194</v>
      </c>
      <c r="L247">
        <v>1329</v>
      </c>
      <c r="M247" s="1">
        <v>671</v>
      </c>
      <c r="N247">
        <f t="shared" si="6"/>
        <v>847</v>
      </c>
      <c r="O247">
        <v>283</v>
      </c>
      <c r="P247">
        <v>39</v>
      </c>
      <c r="Q247">
        <v>160</v>
      </c>
      <c r="R247">
        <v>624</v>
      </c>
      <c r="S247">
        <v>548</v>
      </c>
      <c r="T247">
        <v>45</v>
      </c>
      <c r="U247">
        <f t="shared" si="7"/>
        <v>4252</v>
      </c>
      <c r="V247">
        <v>1264</v>
      </c>
      <c r="W247">
        <v>47</v>
      </c>
      <c r="X247">
        <v>38</v>
      </c>
      <c r="Y247">
        <v>48</v>
      </c>
      <c r="Z247">
        <v>65</v>
      </c>
      <c r="AA247">
        <v>7</v>
      </c>
      <c r="AB247">
        <v>97</v>
      </c>
      <c r="AC247">
        <v>67</v>
      </c>
      <c r="AD247" s="1">
        <v>97</v>
      </c>
      <c r="AE247" s="1">
        <v>64</v>
      </c>
      <c r="AF247">
        <v>3.87</v>
      </c>
    </row>
    <row r="248" spans="1:32" x14ac:dyDescent="0.2">
      <c r="A248" s="52">
        <v>2008</v>
      </c>
      <c r="B248" t="s">
        <v>157</v>
      </c>
      <c r="C248" t="s">
        <v>163</v>
      </c>
      <c r="D248">
        <v>626</v>
      </c>
      <c r="E248">
        <v>163</v>
      </c>
      <c r="F248">
        <v>4</v>
      </c>
      <c r="G248">
        <v>10</v>
      </c>
      <c r="H248">
        <v>159</v>
      </c>
      <c r="I248">
        <v>34</v>
      </c>
      <c r="J248">
        <v>1457.2</v>
      </c>
      <c r="K248">
        <v>6218</v>
      </c>
      <c r="L248">
        <v>1471</v>
      </c>
      <c r="M248" s="1">
        <v>729</v>
      </c>
      <c r="N248">
        <f t="shared" si="6"/>
        <v>970</v>
      </c>
      <c r="O248">
        <v>314</v>
      </c>
      <c r="P248">
        <v>31</v>
      </c>
      <c r="Q248">
        <v>156</v>
      </c>
      <c r="R248">
        <v>658</v>
      </c>
      <c r="S248">
        <v>460</v>
      </c>
      <c r="T248">
        <v>42</v>
      </c>
      <c r="U248">
        <f t="shared" si="7"/>
        <v>4239</v>
      </c>
      <c r="V248">
        <v>1147</v>
      </c>
      <c r="W248">
        <v>43</v>
      </c>
      <c r="X248">
        <v>26</v>
      </c>
      <c r="Y248">
        <v>54</v>
      </c>
      <c r="Z248">
        <v>48</v>
      </c>
      <c r="AA248">
        <v>3</v>
      </c>
      <c r="AB248">
        <v>136</v>
      </c>
      <c r="AC248">
        <v>74</v>
      </c>
      <c r="AD248" s="1">
        <v>89</v>
      </c>
      <c r="AE248" s="1">
        <v>74</v>
      </c>
      <c r="AF248">
        <v>4.0599999999999996</v>
      </c>
    </row>
    <row r="249" spans="1:32" x14ac:dyDescent="0.2">
      <c r="A249" s="52">
        <v>2008</v>
      </c>
      <c r="B249" t="s">
        <v>53</v>
      </c>
      <c r="C249" t="s">
        <v>38</v>
      </c>
      <c r="D249">
        <v>669</v>
      </c>
      <c r="E249">
        <v>162</v>
      </c>
      <c r="F249">
        <v>2</v>
      </c>
      <c r="G249">
        <v>6</v>
      </c>
      <c r="H249">
        <v>160</v>
      </c>
      <c r="I249">
        <v>34</v>
      </c>
      <c r="J249">
        <v>1442.1</v>
      </c>
      <c r="K249">
        <v>6352</v>
      </c>
      <c r="L249">
        <v>1542</v>
      </c>
      <c r="M249" s="1">
        <v>800</v>
      </c>
      <c r="N249">
        <f t="shared" si="6"/>
        <v>990</v>
      </c>
      <c r="O249">
        <v>322</v>
      </c>
      <c r="P249">
        <v>29</v>
      </c>
      <c r="Q249">
        <v>201</v>
      </c>
      <c r="R249">
        <v>729</v>
      </c>
      <c r="S249">
        <v>557</v>
      </c>
      <c r="T249">
        <v>40</v>
      </c>
      <c r="U249">
        <f t="shared" si="7"/>
        <v>4186</v>
      </c>
      <c r="V249">
        <v>1227</v>
      </c>
      <c r="W249">
        <v>77</v>
      </c>
      <c r="X249">
        <v>45</v>
      </c>
      <c r="Y249">
        <v>52</v>
      </c>
      <c r="Z249">
        <v>67</v>
      </c>
      <c r="AA249">
        <v>7</v>
      </c>
      <c r="AB249">
        <v>130</v>
      </c>
      <c r="AC249">
        <v>70</v>
      </c>
      <c r="AD249" s="1">
        <v>74</v>
      </c>
      <c r="AE249" s="1">
        <v>88</v>
      </c>
      <c r="AF249">
        <v>4.55</v>
      </c>
    </row>
    <row r="250" spans="1:32" x14ac:dyDescent="0.2">
      <c r="A250" s="52">
        <v>2008</v>
      </c>
      <c r="B250" t="s">
        <v>55</v>
      </c>
      <c r="C250" t="s">
        <v>163</v>
      </c>
      <c r="D250">
        <v>561</v>
      </c>
      <c r="E250">
        <v>162</v>
      </c>
      <c r="F250">
        <v>10</v>
      </c>
      <c r="G250">
        <v>13</v>
      </c>
      <c r="H250">
        <v>152</v>
      </c>
      <c r="I250">
        <v>31</v>
      </c>
      <c r="J250">
        <v>1437</v>
      </c>
      <c r="K250">
        <v>6164</v>
      </c>
      <c r="L250">
        <v>1530</v>
      </c>
      <c r="M250" s="1">
        <v>761</v>
      </c>
      <c r="N250">
        <f t="shared" si="6"/>
        <v>1049</v>
      </c>
      <c r="O250">
        <v>290</v>
      </c>
      <c r="P250">
        <v>21</v>
      </c>
      <c r="Q250">
        <v>170</v>
      </c>
      <c r="R250">
        <v>711</v>
      </c>
      <c r="S250">
        <v>444</v>
      </c>
      <c r="T250">
        <v>28</v>
      </c>
      <c r="U250">
        <f t="shared" si="7"/>
        <v>4139</v>
      </c>
      <c r="V250">
        <v>986</v>
      </c>
      <c r="W250">
        <v>28</v>
      </c>
      <c r="X250">
        <v>41</v>
      </c>
      <c r="Y250">
        <v>44</v>
      </c>
      <c r="Z250">
        <v>51</v>
      </c>
      <c r="AA250">
        <v>5</v>
      </c>
      <c r="AB250">
        <v>160</v>
      </c>
      <c r="AC250">
        <v>61</v>
      </c>
      <c r="AD250" s="1">
        <v>81</v>
      </c>
      <c r="AE250" s="1">
        <v>81</v>
      </c>
      <c r="AF250">
        <v>4.45</v>
      </c>
    </row>
    <row r="251" spans="1:32" x14ac:dyDescent="0.2">
      <c r="A251" s="52">
        <v>2008</v>
      </c>
      <c r="B251" t="s">
        <v>57</v>
      </c>
      <c r="C251" t="s">
        <v>38</v>
      </c>
      <c r="D251">
        <v>647</v>
      </c>
      <c r="E251">
        <v>162</v>
      </c>
      <c r="F251">
        <v>3</v>
      </c>
      <c r="G251">
        <v>8</v>
      </c>
      <c r="H251">
        <v>159</v>
      </c>
      <c r="I251">
        <v>36</v>
      </c>
      <c r="J251">
        <v>1446</v>
      </c>
      <c r="K251">
        <v>6338</v>
      </c>
      <c r="L251">
        <v>1547</v>
      </c>
      <c r="M251" s="1">
        <v>822</v>
      </c>
      <c r="N251">
        <f t="shared" si="6"/>
        <v>1018</v>
      </c>
      <c r="O251">
        <v>335</v>
      </c>
      <c r="P251">
        <v>46</v>
      </c>
      <c r="Q251">
        <v>148</v>
      </c>
      <c r="R251">
        <v>766</v>
      </c>
      <c r="S251">
        <v>562</v>
      </c>
      <c r="T251">
        <v>49</v>
      </c>
      <c r="U251">
        <f t="shared" si="7"/>
        <v>4176</v>
      </c>
      <c r="V251">
        <v>1041</v>
      </c>
      <c r="W251">
        <v>62</v>
      </c>
      <c r="X251">
        <v>47</v>
      </c>
      <c r="Y251">
        <v>61</v>
      </c>
      <c r="Z251">
        <v>53</v>
      </c>
      <c r="AA251">
        <v>7</v>
      </c>
      <c r="AB251">
        <v>142</v>
      </c>
      <c r="AC251">
        <v>68</v>
      </c>
      <c r="AD251" s="1">
        <v>74</v>
      </c>
      <c r="AE251" s="1">
        <v>88</v>
      </c>
      <c r="AF251">
        <v>4.7699999999999996</v>
      </c>
    </row>
    <row r="252" spans="1:32" x14ac:dyDescent="0.2">
      <c r="A252" s="52">
        <v>2008</v>
      </c>
      <c r="B252" t="s">
        <v>59</v>
      </c>
      <c r="C252" t="s">
        <v>163</v>
      </c>
      <c r="D252">
        <v>602</v>
      </c>
      <c r="E252">
        <v>162</v>
      </c>
      <c r="F252">
        <v>1</v>
      </c>
      <c r="G252">
        <v>2</v>
      </c>
      <c r="H252">
        <v>161</v>
      </c>
      <c r="I252">
        <v>34</v>
      </c>
      <c r="J252">
        <v>1445</v>
      </c>
      <c r="K252">
        <v>6411</v>
      </c>
      <c r="L252">
        <v>1541</v>
      </c>
      <c r="M252" s="1">
        <v>857</v>
      </c>
      <c r="N252">
        <f t="shared" si="6"/>
        <v>1002</v>
      </c>
      <c r="O252">
        <v>334</v>
      </c>
      <c r="P252">
        <v>33</v>
      </c>
      <c r="Q252">
        <v>172</v>
      </c>
      <c r="R252">
        <v>786</v>
      </c>
      <c r="S252">
        <v>644</v>
      </c>
      <c r="T252">
        <v>63</v>
      </c>
      <c r="U252">
        <f t="shared" si="7"/>
        <v>4158</v>
      </c>
      <c r="V252">
        <v>991</v>
      </c>
      <c r="W252">
        <v>33</v>
      </c>
      <c r="X252">
        <v>49</v>
      </c>
      <c r="Y252">
        <v>65</v>
      </c>
      <c r="Z252">
        <v>68</v>
      </c>
      <c r="AA252">
        <v>7</v>
      </c>
      <c r="AB252">
        <v>151</v>
      </c>
      <c r="AC252">
        <v>62</v>
      </c>
      <c r="AD252" s="1">
        <v>74</v>
      </c>
      <c r="AE252" s="1">
        <v>88</v>
      </c>
      <c r="AF252">
        <v>4.9000000000000004</v>
      </c>
    </row>
    <row r="253" spans="1:32" x14ac:dyDescent="0.2">
      <c r="A253" s="52">
        <v>2008</v>
      </c>
      <c r="B253" t="s">
        <v>160</v>
      </c>
      <c r="C253" t="s">
        <v>38</v>
      </c>
      <c r="D253">
        <v>672</v>
      </c>
      <c r="E253">
        <v>161</v>
      </c>
      <c r="F253">
        <v>2</v>
      </c>
      <c r="G253">
        <v>8</v>
      </c>
      <c r="H253">
        <v>159</v>
      </c>
      <c r="I253">
        <v>36</v>
      </c>
      <c r="J253">
        <v>1435.1</v>
      </c>
      <c r="K253">
        <v>6271</v>
      </c>
      <c r="L253">
        <v>1421</v>
      </c>
      <c r="M253" s="1">
        <v>767</v>
      </c>
      <c r="N253">
        <f t="shared" si="6"/>
        <v>947</v>
      </c>
      <c r="O253">
        <v>291</v>
      </c>
      <c r="P253">
        <v>22</v>
      </c>
      <c r="Q253">
        <v>161</v>
      </c>
      <c r="R253">
        <v>707</v>
      </c>
      <c r="S253">
        <v>586</v>
      </c>
      <c r="T253">
        <v>66</v>
      </c>
      <c r="U253">
        <f t="shared" si="7"/>
        <v>4206</v>
      </c>
      <c r="V253">
        <v>1127</v>
      </c>
      <c r="W253">
        <v>77</v>
      </c>
      <c r="X253">
        <v>45</v>
      </c>
      <c r="Y253">
        <v>59</v>
      </c>
      <c r="Z253">
        <v>58</v>
      </c>
      <c r="AA253">
        <v>4</v>
      </c>
      <c r="AB253">
        <v>100</v>
      </c>
      <c r="AC253">
        <v>79</v>
      </c>
      <c r="AD253" s="1">
        <v>84</v>
      </c>
      <c r="AE253" s="1">
        <v>77</v>
      </c>
      <c r="AF253">
        <v>4.43</v>
      </c>
    </row>
    <row r="254" spans="1:32" x14ac:dyDescent="0.2">
      <c r="A254" s="52">
        <v>2008</v>
      </c>
      <c r="B254" t="s">
        <v>63</v>
      </c>
      <c r="C254" t="s">
        <v>38</v>
      </c>
      <c r="D254">
        <v>649</v>
      </c>
      <c r="E254">
        <v>161</v>
      </c>
      <c r="F254">
        <v>4</v>
      </c>
      <c r="G254">
        <v>13</v>
      </c>
      <c r="H254">
        <v>157</v>
      </c>
      <c r="I254">
        <v>48</v>
      </c>
      <c r="J254">
        <v>1425.1</v>
      </c>
      <c r="K254">
        <v>6125</v>
      </c>
      <c r="L254">
        <v>1453</v>
      </c>
      <c r="M254" s="1">
        <v>743</v>
      </c>
      <c r="N254">
        <f t="shared" si="6"/>
        <v>914</v>
      </c>
      <c r="O254">
        <v>309</v>
      </c>
      <c r="P254">
        <v>33</v>
      </c>
      <c r="Q254">
        <v>197</v>
      </c>
      <c r="R254">
        <v>691</v>
      </c>
      <c r="S254">
        <v>492</v>
      </c>
      <c r="T254">
        <v>53</v>
      </c>
      <c r="U254">
        <f t="shared" si="7"/>
        <v>4130</v>
      </c>
      <c r="V254">
        <v>1095</v>
      </c>
      <c r="W254">
        <v>46</v>
      </c>
      <c r="X254">
        <v>40</v>
      </c>
      <c r="Y254">
        <v>22</v>
      </c>
      <c r="Z254">
        <v>50</v>
      </c>
      <c r="AA254">
        <v>9</v>
      </c>
      <c r="AB254">
        <v>120</v>
      </c>
      <c r="AC254">
        <v>46</v>
      </c>
      <c r="AD254" s="1">
        <v>86</v>
      </c>
      <c r="AE254" s="1">
        <v>75</v>
      </c>
      <c r="AF254">
        <v>4.3600000000000003</v>
      </c>
    </row>
    <row r="255" spans="1:32" x14ac:dyDescent="0.2">
      <c r="A255" s="52">
        <v>2008</v>
      </c>
      <c r="B255" t="s">
        <v>164</v>
      </c>
      <c r="C255" t="s">
        <v>163</v>
      </c>
      <c r="D255">
        <v>601</v>
      </c>
      <c r="E255">
        <v>162</v>
      </c>
      <c r="F255">
        <v>2</v>
      </c>
      <c r="G255">
        <v>8</v>
      </c>
      <c r="H255">
        <v>160</v>
      </c>
      <c r="I255">
        <v>44</v>
      </c>
      <c r="J255">
        <v>1445.2</v>
      </c>
      <c r="K255">
        <v>6214</v>
      </c>
      <c r="L255">
        <v>1473</v>
      </c>
      <c r="M255" s="1">
        <v>781</v>
      </c>
      <c r="N255">
        <f t="shared" si="6"/>
        <v>991</v>
      </c>
      <c r="O255">
        <v>282</v>
      </c>
      <c r="P255">
        <v>41</v>
      </c>
      <c r="Q255">
        <v>159</v>
      </c>
      <c r="R255">
        <v>720</v>
      </c>
      <c r="S255">
        <v>515</v>
      </c>
      <c r="T255">
        <v>15</v>
      </c>
      <c r="U255">
        <f t="shared" si="7"/>
        <v>4185</v>
      </c>
      <c r="V255">
        <v>1085</v>
      </c>
      <c r="W255">
        <v>26</v>
      </c>
      <c r="X255">
        <v>59</v>
      </c>
      <c r="Y255">
        <v>68</v>
      </c>
      <c r="Z255">
        <v>41</v>
      </c>
      <c r="AA255">
        <v>5</v>
      </c>
      <c r="AB255">
        <v>133</v>
      </c>
      <c r="AC255">
        <v>64</v>
      </c>
      <c r="AD255" s="1">
        <v>75</v>
      </c>
      <c r="AE255" s="1">
        <v>87</v>
      </c>
      <c r="AF255">
        <v>4.4800000000000004</v>
      </c>
    </row>
    <row r="256" spans="1:32" x14ac:dyDescent="0.2">
      <c r="A256" s="52">
        <v>2008</v>
      </c>
      <c r="B256" t="s">
        <v>159</v>
      </c>
      <c r="C256" t="s">
        <v>38</v>
      </c>
      <c r="D256">
        <v>623</v>
      </c>
      <c r="E256">
        <v>162</v>
      </c>
      <c r="F256">
        <v>5</v>
      </c>
      <c r="G256">
        <v>11</v>
      </c>
      <c r="H256">
        <v>157</v>
      </c>
      <c r="I256">
        <v>35</v>
      </c>
      <c r="J256">
        <v>1447.1</v>
      </c>
      <c r="K256">
        <v>6127</v>
      </c>
      <c r="L256">
        <v>1381</v>
      </c>
      <c r="M256" s="1">
        <v>648</v>
      </c>
      <c r="N256">
        <f t="shared" si="6"/>
        <v>971</v>
      </c>
      <c r="O256">
        <v>259</v>
      </c>
      <c r="P256">
        <v>28</v>
      </c>
      <c r="Q256">
        <v>123</v>
      </c>
      <c r="R256">
        <v>591</v>
      </c>
      <c r="S256">
        <v>480</v>
      </c>
      <c r="T256">
        <v>58</v>
      </c>
      <c r="U256">
        <f t="shared" si="7"/>
        <v>4218</v>
      </c>
      <c r="V256">
        <v>1205</v>
      </c>
      <c r="W256">
        <v>63</v>
      </c>
      <c r="X256">
        <v>43</v>
      </c>
      <c r="Y256">
        <v>47</v>
      </c>
      <c r="Z256">
        <v>48</v>
      </c>
      <c r="AA256">
        <v>4</v>
      </c>
      <c r="AB256">
        <v>124</v>
      </c>
      <c r="AC256">
        <v>76</v>
      </c>
      <c r="AD256" s="1">
        <v>84</v>
      </c>
      <c r="AE256" s="1">
        <v>78</v>
      </c>
      <c r="AF256">
        <v>3.68</v>
      </c>
    </row>
    <row r="257" spans="1:32" x14ac:dyDescent="0.2">
      <c r="A257" s="52">
        <v>2008</v>
      </c>
      <c r="B257" t="s">
        <v>69</v>
      </c>
      <c r="C257" t="s">
        <v>38</v>
      </c>
      <c r="D257">
        <v>607</v>
      </c>
      <c r="E257">
        <v>162</v>
      </c>
      <c r="F257">
        <v>12</v>
      </c>
      <c r="G257">
        <v>10</v>
      </c>
      <c r="H257">
        <v>150</v>
      </c>
      <c r="I257">
        <v>45</v>
      </c>
      <c r="J257">
        <v>1455.2</v>
      </c>
      <c r="K257">
        <v>6209</v>
      </c>
      <c r="L257">
        <v>1415</v>
      </c>
      <c r="M257" s="1">
        <v>689</v>
      </c>
      <c r="N257">
        <f t="shared" si="6"/>
        <v>957</v>
      </c>
      <c r="O257">
        <v>261</v>
      </c>
      <c r="P257">
        <v>22</v>
      </c>
      <c r="Q257">
        <v>175</v>
      </c>
      <c r="R257">
        <v>623</v>
      </c>
      <c r="S257">
        <v>528</v>
      </c>
      <c r="T257">
        <v>32</v>
      </c>
      <c r="U257">
        <f t="shared" si="7"/>
        <v>4224</v>
      </c>
      <c r="V257">
        <v>1110</v>
      </c>
      <c r="W257">
        <v>69</v>
      </c>
      <c r="X257">
        <v>40</v>
      </c>
      <c r="Y257">
        <v>53</v>
      </c>
      <c r="Z257">
        <v>42</v>
      </c>
      <c r="AA257">
        <v>5</v>
      </c>
      <c r="AB257">
        <v>131</v>
      </c>
      <c r="AC257">
        <v>82</v>
      </c>
      <c r="AD257" s="1">
        <v>90</v>
      </c>
      <c r="AE257" s="1">
        <v>72</v>
      </c>
      <c r="AF257">
        <v>3.85</v>
      </c>
    </row>
    <row r="258" spans="1:32" x14ac:dyDescent="0.2">
      <c r="A258" s="52">
        <v>2008</v>
      </c>
      <c r="B258" t="s">
        <v>71</v>
      </c>
      <c r="C258" t="s">
        <v>163</v>
      </c>
      <c r="D258">
        <v>648</v>
      </c>
      <c r="E258">
        <v>163</v>
      </c>
      <c r="F258">
        <v>5</v>
      </c>
      <c r="G258">
        <v>10</v>
      </c>
      <c r="H258">
        <v>158</v>
      </c>
      <c r="I258">
        <v>42</v>
      </c>
      <c r="J258">
        <v>1459</v>
      </c>
      <c r="K258">
        <v>6221</v>
      </c>
      <c r="L258">
        <v>1568</v>
      </c>
      <c r="M258" s="1">
        <v>745</v>
      </c>
      <c r="N258">
        <f t="shared" si="6"/>
        <v>1063</v>
      </c>
      <c r="O258">
        <v>295</v>
      </c>
      <c r="P258">
        <v>27</v>
      </c>
      <c r="Q258">
        <v>183</v>
      </c>
      <c r="R258">
        <v>675</v>
      </c>
      <c r="S258">
        <v>406</v>
      </c>
      <c r="T258">
        <v>38</v>
      </c>
      <c r="U258">
        <f t="shared" si="7"/>
        <v>4216</v>
      </c>
      <c r="V258">
        <v>995</v>
      </c>
      <c r="W258">
        <v>32</v>
      </c>
      <c r="X258">
        <v>37</v>
      </c>
      <c r="Y258">
        <v>45</v>
      </c>
      <c r="Z258">
        <v>31</v>
      </c>
      <c r="AA258">
        <v>4</v>
      </c>
      <c r="AB258">
        <v>143</v>
      </c>
      <c r="AC258">
        <v>67</v>
      </c>
      <c r="AD258" s="1">
        <v>88</v>
      </c>
      <c r="AE258" s="1">
        <v>75</v>
      </c>
      <c r="AF258">
        <v>4.16</v>
      </c>
    </row>
    <row r="259" spans="1:32" x14ac:dyDescent="0.2">
      <c r="A259" s="52">
        <v>2008</v>
      </c>
      <c r="B259" t="s">
        <v>158</v>
      </c>
      <c r="C259" t="s">
        <v>38</v>
      </c>
      <c r="D259">
        <v>719</v>
      </c>
      <c r="E259">
        <v>162</v>
      </c>
      <c r="F259">
        <v>5</v>
      </c>
      <c r="G259">
        <v>12</v>
      </c>
      <c r="H259">
        <v>157</v>
      </c>
      <c r="I259">
        <v>43</v>
      </c>
      <c r="J259">
        <v>1464.1</v>
      </c>
      <c r="K259">
        <v>6338</v>
      </c>
      <c r="L259">
        <v>1415</v>
      </c>
      <c r="M259" s="1">
        <v>715</v>
      </c>
      <c r="N259">
        <f t="shared" ref="N259:N322" si="8">L259-(O259+P259+Q259)</f>
        <v>966</v>
      </c>
      <c r="O259">
        <v>264</v>
      </c>
      <c r="P259">
        <v>22</v>
      </c>
      <c r="Q259">
        <v>163</v>
      </c>
      <c r="R259">
        <v>662</v>
      </c>
      <c r="S259">
        <v>590</v>
      </c>
      <c r="T259">
        <v>53</v>
      </c>
      <c r="U259">
        <f t="shared" ref="U259:U322" si="9">K259-(L259+S259+Z259)</f>
        <v>4263</v>
      </c>
      <c r="V259">
        <v>1181</v>
      </c>
      <c r="W259">
        <v>73</v>
      </c>
      <c r="X259">
        <v>40</v>
      </c>
      <c r="Y259">
        <v>55</v>
      </c>
      <c r="Z259">
        <v>70</v>
      </c>
      <c r="AA259">
        <v>4</v>
      </c>
      <c r="AB259">
        <v>112</v>
      </c>
      <c r="AC259">
        <v>58</v>
      </c>
      <c r="AD259" s="1">
        <v>89</v>
      </c>
      <c r="AE259" s="1">
        <v>73</v>
      </c>
      <c r="AF259">
        <v>4.07</v>
      </c>
    </row>
    <row r="260" spans="1:32" x14ac:dyDescent="0.2">
      <c r="A260" s="52">
        <v>2008</v>
      </c>
      <c r="B260" t="s">
        <v>158</v>
      </c>
      <c r="C260" t="s">
        <v>163</v>
      </c>
      <c r="D260">
        <v>637</v>
      </c>
      <c r="E260">
        <v>162</v>
      </c>
      <c r="F260">
        <v>1</v>
      </c>
      <c r="G260">
        <v>11</v>
      </c>
      <c r="H260">
        <v>161</v>
      </c>
      <c r="I260">
        <v>42</v>
      </c>
      <c r="J260">
        <v>1441.2</v>
      </c>
      <c r="K260">
        <v>6175</v>
      </c>
      <c r="L260">
        <v>1478</v>
      </c>
      <c r="M260" s="1">
        <v>727</v>
      </c>
      <c r="N260">
        <f t="shared" si="8"/>
        <v>1022</v>
      </c>
      <c r="O260">
        <v>288</v>
      </c>
      <c r="P260">
        <v>25</v>
      </c>
      <c r="Q260">
        <v>143</v>
      </c>
      <c r="R260">
        <v>685</v>
      </c>
      <c r="S260">
        <v>489</v>
      </c>
      <c r="T260">
        <v>37</v>
      </c>
      <c r="U260">
        <f t="shared" si="9"/>
        <v>4157</v>
      </c>
      <c r="V260">
        <v>1141</v>
      </c>
      <c r="W260">
        <v>35</v>
      </c>
      <c r="X260">
        <v>52</v>
      </c>
      <c r="Y260">
        <v>55</v>
      </c>
      <c r="Z260">
        <v>51</v>
      </c>
      <c r="AA260">
        <v>5</v>
      </c>
      <c r="AB260">
        <v>111</v>
      </c>
      <c r="AC260">
        <v>55</v>
      </c>
      <c r="AD260" s="1">
        <v>89</v>
      </c>
      <c r="AE260" s="1">
        <v>73</v>
      </c>
      <c r="AF260">
        <v>4.28</v>
      </c>
    </row>
    <row r="261" spans="1:32" x14ac:dyDescent="0.2">
      <c r="A261" s="52">
        <v>2008</v>
      </c>
      <c r="B261" t="s">
        <v>79</v>
      </c>
      <c r="C261" t="s">
        <v>163</v>
      </c>
      <c r="D261">
        <v>602</v>
      </c>
      <c r="E261">
        <v>161</v>
      </c>
      <c r="F261">
        <v>4</v>
      </c>
      <c r="G261">
        <v>7</v>
      </c>
      <c r="H261">
        <v>157</v>
      </c>
      <c r="I261">
        <v>33</v>
      </c>
      <c r="J261">
        <v>1435</v>
      </c>
      <c r="K261">
        <v>6112</v>
      </c>
      <c r="L261">
        <v>1364</v>
      </c>
      <c r="M261" s="1">
        <v>690</v>
      </c>
      <c r="N261">
        <f t="shared" si="8"/>
        <v>914</v>
      </c>
      <c r="O261">
        <v>284</v>
      </c>
      <c r="P261">
        <v>31</v>
      </c>
      <c r="Q261">
        <v>135</v>
      </c>
      <c r="R261">
        <v>640</v>
      </c>
      <c r="S261">
        <v>576</v>
      </c>
      <c r="T261">
        <v>45</v>
      </c>
      <c r="U261">
        <f t="shared" si="9"/>
        <v>4118</v>
      </c>
      <c r="V261">
        <v>1061</v>
      </c>
      <c r="W261">
        <v>32</v>
      </c>
      <c r="X261">
        <v>53</v>
      </c>
      <c r="Y261">
        <v>30</v>
      </c>
      <c r="Z261">
        <v>54</v>
      </c>
      <c r="AA261">
        <v>4</v>
      </c>
      <c r="AB261">
        <v>142</v>
      </c>
      <c r="AC261">
        <v>67</v>
      </c>
      <c r="AD261" s="1">
        <v>75</v>
      </c>
      <c r="AE261" s="1">
        <v>86</v>
      </c>
      <c r="AF261">
        <v>4.01</v>
      </c>
    </row>
    <row r="262" spans="1:32" x14ac:dyDescent="0.2">
      <c r="A262" s="52">
        <v>2008</v>
      </c>
      <c r="B262" t="s">
        <v>81</v>
      </c>
      <c r="C262" t="s">
        <v>38</v>
      </c>
      <c r="D262">
        <v>630</v>
      </c>
      <c r="E262">
        <v>162</v>
      </c>
      <c r="F262">
        <v>4</v>
      </c>
      <c r="G262">
        <v>11</v>
      </c>
      <c r="H262">
        <v>158</v>
      </c>
      <c r="I262">
        <v>47</v>
      </c>
      <c r="J262">
        <v>1449.2</v>
      </c>
      <c r="K262">
        <v>6229</v>
      </c>
      <c r="L262">
        <v>1444</v>
      </c>
      <c r="M262" s="1">
        <v>680</v>
      </c>
      <c r="N262">
        <f t="shared" si="8"/>
        <v>953</v>
      </c>
      <c r="O262">
        <v>306</v>
      </c>
      <c r="P262">
        <v>25</v>
      </c>
      <c r="Q262">
        <v>160</v>
      </c>
      <c r="R262">
        <v>625</v>
      </c>
      <c r="S262">
        <v>533</v>
      </c>
      <c r="T262">
        <v>64</v>
      </c>
      <c r="U262">
        <f t="shared" si="9"/>
        <v>4195</v>
      </c>
      <c r="V262">
        <v>1081</v>
      </c>
      <c r="W262">
        <v>50</v>
      </c>
      <c r="X262">
        <v>24</v>
      </c>
      <c r="Y262">
        <v>34</v>
      </c>
      <c r="Z262">
        <v>57</v>
      </c>
      <c r="AA262">
        <v>3</v>
      </c>
      <c r="AB262">
        <v>127</v>
      </c>
      <c r="AC262">
        <v>59</v>
      </c>
      <c r="AD262" s="1">
        <v>92</v>
      </c>
      <c r="AE262" s="1">
        <v>70</v>
      </c>
      <c r="AF262">
        <v>3.88</v>
      </c>
    </row>
    <row r="263" spans="1:32" x14ac:dyDescent="0.2">
      <c r="A263" s="52">
        <v>2008</v>
      </c>
      <c r="B263" t="s">
        <v>83</v>
      </c>
      <c r="C263" t="s">
        <v>38</v>
      </c>
      <c r="D263">
        <v>659</v>
      </c>
      <c r="E263">
        <v>162</v>
      </c>
      <c r="F263">
        <v>3</v>
      </c>
      <c r="G263">
        <v>7</v>
      </c>
      <c r="H263">
        <v>159</v>
      </c>
      <c r="I263">
        <v>34</v>
      </c>
      <c r="J263">
        <v>1455</v>
      </c>
      <c r="K263">
        <v>6528</v>
      </c>
      <c r="L263">
        <v>1631</v>
      </c>
      <c r="M263" s="1">
        <v>884</v>
      </c>
      <c r="N263">
        <f t="shared" si="8"/>
        <v>1061</v>
      </c>
      <c r="O263">
        <v>361</v>
      </c>
      <c r="P263">
        <v>33</v>
      </c>
      <c r="Q263">
        <v>176</v>
      </c>
      <c r="R263">
        <v>822</v>
      </c>
      <c r="S263">
        <v>657</v>
      </c>
      <c r="T263">
        <v>31</v>
      </c>
      <c r="U263">
        <f t="shared" si="9"/>
        <v>4191</v>
      </c>
      <c r="V263">
        <v>963</v>
      </c>
      <c r="W263">
        <v>72</v>
      </c>
      <c r="X263">
        <v>56</v>
      </c>
      <c r="Y263">
        <v>64</v>
      </c>
      <c r="Z263">
        <v>49</v>
      </c>
      <c r="AA263">
        <v>9</v>
      </c>
      <c r="AB263">
        <v>157</v>
      </c>
      <c r="AC263">
        <v>72</v>
      </c>
      <c r="AD263" s="1">
        <v>67</v>
      </c>
      <c r="AE263" s="1">
        <v>95</v>
      </c>
      <c r="AF263">
        <v>5.08</v>
      </c>
    </row>
    <row r="264" spans="1:32" x14ac:dyDescent="0.2">
      <c r="A264" s="52">
        <v>2008</v>
      </c>
      <c r="B264" t="s">
        <v>161</v>
      </c>
      <c r="C264" t="s">
        <v>38</v>
      </c>
      <c r="D264">
        <v>653</v>
      </c>
      <c r="E264">
        <v>162</v>
      </c>
      <c r="F264">
        <v>3</v>
      </c>
      <c r="G264">
        <v>6</v>
      </c>
      <c r="H264">
        <v>159</v>
      </c>
      <c r="I264">
        <v>30</v>
      </c>
      <c r="J264">
        <v>1458.1</v>
      </c>
      <c r="K264">
        <v>6286</v>
      </c>
      <c r="L264">
        <v>1466</v>
      </c>
      <c r="M264" s="1">
        <v>764</v>
      </c>
      <c r="N264">
        <f t="shared" si="8"/>
        <v>1011</v>
      </c>
      <c r="O264">
        <v>261</v>
      </c>
      <c r="P264">
        <v>29</v>
      </c>
      <c r="Q264">
        <v>165</v>
      </c>
      <c r="R264">
        <v>714</v>
      </c>
      <c r="S264">
        <v>561</v>
      </c>
      <c r="T264">
        <v>61</v>
      </c>
      <c r="U264">
        <f t="shared" si="9"/>
        <v>4221</v>
      </c>
      <c r="V264">
        <v>1100</v>
      </c>
      <c r="W264">
        <v>64</v>
      </c>
      <c r="X264">
        <v>49</v>
      </c>
      <c r="Y264">
        <v>43</v>
      </c>
      <c r="Z264">
        <v>38</v>
      </c>
      <c r="AA264">
        <v>4</v>
      </c>
      <c r="AB264">
        <v>123</v>
      </c>
      <c r="AC264">
        <v>50</v>
      </c>
      <c r="AD264" s="1">
        <v>63</v>
      </c>
      <c r="AE264" s="1">
        <v>99</v>
      </c>
      <c r="AF264">
        <v>4.41</v>
      </c>
    </row>
    <row r="265" spans="1:32" x14ac:dyDescent="0.2">
      <c r="A265" s="52">
        <v>2008</v>
      </c>
      <c r="B265" t="s">
        <v>87</v>
      </c>
      <c r="C265" t="s">
        <v>163</v>
      </c>
      <c r="D265">
        <v>631</v>
      </c>
      <c r="E265">
        <v>162</v>
      </c>
      <c r="F265">
        <v>4</v>
      </c>
      <c r="G265">
        <v>4</v>
      </c>
      <c r="H265">
        <v>158</v>
      </c>
      <c r="I265">
        <v>36</v>
      </c>
      <c r="J265">
        <v>1435.1</v>
      </c>
      <c r="K265">
        <v>6368</v>
      </c>
      <c r="L265">
        <v>1544</v>
      </c>
      <c r="M265" s="1">
        <v>811</v>
      </c>
      <c r="N265">
        <f t="shared" si="8"/>
        <v>1012</v>
      </c>
      <c r="O265">
        <v>351</v>
      </c>
      <c r="P265">
        <v>20</v>
      </c>
      <c r="Q265">
        <v>161</v>
      </c>
      <c r="R265">
        <v>754</v>
      </c>
      <c r="S265">
        <v>626</v>
      </c>
      <c r="T265">
        <v>37</v>
      </c>
      <c r="U265">
        <f t="shared" si="9"/>
        <v>4145</v>
      </c>
      <c r="V265">
        <v>1016</v>
      </c>
      <c r="W265">
        <v>41</v>
      </c>
      <c r="X265">
        <v>61</v>
      </c>
      <c r="Y265">
        <v>60</v>
      </c>
      <c r="Z265">
        <v>53</v>
      </c>
      <c r="AA265">
        <v>5</v>
      </c>
      <c r="AB265">
        <v>139</v>
      </c>
      <c r="AC265">
        <v>66</v>
      </c>
      <c r="AD265" s="1">
        <v>61</v>
      </c>
      <c r="AE265" s="1">
        <v>101</v>
      </c>
      <c r="AF265">
        <v>4.7300000000000004</v>
      </c>
    </row>
    <row r="266" spans="1:32" x14ac:dyDescent="0.2">
      <c r="A266" s="52">
        <v>2008</v>
      </c>
      <c r="B266" t="s">
        <v>21</v>
      </c>
      <c r="C266" t="s">
        <v>38</v>
      </c>
      <c r="D266">
        <v>640</v>
      </c>
      <c r="E266">
        <v>162</v>
      </c>
      <c r="F266">
        <v>4</v>
      </c>
      <c r="G266">
        <v>12</v>
      </c>
      <c r="H266">
        <v>158</v>
      </c>
      <c r="I266">
        <v>41</v>
      </c>
      <c r="J266">
        <v>1442</v>
      </c>
      <c r="K266">
        <v>6341</v>
      </c>
      <c r="L266">
        <v>1416</v>
      </c>
      <c r="M266" s="1">
        <v>759</v>
      </c>
      <c r="N266">
        <f t="shared" si="8"/>
        <v>936</v>
      </c>
      <c r="O266">
        <v>301</v>
      </c>
      <c r="P266">
        <v>32</v>
      </c>
      <c r="Q266">
        <v>147</v>
      </c>
      <c r="R266">
        <v>701</v>
      </c>
      <c r="S266">
        <v>652</v>
      </c>
      <c r="T266">
        <v>59</v>
      </c>
      <c r="U266">
        <f t="shared" si="9"/>
        <v>4203</v>
      </c>
      <c r="V266">
        <v>1240</v>
      </c>
      <c r="W266">
        <v>67</v>
      </c>
      <c r="X266">
        <v>57</v>
      </c>
      <c r="Y266">
        <v>77</v>
      </c>
      <c r="Z266">
        <v>70</v>
      </c>
      <c r="AA266">
        <v>7</v>
      </c>
      <c r="AB266">
        <v>105</v>
      </c>
      <c r="AC266">
        <v>70</v>
      </c>
      <c r="AD266" s="1">
        <v>72</v>
      </c>
      <c r="AE266" s="1">
        <v>90</v>
      </c>
      <c r="AF266">
        <v>4.38</v>
      </c>
    </row>
    <row r="267" spans="1:32" x14ac:dyDescent="0.2">
      <c r="A267" s="52">
        <v>2008</v>
      </c>
      <c r="B267" t="s">
        <v>156</v>
      </c>
      <c r="C267" t="s">
        <v>38</v>
      </c>
      <c r="D267">
        <v>668</v>
      </c>
      <c r="E267">
        <v>162</v>
      </c>
      <c r="F267">
        <v>2</v>
      </c>
      <c r="G267">
        <v>7</v>
      </c>
      <c r="H267">
        <v>160</v>
      </c>
      <c r="I267">
        <v>42</v>
      </c>
      <c r="J267">
        <v>1454</v>
      </c>
      <c r="K267">
        <v>6264</v>
      </c>
      <c r="L267">
        <v>1517</v>
      </c>
      <c r="M267" s="1">
        <v>725</v>
      </c>
      <c r="N267">
        <f t="shared" si="8"/>
        <v>968</v>
      </c>
      <c r="O267">
        <v>352</v>
      </c>
      <c r="P267">
        <v>34</v>
      </c>
      <c r="Q267">
        <v>163</v>
      </c>
      <c r="R267">
        <v>677</v>
      </c>
      <c r="S267">
        <v>496</v>
      </c>
      <c r="T267">
        <v>21</v>
      </c>
      <c r="U267">
        <f t="shared" si="9"/>
        <v>4200</v>
      </c>
      <c r="V267">
        <v>957</v>
      </c>
      <c r="W267">
        <v>52</v>
      </c>
      <c r="X267">
        <v>42</v>
      </c>
      <c r="Y267">
        <v>50</v>
      </c>
      <c r="Z267">
        <v>51</v>
      </c>
      <c r="AA267">
        <v>2</v>
      </c>
      <c r="AB267">
        <v>134</v>
      </c>
      <c r="AC267">
        <v>55</v>
      </c>
      <c r="AD267" s="1">
        <v>86</v>
      </c>
      <c r="AE267" s="1">
        <v>76</v>
      </c>
      <c r="AF267">
        <v>4.1900000000000004</v>
      </c>
    </row>
    <row r="268" spans="1:32" x14ac:dyDescent="0.2">
      <c r="A268" s="52">
        <v>2008</v>
      </c>
      <c r="B268" t="s">
        <v>165</v>
      </c>
      <c r="C268" t="s">
        <v>163</v>
      </c>
      <c r="D268">
        <v>610</v>
      </c>
      <c r="E268">
        <v>162</v>
      </c>
      <c r="F268">
        <v>7</v>
      </c>
      <c r="G268">
        <v>12</v>
      </c>
      <c r="H268">
        <v>155</v>
      </c>
      <c r="I268">
        <v>52</v>
      </c>
      <c r="J268">
        <v>1457.2</v>
      </c>
      <c r="K268">
        <v>6145</v>
      </c>
      <c r="L268">
        <v>1349</v>
      </c>
      <c r="M268" s="1">
        <v>671</v>
      </c>
      <c r="N268">
        <f t="shared" si="8"/>
        <v>862</v>
      </c>
      <c r="O268">
        <v>289</v>
      </c>
      <c r="P268">
        <v>32</v>
      </c>
      <c r="Q268">
        <v>166</v>
      </c>
      <c r="R268">
        <v>618</v>
      </c>
      <c r="S268">
        <v>526</v>
      </c>
      <c r="T268">
        <v>29</v>
      </c>
      <c r="U268">
        <f t="shared" si="9"/>
        <v>4224</v>
      </c>
      <c r="V268">
        <v>1143</v>
      </c>
      <c r="W268">
        <v>34</v>
      </c>
      <c r="X268">
        <v>45</v>
      </c>
      <c r="Y268">
        <v>52</v>
      </c>
      <c r="Z268">
        <v>46</v>
      </c>
      <c r="AA268">
        <v>3</v>
      </c>
      <c r="AB268">
        <v>132</v>
      </c>
      <c r="AC268">
        <v>64</v>
      </c>
      <c r="AD268" s="1">
        <v>97</v>
      </c>
      <c r="AE268" s="1">
        <v>65</v>
      </c>
      <c r="AF268">
        <v>3.82</v>
      </c>
    </row>
    <row r="269" spans="1:32" x14ac:dyDescent="0.2">
      <c r="A269" s="52">
        <v>2008</v>
      </c>
      <c r="B269" t="s">
        <v>95</v>
      </c>
      <c r="C269" t="s">
        <v>163</v>
      </c>
      <c r="D269">
        <v>619</v>
      </c>
      <c r="E269">
        <v>162</v>
      </c>
      <c r="F269">
        <v>6</v>
      </c>
      <c r="G269">
        <v>8</v>
      </c>
      <c r="H269">
        <v>156</v>
      </c>
      <c r="I269">
        <v>36</v>
      </c>
      <c r="J269">
        <v>1442</v>
      </c>
      <c r="K269">
        <v>6506</v>
      </c>
      <c r="L269">
        <v>1647</v>
      </c>
      <c r="M269" s="1">
        <v>967</v>
      </c>
      <c r="N269">
        <f t="shared" si="8"/>
        <v>1080</v>
      </c>
      <c r="O269">
        <v>355</v>
      </c>
      <c r="P269">
        <v>36</v>
      </c>
      <c r="Q269">
        <v>176</v>
      </c>
      <c r="R269">
        <v>860</v>
      </c>
      <c r="S269">
        <v>625</v>
      </c>
      <c r="T269">
        <v>44</v>
      </c>
      <c r="U269">
        <f t="shared" si="9"/>
        <v>4162</v>
      </c>
      <c r="V269">
        <v>963</v>
      </c>
      <c r="W269">
        <v>30</v>
      </c>
      <c r="X269">
        <v>55</v>
      </c>
      <c r="Y269">
        <v>62</v>
      </c>
      <c r="Z269">
        <v>72</v>
      </c>
      <c r="AA269">
        <v>9</v>
      </c>
      <c r="AB269">
        <v>160</v>
      </c>
      <c r="AC269">
        <v>80</v>
      </c>
      <c r="AD269" s="1">
        <v>79</v>
      </c>
      <c r="AE269" s="1">
        <v>83</v>
      </c>
      <c r="AF269">
        <v>5.37</v>
      </c>
    </row>
    <row r="270" spans="1:32" x14ac:dyDescent="0.2">
      <c r="A270" s="52">
        <v>2008</v>
      </c>
      <c r="B270" t="s">
        <v>97</v>
      </c>
      <c r="C270" t="s">
        <v>163</v>
      </c>
      <c r="D270">
        <v>583</v>
      </c>
      <c r="E270">
        <v>162</v>
      </c>
      <c r="F270">
        <v>15</v>
      </c>
      <c r="G270">
        <v>13</v>
      </c>
      <c r="H270">
        <v>147</v>
      </c>
      <c r="I270">
        <v>44</v>
      </c>
      <c r="J270">
        <v>1446.2</v>
      </c>
      <c r="K270">
        <v>6067</v>
      </c>
      <c r="L270">
        <v>1330</v>
      </c>
      <c r="M270" s="1">
        <v>610</v>
      </c>
      <c r="N270">
        <f t="shared" si="8"/>
        <v>884</v>
      </c>
      <c r="O270">
        <v>281</v>
      </c>
      <c r="P270">
        <v>31</v>
      </c>
      <c r="Q270">
        <v>134</v>
      </c>
      <c r="R270">
        <v>561</v>
      </c>
      <c r="S270">
        <v>467</v>
      </c>
      <c r="T270">
        <v>42</v>
      </c>
      <c r="U270">
        <f t="shared" si="9"/>
        <v>4203</v>
      </c>
      <c r="V270">
        <v>1184</v>
      </c>
      <c r="W270">
        <v>31</v>
      </c>
      <c r="X270">
        <v>40</v>
      </c>
      <c r="Y270">
        <v>51</v>
      </c>
      <c r="Z270">
        <v>67</v>
      </c>
      <c r="AA270">
        <v>4</v>
      </c>
      <c r="AB270">
        <v>111</v>
      </c>
      <c r="AC270">
        <v>61</v>
      </c>
      <c r="AD270" s="1">
        <v>86</v>
      </c>
      <c r="AE270" s="1">
        <v>76</v>
      </c>
      <c r="AF270">
        <v>3.49</v>
      </c>
    </row>
    <row r="271" spans="1:32" x14ac:dyDescent="0.2">
      <c r="A271" s="52">
        <v>2008</v>
      </c>
      <c r="B271" t="s">
        <v>101</v>
      </c>
      <c r="C271" t="s">
        <v>38</v>
      </c>
      <c r="D271">
        <v>678</v>
      </c>
      <c r="E271">
        <v>161</v>
      </c>
      <c r="F271">
        <v>2</v>
      </c>
      <c r="G271">
        <v>8</v>
      </c>
      <c r="H271">
        <v>159</v>
      </c>
      <c r="I271">
        <v>28</v>
      </c>
      <c r="J271">
        <v>1434</v>
      </c>
      <c r="K271">
        <v>6310</v>
      </c>
      <c r="L271">
        <v>1496</v>
      </c>
      <c r="M271" s="1">
        <v>825</v>
      </c>
      <c r="N271">
        <f t="shared" si="8"/>
        <v>979</v>
      </c>
      <c r="O271">
        <v>305</v>
      </c>
      <c r="P271">
        <v>22</v>
      </c>
      <c r="Q271">
        <v>190</v>
      </c>
      <c r="R271">
        <v>742</v>
      </c>
      <c r="S271">
        <v>588</v>
      </c>
      <c r="T271">
        <v>44</v>
      </c>
      <c r="U271">
        <f t="shared" si="9"/>
        <v>4175</v>
      </c>
      <c r="V271">
        <v>1063</v>
      </c>
      <c r="W271">
        <v>76</v>
      </c>
      <c r="X271">
        <v>49</v>
      </c>
      <c r="Y271">
        <v>59</v>
      </c>
      <c r="Z271">
        <v>51</v>
      </c>
      <c r="AA271">
        <v>8</v>
      </c>
      <c r="AB271">
        <v>119</v>
      </c>
      <c r="AC271">
        <v>74</v>
      </c>
      <c r="AD271" s="1">
        <v>59</v>
      </c>
      <c r="AE271" s="1">
        <v>102</v>
      </c>
      <c r="AF271">
        <v>4.66</v>
      </c>
    </row>
    <row r="272" spans="1:32" x14ac:dyDescent="0.2">
      <c r="A272" s="52">
        <v>2009</v>
      </c>
      <c r="B272" t="s">
        <v>37</v>
      </c>
      <c r="C272" t="s">
        <v>163</v>
      </c>
      <c r="D272">
        <v>596</v>
      </c>
      <c r="E272">
        <v>162</v>
      </c>
      <c r="F272">
        <v>9</v>
      </c>
      <c r="G272">
        <v>13</v>
      </c>
      <c r="H272">
        <v>153</v>
      </c>
      <c r="I272">
        <v>51</v>
      </c>
      <c r="J272">
        <v>1445</v>
      </c>
      <c r="K272">
        <v>6252</v>
      </c>
      <c r="L272">
        <v>1513</v>
      </c>
      <c r="M272" s="1">
        <v>761</v>
      </c>
      <c r="N272">
        <f t="shared" si="8"/>
        <v>1010</v>
      </c>
      <c r="O272">
        <v>298</v>
      </c>
      <c r="P272">
        <v>25</v>
      </c>
      <c r="Q272">
        <v>180</v>
      </c>
      <c r="R272">
        <v>715</v>
      </c>
      <c r="S272">
        <v>523</v>
      </c>
      <c r="T272">
        <v>35</v>
      </c>
      <c r="U272">
        <f t="shared" si="9"/>
        <v>4158</v>
      </c>
      <c r="V272">
        <v>1062</v>
      </c>
      <c r="W272">
        <v>52</v>
      </c>
      <c r="X272">
        <v>54</v>
      </c>
      <c r="Y272">
        <v>67</v>
      </c>
      <c r="Z272">
        <v>58</v>
      </c>
      <c r="AA272">
        <v>2</v>
      </c>
      <c r="AB272">
        <v>155</v>
      </c>
      <c r="AC272">
        <v>56</v>
      </c>
      <c r="AD272" s="1">
        <v>97</v>
      </c>
      <c r="AE272" s="1">
        <v>65</v>
      </c>
      <c r="AF272">
        <v>4.45</v>
      </c>
    </row>
    <row r="273" spans="1:32" x14ac:dyDescent="0.2">
      <c r="A273" s="52">
        <v>2009</v>
      </c>
      <c r="B273" t="s">
        <v>40</v>
      </c>
      <c r="C273" t="s">
        <v>38</v>
      </c>
      <c r="D273">
        <v>645</v>
      </c>
      <c r="E273">
        <v>162</v>
      </c>
      <c r="F273">
        <v>4</v>
      </c>
      <c r="G273">
        <v>12</v>
      </c>
      <c r="H273">
        <v>158</v>
      </c>
      <c r="I273">
        <v>36</v>
      </c>
      <c r="J273">
        <v>1447.2</v>
      </c>
      <c r="K273">
        <v>6267</v>
      </c>
      <c r="L273">
        <v>1470</v>
      </c>
      <c r="M273" s="1">
        <v>782</v>
      </c>
      <c r="N273">
        <f t="shared" si="8"/>
        <v>975</v>
      </c>
      <c r="O273">
        <v>285</v>
      </c>
      <c r="P273">
        <v>42</v>
      </c>
      <c r="Q273">
        <v>168</v>
      </c>
      <c r="R273">
        <v>711</v>
      </c>
      <c r="S273">
        <v>525</v>
      </c>
      <c r="T273">
        <v>27</v>
      </c>
      <c r="U273">
        <f t="shared" si="9"/>
        <v>4219</v>
      </c>
      <c r="V273">
        <v>1158</v>
      </c>
      <c r="W273">
        <v>59</v>
      </c>
      <c r="X273">
        <v>39</v>
      </c>
      <c r="Y273">
        <v>79</v>
      </c>
      <c r="Z273">
        <v>53</v>
      </c>
      <c r="AA273">
        <v>2</v>
      </c>
      <c r="AB273">
        <v>115</v>
      </c>
      <c r="AC273">
        <v>68</v>
      </c>
      <c r="AD273" s="1">
        <v>70</v>
      </c>
      <c r="AE273" s="1">
        <v>92</v>
      </c>
      <c r="AF273">
        <v>4.42</v>
      </c>
    </row>
    <row r="274" spans="1:32" x14ac:dyDescent="0.2">
      <c r="A274" s="52">
        <v>2009</v>
      </c>
      <c r="B274" t="s">
        <v>42</v>
      </c>
      <c r="C274" t="s">
        <v>38</v>
      </c>
      <c r="D274">
        <v>650</v>
      </c>
      <c r="E274">
        <v>162</v>
      </c>
      <c r="F274">
        <v>3</v>
      </c>
      <c r="G274">
        <v>10</v>
      </c>
      <c r="H274">
        <v>159</v>
      </c>
      <c r="I274">
        <v>38</v>
      </c>
      <c r="J274">
        <v>1462.2</v>
      </c>
      <c r="K274">
        <v>6208</v>
      </c>
      <c r="L274">
        <v>1399</v>
      </c>
      <c r="M274" s="1">
        <v>641</v>
      </c>
      <c r="N274">
        <f t="shared" si="8"/>
        <v>936</v>
      </c>
      <c r="O274">
        <v>295</v>
      </c>
      <c r="P274">
        <v>49</v>
      </c>
      <c r="Q274">
        <v>119</v>
      </c>
      <c r="R274">
        <v>581</v>
      </c>
      <c r="S274">
        <v>530</v>
      </c>
      <c r="T274">
        <v>59</v>
      </c>
      <c r="U274">
        <f t="shared" si="9"/>
        <v>4230</v>
      </c>
      <c r="V274">
        <v>1232</v>
      </c>
      <c r="W274">
        <v>86</v>
      </c>
      <c r="X274">
        <v>34</v>
      </c>
      <c r="Y274">
        <v>40</v>
      </c>
      <c r="Z274">
        <v>49</v>
      </c>
      <c r="AA274">
        <v>6</v>
      </c>
      <c r="AB274">
        <v>138</v>
      </c>
      <c r="AC274">
        <v>68</v>
      </c>
      <c r="AD274" s="1">
        <v>86</v>
      </c>
      <c r="AE274" s="1">
        <v>76</v>
      </c>
      <c r="AF274">
        <v>3.57</v>
      </c>
    </row>
    <row r="275" spans="1:32" x14ac:dyDescent="0.2">
      <c r="A275" s="52">
        <v>2009</v>
      </c>
      <c r="B275" t="s">
        <v>45</v>
      </c>
      <c r="C275" t="s">
        <v>163</v>
      </c>
      <c r="D275">
        <v>646</v>
      </c>
      <c r="E275">
        <v>162</v>
      </c>
      <c r="F275">
        <v>2</v>
      </c>
      <c r="G275">
        <v>3</v>
      </c>
      <c r="H275">
        <v>160</v>
      </c>
      <c r="I275">
        <v>31</v>
      </c>
      <c r="J275">
        <v>1429</v>
      </c>
      <c r="K275">
        <v>6359</v>
      </c>
      <c r="L275">
        <v>1633</v>
      </c>
      <c r="M275" s="1">
        <v>876</v>
      </c>
      <c r="N275">
        <f t="shared" si="8"/>
        <v>1031</v>
      </c>
      <c r="O275">
        <v>356</v>
      </c>
      <c r="P275">
        <v>28</v>
      </c>
      <c r="Q275">
        <v>218</v>
      </c>
      <c r="R275">
        <v>817</v>
      </c>
      <c r="S275">
        <v>546</v>
      </c>
      <c r="T275">
        <v>45</v>
      </c>
      <c r="U275">
        <f t="shared" si="9"/>
        <v>4129</v>
      </c>
      <c r="V275">
        <v>933</v>
      </c>
      <c r="W275">
        <v>35</v>
      </c>
      <c r="X275">
        <v>51</v>
      </c>
      <c r="Y275">
        <v>31</v>
      </c>
      <c r="Z275">
        <v>51</v>
      </c>
      <c r="AA275">
        <v>7</v>
      </c>
      <c r="AB275">
        <v>132</v>
      </c>
      <c r="AC275">
        <v>57</v>
      </c>
      <c r="AD275" s="1">
        <v>64</v>
      </c>
      <c r="AE275" s="1">
        <v>98</v>
      </c>
      <c r="AF275">
        <v>5.15</v>
      </c>
    </row>
    <row r="276" spans="1:32" x14ac:dyDescent="0.2">
      <c r="A276" s="52">
        <v>2009</v>
      </c>
      <c r="B276" t="s">
        <v>47</v>
      </c>
      <c r="C276" t="s">
        <v>163</v>
      </c>
      <c r="D276">
        <v>625</v>
      </c>
      <c r="E276">
        <v>162</v>
      </c>
      <c r="F276">
        <v>8</v>
      </c>
      <c r="G276">
        <v>11</v>
      </c>
      <c r="H276">
        <v>154</v>
      </c>
      <c r="I276">
        <v>41</v>
      </c>
      <c r="J276">
        <v>1436.2</v>
      </c>
      <c r="K276">
        <v>6283</v>
      </c>
      <c r="L276">
        <v>1494</v>
      </c>
      <c r="M276" s="1">
        <v>736</v>
      </c>
      <c r="N276">
        <f t="shared" si="8"/>
        <v>988</v>
      </c>
      <c r="O276">
        <v>312</v>
      </c>
      <c r="P276">
        <v>27</v>
      </c>
      <c r="Q276">
        <v>167</v>
      </c>
      <c r="R276">
        <v>695</v>
      </c>
      <c r="S276">
        <v>530</v>
      </c>
      <c r="T276">
        <v>24</v>
      </c>
      <c r="U276">
        <f t="shared" si="9"/>
        <v>4191</v>
      </c>
      <c r="V276">
        <v>1230</v>
      </c>
      <c r="W276">
        <v>43</v>
      </c>
      <c r="X276">
        <v>48</v>
      </c>
      <c r="Y276">
        <v>42</v>
      </c>
      <c r="Z276">
        <v>68</v>
      </c>
      <c r="AA276">
        <v>5</v>
      </c>
      <c r="AB276">
        <v>96</v>
      </c>
      <c r="AC276">
        <v>54</v>
      </c>
      <c r="AD276" s="1">
        <v>95</v>
      </c>
      <c r="AE276" s="1">
        <v>67</v>
      </c>
      <c r="AF276">
        <v>4.3499999999999996</v>
      </c>
    </row>
    <row r="277" spans="1:32" x14ac:dyDescent="0.2">
      <c r="A277" s="52">
        <v>2009</v>
      </c>
      <c r="B277" t="s">
        <v>157</v>
      </c>
      <c r="C277" t="s">
        <v>38</v>
      </c>
      <c r="D277">
        <v>641</v>
      </c>
      <c r="E277">
        <v>161</v>
      </c>
      <c r="F277">
        <v>3</v>
      </c>
      <c r="G277">
        <v>8</v>
      </c>
      <c r="H277">
        <v>158</v>
      </c>
      <c r="I277">
        <v>40</v>
      </c>
      <c r="J277">
        <v>1445.1</v>
      </c>
      <c r="K277">
        <v>6177</v>
      </c>
      <c r="L277">
        <v>1329</v>
      </c>
      <c r="M277" s="1">
        <v>672</v>
      </c>
      <c r="N277">
        <f t="shared" si="8"/>
        <v>902</v>
      </c>
      <c r="O277">
        <v>233</v>
      </c>
      <c r="P277">
        <v>34</v>
      </c>
      <c r="Q277">
        <v>160</v>
      </c>
      <c r="R277">
        <v>616</v>
      </c>
      <c r="S277">
        <v>586</v>
      </c>
      <c r="T277">
        <v>46</v>
      </c>
      <c r="U277">
        <f t="shared" si="9"/>
        <v>4203</v>
      </c>
      <c r="V277">
        <v>1272</v>
      </c>
      <c r="W277">
        <v>87</v>
      </c>
      <c r="X277">
        <v>43</v>
      </c>
      <c r="Y277">
        <v>60</v>
      </c>
      <c r="Z277">
        <v>59</v>
      </c>
      <c r="AA277">
        <v>6</v>
      </c>
      <c r="AB277">
        <v>118</v>
      </c>
      <c r="AC277">
        <v>68</v>
      </c>
      <c r="AD277" s="1">
        <v>83</v>
      </c>
      <c r="AE277" s="1">
        <v>78</v>
      </c>
      <c r="AF277">
        <v>3.84</v>
      </c>
    </row>
    <row r="278" spans="1:32" x14ac:dyDescent="0.2">
      <c r="A278" s="52">
        <v>2009</v>
      </c>
      <c r="B278" t="s">
        <v>157</v>
      </c>
      <c r="C278" t="s">
        <v>163</v>
      </c>
      <c r="D278">
        <v>577</v>
      </c>
      <c r="E278">
        <v>162</v>
      </c>
      <c r="F278">
        <v>4</v>
      </c>
      <c r="G278">
        <v>11</v>
      </c>
      <c r="H278">
        <v>158</v>
      </c>
      <c r="I278">
        <v>36</v>
      </c>
      <c r="J278">
        <v>1439.2</v>
      </c>
      <c r="K278">
        <v>6155</v>
      </c>
      <c r="L278">
        <v>1438</v>
      </c>
      <c r="M278" s="1">
        <v>732</v>
      </c>
      <c r="N278">
        <f t="shared" si="8"/>
        <v>955</v>
      </c>
      <c r="O278">
        <v>291</v>
      </c>
      <c r="P278">
        <v>23</v>
      </c>
      <c r="Q278">
        <v>169</v>
      </c>
      <c r="R278">
        <v>663</v>
      </c>
      <c r="S278">
        <v>507</v>
      </c>
      <c r="T278">
        <v>41</v>
      </c>
      <c r="U278">
        <f t="shared" si="9"/>
        <v>4169</v>
      </c>
      <c r="V278">
        <v>1119</v>
      </c>
      <c r="W278">
        <v>46</v>
      </c>
      <c r="X278">
        <v>47</v>
      </c>
      <c r="Y278">
        <v>55</v>
      </c>
      <c r="Z278">
        <v>41</v>
      </c>
      <c r="AA278">
        <v>5</v>
      </c>
      <c r="AB278">
        <v>131</v>
      </c>
      <c r="AC278">
        <v>77</v>
      </c>
      <c r="AD278" s="1">
        <v>79</v>
      </c>
      <c r="AE278" s="1">
        <v>83</v>
      </c>
      <c r="AF278">
        <v>4.1399999999999997</v>
      </c>
    </row>
    <row r="279" spans="1:32" x14ac:dyDescent="0.2">
      <c r="A279" s="52">
        <v>2009</v>
      </c>
      <c r="B279" t="s">
        <v>53</v>
      </c>
      <c r="C279" t="s">
        <v>38</v>
      </c>
      <c r="D279">
        <v>640</v>
      </c>
      <c r="E279">
        <v>162</v>
      </c>
      <c r="F279">
        <v>6</v>
      </c>
      <c r="G279">
        <v>12</v>
      </c>
      <c r="H279">
        <v>156</v>
      </c>
      <c r="I279">
        <v>41</v>
      </c>
      <c r="J279">
        <v>1458.1</v>
      </c>
      <c r="K279">
        <v>6253</v>
      </c>
      <c r="L279">
        <v>1420</v>
      </c>
      <c r="M279" s="1">
        <v>723</v>
      </c>
      <c r="N279">
        <f t="shared" si="8"/>
        <v>936</v>
      </c>
      <c r="O279">
        <v>273</v>
      </c>
      <c r="P279">
        <v>23</v>
      </c>
      <c r="Q279">
        <v>188</v>
      </c>
      <c r="R279">
        <v>677</v>
      </c>
      <c r="S279">
        <v>577</v>
      </c>
      <c r="T279">
        <v>36</v>
      </c>
      <c r="U279">
        <f t="shared" si="9"/>
        <v>4191</v>
      </c>
      <c r="V279">
        <v>1069</v>
      </c>
      <c r="W279">
        <v>61</v>
      </c>
      <c r="X279">
        <v>42</v>
      </c>
      <c r="Y279">
        <v>45</v>
      </c>
      <c r="Z279">
        <v>65</v>
      </c>
      <c r="AA279">
        <v>1</v>
      </c>
      <c r="AB279">
        <v>134</v>
      </c>
      <c r="AC279">
        <v>57</v>
      </c>
      <c r="AD279" s="1">
        <v>78</v>
      </c>
      <c r="AE279" s="1">
        <v>84</v>
      </c>
      <c r="AF279">
        <v>4.18</v>
      </c>
    </row>
    <row r="280" spans="1:32" x14ac:dyDescent="0.2">
      <c r="A280" s="52">
        <v>2009</v>
      </c>
      <c r="B280" t="s">
        <v>55</v>
      </c>
      <c r="C280" t="s">
        <v>163</v>
      </c>
      <c r="D280">
        <v>607</v>
      </c>
      <c r="E280">
        <v>162</v>
      </c>
      <c r="F280">
        <v>5</v>
      </c>
      <c r="G280">
        <v>6</v>
      </c>
      <c r="H280">
        <v>157</v>
      </c>
      <c r="I280">
        <v>25</v>
      </c>
      <c r="J280">
        <v>1434</v>
      </c>
      <c r="K280">
        <v>6354</v>
      </c>
      <c r="L280">
        <v>1570</v>
      </c>
      <c r="M280" s="1">
        <v>865</v>
      </c>
      <c r="N280">
        <f t="shared" si="8"/>
        <v>1049</v>
      </c>
      <c r="O280">
        <v>311</v>
      </c>
      <c r="P280">
        <v>27</v>
      </c>
      <c r="Q280">
        <v>183</v>
      </c>
      <c r="R280">
        <v>806</v>
      </c>
      <c r="S280">
        <v>598</v>
      </c>
      <c r="T280">
        <v>31</v>
      </c>
      <c r="U280">
        <f t="shared" si="9"/>
        <v>4141</v>
      </c>
      <c r="V280">
        <v>986</v>
      </c>
      <c r="W280">
        <v>44</v>
      </c>
      <c r="X280">
        <v>55</v>
      </c>
      <c r="Y280">
        <v>49</v>
      </c>
      <c r="Z280">
        <v>45</v>
      </c>
      <c r="AA280">
        <v>7</v>
      </c>
      <c r="AB280">
        <v>149</v>
      </c>
      <c r="AC280">
        <v>66</v>
      </c>
      <c r="AD280" s="1">
        <v>65</v>
      </c>
      <c r="AE280" s="1">
        <v>97</v>
      </c>
      <c r="AF280">
        <v>5.0599999999999996</v>
      </c>
    </row>
    <row r="281" spans="1:32" x14ac:dyDescent="0.2">
      <c r="A281" s="52">
        <v>2009</v>
      </c>
      <c r="B281" t="s">
        <v>57</v>
      </c>
      <c r="C281" t="s">
        <v>38</v>
      </c>
      <c r="D281">
        <v>646</v>
      </c>
      <c r="E281">
        <v>162</v>
      </c>
      <c r="F281">
        <v>5</v>
      </c>
      <c r="G281">
        <v>7</v>
      </c>
      <c r="H281">
        <v>157</v>
      </c>
      <c r="I281">
        <v>45</v>
      </c>
      <c r="J281">
        <v>1438.1</v>
      </c>
      <c r="K281">
        <v>6171</v>
      </c>
      <c r="L281">
        <v>1427</v>
      </c>
      <c r="M281" s="1">
        <v>715</v>
      </c>
      <c r="N281">
        <f t="shared" si="8"/>
        <v>968</v>
      </c>
      <c r="O281">
        <v>271</v>
      </c>
      <c r="P281">
        <v>47</v>
      </c>
      <c r="Q281">
        <v>141</v>
      </c>
      <c r="R281">
        <v>675</v>
      </c>
      <c r="S281">
        <v>528</v>
      </c>
      <c r="T281">
        <v>51</v>
      </c>
      <c r="U281">
        <f t="shared" si="9"/>
        <v>4170</v>
      </c>
      <c r="V281">
        <v>1154</v>
      </c>
      <c r="W281">
        <v>74</v>
      </c>
      <c r="X281">
        <v>56</v>
      </c>
      <c r="Y281">
        <v>48</v>
      </c>
      <c r="Z281">
        <v>46</v>
      </c>
      <c r="AA281">
        <v>5</v>
      </c>
      <c r="AB281">
        <v>119</v>
      </c>
      <c r="AC281">
        <v>57</v>
      </c>
      <c r="AD281" s="1">
        <v>92</v>
      </c>
      <c r="AE281" s="1">
        <v>70</v>
      </c>
      <c r="AF281">
        <v>4.22</v>
      </c>
    </row>
    <row r="282" spans="1:32" x14ac:dyDescent="0.2">
      <c r="A282" s="52">
        <v>2009</v>
      </c>
      <c r="B282" t="s">
        <v>59</v>
      </c>
      <c r="C282" t="s">
        <v>163</v>
      </c>
      <c r="D282">
        <v>602</v>
      </c>
      <c r="E282">
        <v>163</v>
      </c>
      <c r="F282">
        <v>4</v>
      </c>
      <c r="G282">
        <v>9</v>
      </c>
      <c r="H282">
        <v>159</v>
      </c>
      <c r="I282">
        <v>42</v>
      </c>
      <c r="J282">
        <v>1447</v>
      </c>
      <c r="K282">
        <v>6240</v>
      </c>
      <c r="L282">
        <v>1449</v>
      </c>
      <c r="M282" s="1">
        <v>745</v>
      </c>
      <c r="N282">
        <f t="shared" si="8"/>
        <v>965</v>
      </c>
      <c r="O282">
        <v>271</v>
      </c>
      <c r="P282">
        <v>31</v>
      </c>
      <c r="Q282">
        <v>182</v>
      </c>
      <c r="R282">
        <v>690</v>
      </c>
      <c r="S282">
        <v>594</v>
      </c>
      <c r="T282">
        <v>42</v>
      </c>
      <c r="U282">
        <f t="shared" si="9"/>
        <v>4156</v>
      </c>
      <c r="V282">
        <v>1102</v>
      </c>
      <c r="W282">
        <v>43</v>
      </c>
      <c r="X282">
        <v>47</v>
      </c>
      <c r="Y282">
        <v>48</v>
      </c>
      <c r="Z282">
        <v>41</v>
      </c>
      <c r="AA282">
        <v>6</v>
      </c>
      <c r="AB282">
        <v>140</v>
      </c>
      <c r="AC282">
        <v>57</v>
      </c>
      <c r="AD282" s="1">
        <v>86</v>
      </c>
      <c r="AE282" s="1">
        <v>77</v>
      </c>
      <c r="AF282">
        <v>4.29</v>
      </c>
    </row>
    <row r="283" spans="1:32" x14ac:dyDescent="0.2">
      <c r="A283" s="52">
        <v>2009</v>
      </c>
      <c r="B283" t="s">
        <v>160</v>
      </c>
      <c r="C283" t="s">
        <v>38</v>
      </c>
      <c r="D283">
        <v>692</v>
      </c>
      <c r="E283">
        <v>162</v>
      </c>
      <c r="F283">
        <v>5</v>
      </c>
      <c r="G283">
        <v>5</v>
      </c>
      <c r="H283">
        <v>157</v>
      </c>
      <c r="I283">
        <v>45</v>
      </c>
      <c r="J283">
        <v>1446.1</v>
      </c>
      <c r="K283">
        <v>6299</v>
      </c>
      <c r="L283">
        <v>1425</v>
      </c>
      <c r="M283" s="1">
        <v>766</v>
      </c>
      <c r="N283">
        <f t="shared" si="8"/>
        <v>957</v>
      </c>
      <c r="O283">
        <v>261</v>
      </c>
      <c r="P283">
        <v>47</v>
      </c>
      <c r="Q283">
        <v>160</v>
      </c>
      <c r="R283">
        <v>690</v>
      </c>
      <c r="S283">
        <v>601</v>
      </c>
      <c r="T283">
        <v>60</v>
      </c>
      <c r="U283">
        <f t="shared" si="9"/>
        <v>4228</v>
      </c>
      <c r="V283">
        <v>1248</v>
      </c>
      <c r="W283">
        <v>77</v>
      </c>
      <c r="X283">
        <v>42</v>
      </c>
      <c r="Y283">
        <v>59</v>
      </c>
      <c r="Z283">
        <v>45</v>
      </c>
      <c r="AA283">
        <v>5</v>
      </c>
      <c r="AB283">
        <v>114</v>
      </c>
      <c r="AC283">
        <v>78</v>
      </c>
      <c r="AD283" s="1">
        <v>87</v>
      </c>
      <c r="AE283" s="1">
        <v>75</v>
      </c>
      <c r="AF283">
        <v>4.29</v>
      </c>
    </row>
    <row r="284" spans="1:32" x14ac:dyDescent="0.2">
      <c r="A284" s="52">
        <v>2009</v>
      </c>
      <c r="B284" t="s">
        <v>63</v>
      </c>
      <c r="C284" t="s">
        <v>38</v>
      </c>
      <c r="D284">
        <v>659</v>
      </c>
      <c r="E284">
        <v>162</v>
      </c>
      <c r="F284">
        <v>5</v>
      </c>
      <c r="G284">
        <v>10</v>
      </c>
      <c r="H284">
        <v>157</v>
      </c>
      <c r="I284">
        <v>39</v>
      </c>
      <c r="J284">
        <v>1430</v>
      </c>
      <c r="K284">
        <v>6237</v>
      </c>
      <c r="L284">
        <v>1521</v>
      </c>
      <c r="M284" s="1">
        <v>770</v>
      </c>
      <c r="N284">
        <f t="shared" si="8"/>
        <v>1002</v>
      </c>
      <c r="O284">
        <v>305</v>
      </c>
      <c r="P284">
        <v>38</v>
      </c>
      <c r="Q284">
        <v>176</v>
      </c>
      <c r="R284">
        <v>722</v>
      </c>
      <c r="S284">
        <v>546</v>
      </c>
      <c r="T284">
        <v>56</v>
      </c>
      <c r="U284">
        <f t="shared" si="9"/>
        <v>4120</v>
      </c>
      <c r="V284">
        <v>1144</v>
      </c>
      <c r="W284">
        <v>74</v>
      </c>
      <c r="X284">
        <v>45</v>
      </c>
      <c r="Y284">
        <v>43</v>
      </c>
      <c r="Z284">
        <v>50</v>
      </c>
      <c r="AA284">
        <v>4</v>
      </c>
      <c r="AB284">
        <v>142</v>
      </c>
      <c r="AC284">
        <v>61</v>
      </c>
      <c r="AD284" s="1">
        <v>74</v>
      </c>
      <c r="AE284" s="1">
        <v>88</v>
      </c>
      <c r="AF284">
        <v>4.54</v>
      </c>
    </row>
    <row r="285" spans="1:32" x14ac:dyDescent="0.2">
      <c r="A285" s="52">
        <v>2009</v>
      </c>
      <c r="B285" t="s">
        <v>164</v>
      </c>
      <c r="C285" t="s">
        <v>163</v>
      </c>
      <c r="D285">
        <v>588</v>
      </c>
      <c r="E285">
        <v>162</v>
      </c>
      <c r="F285">
        <v>10</v>
      </c>
      <c r="G285">
        <v>9</v>
      </c>
      <c r="H285">
        <v>152</v>
      </c>
      <c r="I285">
        <v>34</v>
      </c>
      <c r="J285">
        <v>1426</v>
      </c>
      <c r="K285">
        <v>6265</v>
      </c>
      <c r="L285">
        <v>1486</v>
      </c>
      <c r="M285" s="1">
        <v>842</v>
      </c>
      <c r="N285">
        <f t="shared" si="8"/>
        <v>1009</v>
      </c>
      <c r="O285">
        <v>273</v>
      </c>
      <c r="P285">
        <v>38</v>
      </c>
      <c r="Q285">
        <v>166</v>
      </c>
      <c r="R285">
        <v>765</v>
      </c>
      <c r="S285">
        <v>600</v>
      </c>
      <c r="T285">
        <v>28</v>
      </c>
      <c r="U285">
        <f t="shared" si="9"/>
        <v>4128</v>
      </c>
      <c r="V285">
        <v>1153</v>
      </c>
      <c r="W285">
        <v>35</v>
      </c>
      <c r="X285">
        <v>45</v>
      </c>
      <c r="Y285">
        <v>89</v>
      </c>
      <c r="Z285">
        <v>51</v>
      </c>
      <c r="AA285">
        <v>6</v>
      </c>
      <c r="AB285">
        <v>130</v>
      </c>
      <c r="AC285">
        <v>85</v>
      </c>
      <c r="AD285" s="1">
        <v>65</v>
      </c>
      <c r="AE285" s="1">
        <v>97</v>
      </c>
      <c r="AF285">
        <v>4.83</v>
      </c>
    </row>
    <row r="286" spans="1:32" x14ac:dyDescent="0.2">
      <c r="A286" s="52">
        <v>2009</v>
      </c>
      <c r="B286" t="s">
        <v>159</v>
      </c>
      <c r="C286" t="s">
        <v>38</v>
      </c>
      <c r="D286">
        <v>688</v>
      </c>
      <c r="E286">
        <v>162</v>
      </c>
      <c r="F286">
        <v>1</v>
      </c>
      <c r="G286">
        <v>9</v>
      </c>
      <c r="H286">
        <v>161</v>
      </c>
      <c r="I286">
        <v>44</v>
      </c>
      <c r="J286">
        <v>1473.1</v>
      </c>
      <c r="K286">
        <v>6182</v>
      </c>
      <c r="L286">
        <v>1265</v>
      </c>
      <c r="M286" s="1">
        <v>611</v>
      </c>
      <c r="N286">
        <f t="shared" si="8"/>
        <v>853</v>
      </c>
      <c r="O286">
        <v>255</v>
      </c>
      <c r="P286">
        <v>30</v>
      </c>
      <c r="Q286">
        <v>127</v>
      </c>
      <c r="R286">
        <v>558</v>
      </c>
      <c r="S286">
        <v>584</v>
      </c>
      <c r="T286">
        <v>68</v>
      </c>
      <c r="U286">
        <f t="shared" si="9"/>
        <v>4276</v>
      </c>
      <c r="V286">
        <v>1272</v>
      </c>
      <c r="W286">
        <v>75</v>
      </c>
      <c r="X286">
        <v>38</v>
      </c>
      <c r="Y286">
        <v>76</v>
      </c>
      <c r="Z286">
        <v>57</v>
      </c>
      <c r="AA286">
        <v>2</v>
      </c>
      <c r="AB286">
        <v>110</v>
      </c>
      <c r="AC286">
        <v>54</v>
      </c>
      <c r="AD286" s="1">
        <v>95</v>
      </c>
      <c r="AE286" s="1">
        <v>67</v>
      </c>
      <c r="AF286">
        <v>3.41</v>
      </c>
    </row>
    <row r="287" spans="1:32" x14ac:dyDescent="0.2">
      <c r="A287" s="52">
        <v>2009</v>
      </c>
      <c r="B287" t="s">
        <v>69</v>
      </c>
      <c r="C287" t="s">
        <v>38</v>
      </c>
      <c r="D287">
        <v>674</v>
      </c>
      <c r="E287">
        <v>162</v>
      </c>
      <c r="F287">
        <v>1</v>
      </c>
      <c r="G287">
        <v>8</v>
      </c>
      <c r="H287">
        <v>161</v>
      </c>
      <c r="I287">
        <v>44</v>
      </c>
      <c r="J287">
        <v>1435</v>
      </c>
      <c r="K287">
        <v>6352</v>
      </c>
      <c r="L287">
        <v>1498</v>
      </c>
      <c r="M287" s="1">
        <v>818</v>
      </c>
      <c r="N287">
        <f t="shared" si="8"/>
        <v>927</v>
      </c>
      <c r="O287">
        <v>332</v>
      </c>
      <c r="P287">
        <v>32</v>
      </c>
      <c r="Q287">
        <v>207</v>
      </c>
      <c r="R287">
        <v>770</v>
      </c>
      <c r="S287">
        <v>607</v>
      </c>
      <c r="T287">
        <v>60</v>
      </c>
      <c r="U287">
        <f t="shared" si="9"/>
        <v>4182</v>
      </c>
      <c r="V287">
        <v>1104</v>
      </c>
      <c r="W287">
        <v>55</v>
      </c>
      <c r="X287">
        <v>41</v>
      </c>
      <c r="Y287">
        <v>61</v>
      </c>
      <c r="Z287">
        <v>65</v>
      </c>
      <c r="AA287">
        <v>1</v>
      </c>
      <c r="AB287">
        <v>135</v>
      </c>
      <c r="AC287">
        <v>77</v>
      </c>
      <c r="AD287" s="1">
        <v>80</v>
      </c>
      <c r="AE287" s="1">
        <v>82</v>
      </c>
      <c r="AF287">
        <v>4.83</v>
      </c>
    </row>
    <row r="288" spans="1:32" x14ac:dyDescent="0.2">
      <c r="A288" s="52">
        <v>2009</v>
      </c>
      <c r="B288" t="s">
        <v>71</v>
      </c>
      <c r="C288" t="s">
        <v>163</v>
      </c>
      <c r="D288">
        <v>643</v>
      </c>
      <c r="E288">
        <v>163</v>
      </c>
      <c r="F288">
        <v>4</v>
      </c>
      <c r="G288">
        <v>7</v>
      </c>
      <c r="H288">
        <v>159</v>
      </c>
      <c r="I288">
        <v>48</v>
      </c>
      <c r="J288">
        <v>1453</v>
      </c>
      <c r="K288">
        <v>6274</v>
      </c>
      <c r="L288">
        <v>1542</v>
      </c>
      <c r="M288" s="1">
        <v>765</v>
      </c>
      <c r="N288">
        <f t="shared" si="8"/>
        <v>1040</v>
      </c>
      <c r="O288">
        <v>290</v>
      </c>
      <c r="P288">
        <v>27</v>
      </c>
      <c r="Q288">
        <v>185</v>
      </c>
      <c r="R288">
        <v>726</v>
      </c>
      <c r="S288">
        <v>466</v>
      </c>
      <c r="T288">
        <v>20</v>
      </c>
      <c r="U288">
        <f t="shared" si="9"/>
        <v>4208</v>
      </c>
      <c r="V288">
        <v>1052</v>
      </c>
      <c r="W288">
        <v>38</v>
      </c>
      <c r="X288">
        <v>49</v>
      </c>
      <c r="Y288">
        <v>43</v>
      </c>
      <c r="Z288">
        <v>58</v>
      </c>
      <c r="AA288">
        <v>3</v>
      </c>
      <c r="AB288">
        <v>114</v>
      </c>
      <c r="AC288">
        <v>42</v>
      </c>
      <c r="AD288" s="1">
        <v>87</v>
      </c>
      <c r="AE288" s="1">
        <v>76</v>
      </c>
      <c r="AF288">
        <v>4.5</v>
      </c>
    </row>
    <row r="289" spans="1:32" x14ac:dyDescent="0.2">
      <c r="A289" s="52">
        <v>2009</v>
      </c>
      <c r="B289" t="s">
        <v>158</v>
      </c>
      <c r="C289" t="s">
        <v>38</v>
      </c>
      <c r="D289">
        <v>673</v>
      </c>
      <c r="E289">
        <v>162</v>
      </c>
      <c r="F289">
        <v>3</v>
      </c>
      <c r="G289">
        <v>12</v>
      </c>
      <c r="H289">
        <v>159</v>
      </c>
      <c r="I289">
        <v>39</v>
      </c>
      <c r="J289">
        <v>1426</v>
      </c>
      <c r="K289">
        <v>6284</v>
      </c>
      <c r="L289">
        <v>1452</v>
      </c>
      <c r="M289" s="1">
        <v>757</v>
      </c>
      <c r="N289">
        <f t="shared" si="8"/>
        <v>955</v>
      </c>
      <c r="O289">
        <v>311</v>
      </c>
      <c r="P289">
        <v>28</v>
      </c>
      <c r="Q289">
        <v>158</v>
      </c>
      <c r="R289">
        <v>705</v>
      </c>
      <c r="S289">
        <v>616</v>
      </c>
      <c r="T289">
        <v>60</v>
      </c>
      <c r="U289">
        <f t="shared" si="9"/>
        <v>4161</v>
      </c>
      <c r="V289">
        <v>1031</v>
      </c>
      <c r="W289">
        <v>71</v>
      </c>
      <c r="X289">
        <v>49</v>
      </c>
      <c r="Y289">
        <v>41</v>
      </c>
      <c r="Z289">
        <v>55</v>
      </c>
      <c r="AA289">
        <v>10</v>
      </c>
      <c r="AB289">
        <v>116</v>
      </c>
      <c r="AC289">
        <v>70</v>
      </c>
      <c r="AD289" s="1">
        <v>70</v>
      </c>
      <c r="AE289" s="1">
        <v>92</v>
      </c>
      <c r="AF289">
        <v>4.45</v>
      </c>
    </row>
    <row r="290" spans="1:32" x14ac:dyDescent="0.2">
      <c r="A290" s="52">
        <v>2009</v>
      </c>
      <c r="B290" t="s">
        <v>158</v>
      </c>
      <c r="C290" t="s">
        <v>163</v>
      </c>
      <c r="D290">
        <v>623</v>
      </c>
      <c r="E290">
        <v>162</v>
      </c>
      <c r="F290">
        <v>3</v>
      </c>
      <c r="G290">
        <v>8</v>
      </c>
      <c r="H290">
        <v>159</v>
      </c>
      <c r="I290">
        <v>51</v>
      </c>
      <c r="J290">
        <v>1450</v>
      </c>
      <c r="K290">
        <v>6247</v>
      </c>
      <c r="L290">
        <v>1386</v>
      </c>
      <c r="M290" s="1">
        <v>753</v>
      </c>
      <c r="N290">
        <f t="shared" si="8"/>
        <v>907</v>
      </c>
      <c r="O290">
        <v>274</v>
      </c>
      <c r="P290">
        <v>24</v>
      </c>
      <c r="Q290">
        <v>181</v>
      </c>
      <c r="R290">
        <v>687</v>
      </c>
      <c r="S290">
        <v>574</v>
      </c>
      <c r="T290">
        <v>28</v>
      </c>
      <c r="U290">
        <f t="shared" si="9"/>
        <v>4216</v>
      </c>
      <c r="V290">
        <v>1260</v>
      </c>
      <c r="W290">
        <v>28</v>
      </c>
      <c r="X290">
        <v>49</v>
      </c>
      <c r="Y290">
        <v>66</v>
      </c>
      <c r="Z290">
        <v>71</v>
      </c>
      <c r="AA290">
        <v>5</v>
      </c>
      <c r="AB290">
        <v>110</v>
      </c>
      <c r="AC290">
        <v>67</v>
      </c>
      <c r="AD290" s="1">
        <v>103</v>
      </c>
      <c r="AE290" s="1">
        <v>59</v>
      </c>
      <c r="AF290">
        <v>4.26</v>
      </c>
    </row>
    <row r="291" spans="1:32" x14ac:dyDescent="0.2">
      <c r="A291" s="52">
        <v>2009</v>
      </c>
      <c r="B291" t="s">
        <v>79</v>
      </c>
      <c r="C291" t="s">
        <v>163</v>
      </c>
      <c r="D291">
        <v>650</v>
      </c>
      <c r="E291">
        <v>162</v>
      </c>
      <c r="F291">
        <v>2</v>
      </c>
      <c r="G291">
        <v>10</v>
      </c>
      <c r="H291">
        <v>160</v>
      </c>
      <c r="I291">
        <v>38</v>
      </c>
      <c r="J291">
        <v>1447.1</v>
      </c>
      <c r="K291">
        <v>6243</v>
      </c>
      <c r="L291">
        <v>1486</v>
      </c>
      <c r="M291" s="1">
        <v>761</v>
      </c>
      <c r="N291">
        <f t="shared" si="8"/>
        <v>997</v>
      </c>
      <c r="O291">
        <v>305</v>
      </c>
      <c r="P291">
        <v>28</v>
      </c>
      <c r="Q291">
        <v>156</v>
      </c>
      <c r="R291">
        <v>685</v>
      </c>
      <c r="S291">
        <v>523</v>
      </c>
      <c r="T291">
        <v>30</v>
      </c>
      <c r="U291">
        <f t="shared" si="9"/>
        <v>4198</v>
      </c>
      <c r="V291">
        <v>1124</v>
      </c>
      <c r="W291">
        <v>33</v>
      </c>
      <c r="X291">
        <v>47</v>
      </c>
      <c r="Y291">
        <v>43</v>
      </c>
      <c r="Z291">
        <v>36</v>
      </c>
      <c r="AA291">
        <v>2</v>
      </c>
      <c r="AB291">
        <v>129</v>
      </c>
      <c r="AC291">
        <v>70</v>
      </c>
      <c r="AD291" s="1">
        <v>75</v>
      </c>
      <c r="AE291" s="1">
        <v>87</v>
      </c>
      <c r="AF291">
        <v>4.26</v>
      </c>
    </row>
    <row r="292" spans="1:32" x14ac:dyDescent="0.2">
      <c r="A292" s="52">
        <v>2009</v>
      </c>
      <c r="B292" t="s">
        <v>81</v>
      </c>
      <c r="C292" t="s">
        <v>38</v>
      </c>
      <c r="D292">
        <v>621</v>
      </c>
      <c r="E292">
        <v>162</v>
      </c>
      <c r="F292">
        <v>8</v>
      </c>
      <c r="G292">
        <v>9</v>
      </c>
      <c r="H292">
        <v>154</v>
      </c>
      <c r="I292">
        <v>44</v>
      </c>
      <c r="J292">
        <v>1455.2</v>
      </c>
      <c r="K292">
        <v>6263</v>
      </c>
      <c r="L292">
        <v>1479</v>
      </c>
      <c r="M292" s="1">
        <v>709</v>
      </c>
      <c r="N292">
        <f t="shared" si="8"/>
        <v>970</v>
      </c>
      <c r="O292">
        <v>296</v>
      </c>
      <c r="P292">
        <v>24</v>
      </c>
      <c r="Q292">
        <v>189</v>
      </c>
      <c r="R292">
        <v>673</v>
      </c>
      <c r="S292">
        <v>489</v>
      </c>
      <c r="T292">
        <v>31</v>
      </c>
      <c r="U292">
        <f t="shared" si="9"/>
        <v>4220</v>
      </c>
      <c r="V292">
        <v>1153</v>
      </c>
      <c r="W292">
        <v>60</v>
      </c>
      <c r="X292">
        <v>46</v>
      </c>
      <c r="Y292">
        <v>28</v>
      </c>
      <c r="Z292">
        <v>75</v>
      </c>
      <c r="AA292">
        <v>2</v>
      </c>
      <c r="AB292">
        <v>107</v>
      </c>
      <c r="AC292">
        <v>53</v>
      </c>
      <c r="AD292" s="1">
        <v>93</v>
      </c>
      <c r="AE292" s="1">
        <v>69</v>
      </c>
      <c r="AF292">
        <v>4.16</v>
      </c>
    </row>
    <row r="293" spans="1:32" x14ac:dyDescent="0.2">
      <c r="A293" s="52">
        <v>2009</v>
      </c>
      <c r="B293" t="s">
        <v>83</v>
      </c>
      <c r="C293" t="s">
        <v>38</v>
      </c>
      <c r="D293">
        <v>617</v>
      </c>
      <c r="E293">
        <v>161</v>
      </c>
      <c r="F293">
        <v>5</v>
      </c>
      <c r="G293">
        <v>7</v>
      </c>
      <c r="H293">
        <v>156</v>
      </c>
      <c r="I293">
        <v>28</v>
      </c>
      <c r="J293">
        <v>1418.1</v>
      </c>
      <c r="K293">
        <v>6144</v>
      </c>
      <c r="L293">
        <v>1491</v>
      </c>
      <c r="M293" s="1">
        <v>768</v>
      </c>
      <c r="N293">
        <f t="shared" si="8"/>
        <v>943</v>
      </c>
      <c r="O293">
        <v>349</v>
      </c>
      <c r="P293">
        <v>47</v>
      </c>
      <c r="Q293">
        <v>152</v>
      </c>
      <c r="R293">
        <v>723</v>
      </c>
      <c r="S293">
        <v>563</v>
      </c>
      <c r="T293">
        <v>37</v>
      </c>
      <c r="U293">
        <f t="shared" si="9"/>
        <v>4043</v>
      </c>
      <c r="V293">
        <v>919</v>
      </c>
      <c r="W293">
        <v>73</v>
      </c>
      <c r="X293">
        <v>53</v>
      </c>
      <c r="Y293">
        <v>52</v>
      </c>
      <c r="Z293">
        <v>47</v>
      </c>
      <c r="AA293">
        <v>3</v>
      </c>
      <c r="AB293">
        <v>138</v>
      </c>
      <c r="AC293">
        <v>49</v>
      </c>
      <c r="AD293" s="1">
        <v>62</v>
      </c>
      <c r="AE293" s="1">
        <v>99</v>
      </c>
      <c r="AF293">
        <v>4.59</v>
      </c>
    </row>
    <row r="294" spans="1:32" x14ac:dyDescent="0.2">
      <c r="A294" s="52">
        <v>2009</v>
      </c>
      <c r="B294" t="s">
        <v>161</v>
      </c>
      <c r="C294" t="s">
        <v>38</v>
      </c>
      <c r="D294">
        <v>689</v>
      </c>
      <c r="E294">
        <v>162</v>
      </c>
      <c r="F294">
        <v>2</v>
      </c>
      <c r="G294">
        <v>9</v>
      </c>
      <c r="H294">
        <v>160</v>
      </c>
      <c r="I294">
        <v>45</v>
      </c>
      <c r="J294">
        <v>1450.2</v>
      </c>
      <c r="K294">
        <v>6273</v>
      </c>
      <c r="L294">
        <v>1422</v>
      </c>
      <c r="M294" s="1">
        <v>769</v>
      </c>
      <c r="N294">
        <f t="shared" si="8"/>
        <v>972</v>
      </c>
      <c r="O294">
        <v>250</v>
      </c>
      <c r="P294">
        <v>33</v>
      </c>
      <c r="Q294">
        <v>167</v>
      </c>
      <c r="R294">
        <v>704</v>
      </c>
      <c r="S294">
        <v>603</v>
      </c>
      <c r="T294">
        <v>58</v>
      </c>
      <c r="U294">
        <f t="shared" si="9"/>
        <v>4203</v>
      </c>
      <c r="V294">
        <v>1187</v>
      </c>
      <c r="W294">
        <v>60</v>
      </c>
      <c r="X294">
        <v>45</v>
      </c>
      <c r="Y294">
        <v>52</v>
      </c>
      <c r="Z294">
        <v>45</v>
      </c>
      <c r="AA294">
        <v>8</v>
      </c>
      <c r="AB294">
        <v>118</v>
      </c>
      <c r="AC294">
        <v>59</v>
      </c>
      <c r="AD294" s="1">
        <v>75</v>
      </c>
      <c r="AE294" s="1">
        <v>87</v>
      </c>
      <c r="AF294">
        <v>4.37</v>
      </c>
    </row>
    <row r="295" spans="1:32" x14ac:dyDescent="0.2">
      <c r="A295" s="52">
        <v>2009</v>
      </c>
      <c r="B295" t="s">
        <v>87</v>
      </c>
      <c r="C295" t="s">
        <v>163</v>
      </c>
      <c r="D295">
        <v>572</v>
      </c>
      <c r="E295">
        <v>162</v>
      </c>
      <c r="F295">
        <v>4</v>
      </c>
      <c r="G295">
        <v>10</v>
      </c>
      <c r="H295">
        <v>158</v>
      </c>
      <c r="I295">
        <v>49</v>
      </c>
      <c r="J295">
        <v>1452.2</v>
      </c>
      <c r="K295">
        <v>6159</v>
      </c>
      <c r="L295">
        <v>1359</v>
      </c>
      <c r="M295" s="1">
        <v>692</v>
      </c>
      <c r="N295">
        <f t="shared" si="8"/>
        <v>912</v>
      </c>
      <c r="O295">
        <v>259</v>
      </c>
      <c r="P295">
        <v>16</v>
      </c>
      <c r="Q295">
        <v>172</v>
      </c>
      <c r="R295">
        <v>625</v>
      </c>
      <c r="S295">
        <v>534</v>
      </c>
      <c r="T295">
        <v>13</v>
      </c>
      <c r="U295">
        <f t="shared" si="9"/>
        <v>4223</v>
      </c>
      <c r="V295">
        <v>1043</v>
      </c>
      <c r="W295">
        <v>33</v>
      </c>
      <c r="X295">
        <v>51</v>
      </c>
      <c r="Y295">
        <v>61</v>
      </c>
      <c r="Z295">
        <v>43</v>
      </c>
      <c r="AA295">
        <v>5</v>
      </c>
      <c r="AB295">
        <v>128</v>
      </c>
      <c r="AC295">
        <v>86</v>
      </c>
      <c r="AD295" s="1">
        <v>85</v>
      </c>
      <c r="AE295" s="1">
        <v>77</v>
      </c>
      <c r="AF295">
        <v>3.87</v>
      </c>
    </row>
    <row r="296" spans="1:32" x14ac:dyDescent="0.2">
      <c r="A296" s="52">
        <v>2009</v>
      </c>
      <c r="B296" t="s">
        <v>21</v>
      </c>
      <c r="C296" t="s">
        <v>38</v>
      </c>
      <c r="D296">
        <v>619</v>
      </c>
      <c r="E296">
        <v>162</v>
      </c>
      <c r="F296">
        <v>11</v>
      </c>
      <c r="G296">
        <v>18</v>
      </c>
      <c r="H296">
        <v>151</v>
      </c>
      <c r="I296">
        <v>41</v>
      </c>
      <c r="J296">
        <v>1446</v>
      </c>
      <c r="K296">
        <v>6103</v>
      </c>
      <c r="L296">
        <v>1268</v>
      </c>
      <c r="M296" s="1">
        <v>611</v>
      </c>
      <c r="N296">
        <f t="shared" si="8"/>
        <v>852</v>
      </c>
      <c r="O296">
        <v>243</v>
      </c>
      <c r="P296">
        <v>33</v>
      </c>
      <c r="Q296">
        <v>140</v>
      </c>
      <c r="R296">
        <v>571</v>
      </c>
      <c r="S296">
        <v>584</v>
      </c>
      <c r="T296">
        <v>49</v>
      </c>
      <c r="U296">
        <f t="shared" si="9"/>
        <v>4210</v>
      </c>
      <c r="V296">
        <v>1302</v>
      </c>
      <c r="W296">
        <v>67</v>
      </c>
      <c r="X296">
        <v>41</v>
      </c>
      <c r="Y296">
        <v>71</v>
      </c>
      <c r="Z296">
        <v>41</v>
      </c>
      <c r="AA296">
        <v>3</v>
      </c>
      <c r="AB296">
        <v>112</v>
      </c>
      <c r="AC296">
        <v>68</v>
      </c>
      <c r="AD296" s="1">
        <v>88</v>
      </c>
      <c r="AE296" s="1">
        <v>74</v>
      </c>
      <c r="AF296">
        <v>3.55</v>
      </c>
    </row>
    <row r="297" spans="1:32" x14ac:dyDescent="0.2">
      <c r="A297" s="52">
        <v>2009</v>
      </c>
      <c r="B297" t="s">
        <v>156</v>
      </c>
      <c r="C297" t="s">
        <v>38</v>
      </c>
      <c r="D297">
        <v>643</v>
      </c>
      <c r="E297">
        <v>162</v>
      </c>
      <c r="F297">
        <v>8</v>
      </c>
      <c r="G297">
        <v>11</v>
      </c>
      <c r="H297">
        <v>154</v>
      </c>
      <c r="I297">
        <v>43</v>
      </c>
      <c r="J297">
        <v>1440.2</v>
      </c>
      <c r="K297">
        <v>6087</v>
      </c>
      <c r="L297">
        <v>1407</v>
      </c>
      <c r="M297" s="1">
        <v>640</v>
      </c>
      <c r="N297">
        <f t="shared" si="8"/>
        <v>980</v>
      </c>
      <c r="O297">
        <v>274</v>
      </c>
      <c r="P297">
        <v>30</v>
      </c>
      <c r="Q297">
        <v>123</v>
      </c>
      <c r="R297">
        <v>586</v>
      </c>
      <c r="S297">
        <v>460</v>
      </c>
      <c r="T297">
        <v>23</v>
      </c>
      <c r="U297">
        <f t="shared" si="9"/>
        <v>4167</v>
      </c>
      <c r="V297">
        <v>1049</v>
      </c>
      <c r="W297">
        <v>70</v>
      </c>
      <c r="X297">
        <v>44</v>
      </c>
      <c r="Y297">
        <v>43</v>
      </c>
      <c r="Z297">
        <v>53</v>
      </c>
      <c r="AA297">
        <v>5</v>
      </c>
      <c r="AB297">
        <v>147</v>
      </c>
      <c r="AC297">
        <v>71</v>
      </c>
      <c r="AD297" s="1">
        <v>91</v>
      </c>
      <c r="AE297" s="1">
        <v>71</v>
      </c>
      <c r="AF297">
        <v>3.66</v>
      </c>
    </row>
    <row r="298" spans="1:32" x14ac:dyDescent="0.2">
      <c r="A298" s="52">
        <v>2009</v>
      </c>
      <c r="B298" t="s">
        <v>165</v>
      </c>
      <c r="C298" t="s">
        <v>163</v>
      </c>
      <c r="D298">
        <v>672</v>
      </c>
      <c r="E298">
        <v>162</v>
      </c>
      <c r="F298">
        <v>3</v>
      </c>
      <c r="G298">
        <v>5</v>
      </c>
      <c r="H298">
        <v>159</v>
      </c>
      <c r="I298">
        <v>41</v>
      </c>
      <c r="J298">
        <v>1427.1</v>
      </c>
      <c r="K298">
        <v>6146</v>
      </c>
      <c r="L298">
        <v>1421</v>
      </c>
      <c r="M298" s="1">
        <v>754</v>
      </c>
      <c r="N298">
        <f t="shared" si="8"/>
        <v>927</v>
      </c>
      <c r="O298">
        <v>287</v>
      </c>
      <c r="P298">
        <v>24</v>
      </c>
      <c r="Q298">
        <v>183</v>
      </c>
      <c r="R298">
        <v>686</v>
      </c>
      <c r="S298">
        <v>515</v>
      </c>
      <c r="T298">
        <v>22</v>
      </c>
      <c r="U298">
        <f t="shared" si="9"/>
        <v>4164</v>
      </c>
      <c r="V298">
        <v>1125</v>
      </c>
      <c r="W298">
        <v>25</v>
      </c>
      <c r="X298">
        <v>36</v>
      </c>
      <c r="Y298">
        <v>46</v>
      </c>
      <c r="Z298">
        <v>46</v>
      </c>
      <c r="AA298">
        <v>5</v>
      </c>
      <c r="AB298">
        <v>114</v>
      </c>
      <c r="AC298">
        <v>70</v>
      </c>
      <c r="AD298" s="1">
        <v>84</v>
      </c>
      <c r="AE298" s="1">
        <v>78</v>
      </c>
      <c r="AF298">
        <v>4.33</v>
      </c>
    </row>
    <row r="299" spans="1:32" x14ac:dyDescent="0.2">
      <c r="A299" s="52">
        <v>2009</v>
      </c>
      <c r="B299" t="s">
        <v>95</v>
      </c>
      <c r="C299" t="s">
        <v>163</v>
      </c>
      <c r="D299">
        <v>598</v>
      </c>
      <c r="E299">
        <v>162</v>
      </c>
      <c r="F299">
        <v>8</v>
      </c>
      <c r="G299">
        <v>11</v>
      </c>
      <c r="H299">
        <v>154</v>
      </c>
      <c r="I299">
        <v>45</v>
      </c>
      <c r="J299">
        <v>1434.2</v>
      </c>
      <c r="K299">
        <v>6172</v>
      </c>
      <c r="L299">
        <v>1432</v>
      </c>
      <c r="M299" s="1">
        <v>740</v>
      </c>
      <c r="N299">
        <f t="shared" si="8"/>
        <v>941</v>
      </c>
      <c r="O299">
        <v>293</v>
      </c>
      <c r="P299">
        <v>27</v>
      </c>
      <c r="Q299">
        <v>171</v>
      </c>
      <c r="R299">
        <v>698</v>
      </c>
      <c r="S299">
        <v>531</v>
      </c>
      <c r="T299">
        <v>14</v>
      </c>
      <c r="U299">
        <f t="shared" si="9"/>
        <v>4139</v>
      </c>
      <c r="V299">
        <v>1016</v>
      </c>
      <c r="W299">
        <v>28</v>
      </c>
      <c r="X299">
        <v>35</v>
      </c>
      <c r="Y299">
        <v>45</v>
      </c>
      <c r="Z299">
        <v>70</v>
      </c>
      <c r="AA299">
        <v>8</v>
      </c>
      <c r="AB299">
        <v>136</v>
      </c>
      <c r="AC299">
        <v>68</v>
      </c>
      <c r="AD299" s="1">
        <v>87</v>
      </c>
      <c r="AE299" s="1">
        <v>75</v>
      </c>
      <c r="AF299">
        <v>4.38</v>
      </c>
    </row>
    <row r="300" spans="1:32" x14ac:dyDescent="0.2">
      <c r="A300" s="52">
        <v>2009</v>
      </c>
      <c r="B300" t="s">
        <v>97</v>
      </c>
      <c r="C300" t="s">
        <v>163</v>
      </c>
      <c r="D300">
        <v>607</v>
      </c>
      <c r="E300">
        <v>162</v>
      </c>
      <c r="F300">
        <v>10</v>
      </c>
      <c r="G300">
        <v>10</v>
      </c>
      <c r="H300">
        <v>152</v>
      </c>
      <c r="I300">
        <v>25</v>
      </c>
      <c r="J300">
        <v>1451</v>
      </c>
      <c r="K300">
        <v>6281</v>
      </c>
      <c r="L300">
        <v>1509</v>
      </c>
      <c r="M300" s="1">
        <v>771</v>
      </c>
      <c r="N300">
        <f t="shared" si="8"/>
        <v>979</v>
      </c>
      <c r="O300">
        <v>323</v>
      </c>
      <c r="P300">
        <v>26</v>
      </c>
      <c r="Q300">
        <v>181</v>
      </c>
      <c r="R300">
        <v>720</v>
      </c>
      <c r="S300">
        <v>551</v>
      </c>
      <c r="T300">
        <v>26</v>
      </c>
      <c r="U300">
        <f t="shared" si="9"/>
        <v>4163</v>
      </c>
      <c r="V300">
        <v>1181</v>
      </c>
      <c r="W300">
        <v>25</v>
      </c>
      <c r="X300">
        <v>49</v>
      </c>
      <c r="Y300">
        <v>43</v>
      </c>
      <c r="Z300">
        <v>58</v>
      </c>
      <c r="AA300">
        <v>4</v>
      </c>
      <c r="AB300">
        <v>143</v>
      </c>
      <c r="AC300">
        <v>48</v>
      </c>
      <c r="AD300" s="1">
        <v>75</v>
      </c>
      <c r="AE300" s="1">
        <v>87</v>
      </c>
      <c r="AF300">
        <v>4.47</v>
      </c>
    </row>
    <row r="301" spans="1:32" x14ac:dyDescent="0.2">
      <c r="A301" s="52">
        <v>2009</v>
      </c>
      <c r="B301" t="s">
        <v>101</v>
      </c>
      <c r="C301" t="s">
        <v>38</v>
      </c>
      <c r="D301">
        <v>694</v>
      </c>
      <c r="E301">
        <v>162</v>
      </c>
      <c r="F301">
        <v>6</v>
      </c>
      <c r="G301">
        <v>3</v>
      </c>
      <c r="H301">
        <v>156</v>
      </c>
      <c r="I301">
        <v>33</v>
      </c>
      <c r="J301">
        <v>1424.1</v>
      </c>
      <c r="K301">
        <v>6349</v>
      </c>
      <c r="L301">
        <v>1533</v>
      </c>
      <c r="M301" s="1">
        <v>874</v>
      </c>
      <c r="N301">
        <f t="shared" si="8"/>
        <v>958</v>
      </c>
      <c r="O301">
        <v>361</v>
      </c>
      <c r="P301">
        <v>41</v>
      </c>
      <c r="Q301">
        <v>173</v>
      </c>
      <c r="R301">
        <v>791</v>
      </c>
      <c r="S301">
        <v>629</v>
      </c>
      <c r="T301">
        <v>59</v>
      </c>
      <c r="U301">
        <f t="shared" si="9"/>
        <v>4139</v>
      </c>
      <c r="V301">
        <v>911</v>
      </c>
      <c r="W301">
        <v>78</v>
      </c>
      <c r="X301">
        <v>45</v>
      </c>
      <c r="Y301">
        <v>74</v>
      </c>
      <c r="Z301">
        <v>48</v>
      </c>
      <c r="AA301">
        <v>5</v>
      </c>
      <c r="AB301">
        <v>126</v>
      </c>
      <c r="AC301">
        <v>89</v>
      </c>
      <c r="AD301" s="1">
        <v>59</v>
      </c>
      <c r="AE301" s="1">
        <v>103</v>
      </c>
      <c r="AF301">
        <v>5</v>
      </c>
    </row>
    <row r="302" spans="1:32" x14ac:dyDescent="0.2">
      <c r="A302" s="52">
        <v>2010</v>
      </c>
      <c r="B302" t="s">
        <v>37</v>
      </c>
      <c r="C302" t="s">
        <v>163</v>
      </c>
      <c r="D302">
        <v>572</v>
      </c>
      <c r="E302">
        <v>162</v>
      </c>
      <c r="F302">
        <v>10</v>
      </c>
      <c r="G302">
        <v>9</v>
      </c>
      <c r="H302">
        <v>152</v>
      </c>
      <c r="I302">
        <v>39</v>
      </c>
      <c r="J302">
        <v>1449.1</v>
      </c>
      <c r="K302">
        <v>6252</v>
      </c>
      <c r="L302">
        <v>1422</v>
      </c>
      <c r="M302" s="1">
        <v>702</v>
      </c>
      <c r="N302">
        <f t="shared" si="8"/>
        <v>930</v>
      </c>
      <c r="O302">
        <v>313</v>
      </c>
      <c r="P302">
        <v>31</v>
      </c>
      <c r="Q302">
        <v>148</v>
      </c>
      <c r="R302">
        <v>651</v>
      </c>
      <c r="S302">
        <v>565</v>
      </c>
      <c r="T302">
        <v>33</v>
      </c>
      <c r="U302">
        <f t="shared" si="9"/>
        <v>4219</v>
      </c>
      <c r="V302">
        <v>1130</v>
      </c>
      <c r="W302">
        <v>41</v>
      </c>
      <c r="X302">
        <v>42</v>
      </c>
      <c r="Y302">
        <v>80</v>
      </c>
      <c r="Z302">
        <v>46</v>
      </c>
      <c r="AA302">
        <v>6</v>
      </c>
      <c r="AB302">
        <v>96</v>
      </c>
      <c r="AC302">
        <v>71</v>
      </c>
      <c r="AD302" s="1">
        <v>80</v>
      </c>
      <c r="AE302" s="1">
        <v>82</v>
      </c>
      <c r="AF302">
        <v>4.04</v>
      </c>
    </row>
    <row r="303" spans="1:32" x14ac:dyDescent="0.2">
      <c r="A303" s="52">
        <v>2010</v>
      </c>
      <c r="B303" t="s">
        <v>40</v>
      </c>
      <c r="C303" t="s">
        <v>38</v>
      </c>
      <c r="D303">
        <v>616</v>
      </c>
      <c r="E303">
        <v>162</v>
      </c>
      <c r="F303">
        <v>3</v>
      </c>
      <c r="G303">
        <v>3</v>
      </c>
      <c r="H303">
        <v>159</v>
      </c>
      <c r="I303">
        <v>35</v>
      </c>
      <c r="J303">
        <v>1432</v>
      </c>
      <c r="K303">
        <v>6260</v>
      </c>
      <c r="L303">
        <v>1503</v>
      </c>
      <c r="M303" s="1">
        <v>836</v>
      </c>
      <c r="N303">
        <f t="shared" si="8"/>
        <v>977</v>
      </c>
      <c r="O303">
        <v>284</v>
      </c>
      <c r="P303">
        <v>32</v>
      </c>
      <c r="Q303">
        <v>210</v>
      </c>
      <c r="R303">
        <v>765</v>
      </c>
      <c r="S303">
        <v>548</v>
      </c>
      <c r="T303">
        <v>38</v>
      </c>
      <c r="U303">
        <f t="shared" si="9"/>
        <v>4151</v>
      </c>
      <c r="V303">
        <v>1070</v>
      </c>
      <c r="W303">
        <v>63</v>
      </c>
      <c r="X303">
        <v>50</v>
      </c>
      <c r="Y303">
        <v>82</v>
      </c>
      <c r="Z303">
        <v>58</v>
      </c>
      <c r="AA303">
        <v>4</v>
      </c>
      <c r="AB303">
        <v>125</v>
      </c>
      <c r="AC303">
        <v>68</v>
      </c>
      <c r="AD303" s="1">
        <v>65</v>
      </c>
      <c r="AE303" s="1">
        <v>97</v>
      </c>
      <c r="AF303">
        <v>4.8099999999999996</v>
      </c>
    </row>
    <row r="304" spans="1:32" x14ac:dyDescent="0.2">
      <c r="A304" s="52">
        <v>2010</v>
      </c>
      <c r="B304" t="s">
        <v>42</v>
      </c>
      <c r="C304" t="s">
        <v>38</v>
      </c>
      <c r="D304">
        <v>652</v>
      </c>
      <c r="E304">
        <v>162</v>
      </c>
      <c r="F304">
        <v>2</v>
      </c>
      <c r="G304">
        <v>9</v>
      </c>
      <c r="H304">
        <v>160</v>
      </c>
      <c r="I304">
        <v>41</v>
      </c>
      <c r="J304">
        <v>1439.1</v>
      </c>
      <c r="K304">
        <v>6052</v>
      </c>
      <c r="L304">
        <v>1326</v>
      </c>
      <c r="M304" s="1">
        <v>629</v>
      </c>
      <c r="N304">
        <f t="shared" si="8"/>
        <v>906</v>
      </c>
      <c r="O304">
        <v>262</v>
      </c>
      <c r="P304">
        <v>32</v>
      </c>
      <c r="Q304">
        <v>126</v>
      </c>
      <c r="R304">
        <v>569</v>
      </c>
      <c r="S304">
        <v>505</v>
      </c>
      <c r="T304">
        <v>64</v>
      </c>
      <c r="U304">
        <f t="shared" si="9"/>
        <v>4172</v>
      </c>
      <c r="V304">
        <v>1241</v>
      </c>
      <c r="W304">
        <v>67</v>
      </c>
      <c r="X304">
        <v>34</v>
      </c>
      <c r="Y304">
        <v>42</v>
      </c>
      <c r="Z304">
        <v>49</v>
      </c>
      <c r="AA304">
        <v>3</v>
      </c>
      <c r="AB304">
        <v>139</v>
      </c>
      <c r="AC304">
        <v>77</v>
      </c>
      <c r="AD304" s="1">
        <v>91</v>
      </c>
      <c r="AE304" s="1">
        <v>71</v>
      </c>
      <c r="AF304">
        <v>3.56</v>
      </c>
    </row>
    <row r="305" spans="1:32" x14ac:dyDescent="0.2">
      <c r="A305" s="52">
        <v>2010</v>
      </c>
      <c r="B305" t="s">
        <v>45</v>
      </c>
      <c r="C305" t="s">
        <v>163</v>
      </c>
      <c r="D305">
        <v>616</v>
      </c>
      <c r="E305">
        <v>162</v>
      </c>
      <c r="F305">
        <v>3</v>
      </c>
      <c r="G305">
        <v>7</v>
      </c>
      <c r="H305">
        <v>159</v>
      </c>
      <c r="I305">
        <v>35</v>
      </c>
      <c r="J305">
        <v>1436.1</v>
      </c>
      <c r="K305">
        <v>6262</v>
      </c>
      <c r="L305">
        <v>1508</v>
      </c>
      <c r="M305" s="1">
        <v>785</v>
      </c>
      <c r="N305">
        <f t="shared" si="8"/>
        <v>992</v>
      </c>
      <c r="O305">
        <v>298</v>
      </c>
      <c r="P305">
        <v>32</v>
      </c>
      <c r="Q305">
        <v>186</v>
      </c>
      <c r="R305">
        <v>733</v>
      </c>
      <c r="S305">
        <v>520</v>
      </c>
      <c r="T305">
        <v>45</v>
      </c>
      <c r="U305">
        <f t="shared" si="9"/>
        <v>4175</v>
      </c>
      <c r="V305">
        <v>1007</v>
      </c>
      <c r="W305">
        <v>47</v>
      </c>
      <c r="X305">
        <v>43</v>
      </c>
      <c r="Y305">
        <v>45</v>
      </c>
      <c r="Z305">
        <v>59</v>
      </c>
      <c r="AA305">
        <v>5</v>
      </c>
      <c r="AB305">
        <v>115</v>
      </c>
      <c r="AC305">
        <v>61</v>
      </c>
      <c r="AD305" s="1">
        <v>66</v>
      </c>
      <c r="AE305" s="1">
        <v>96</v>
      </c>
      <c r="AF305">
        <v>4.59</v>
      </c>
    </row>
    <row r="306" spans="1:32" x14ac:dyDescent="0.2">
      <c r="A306" s="52">
        <v>2010</v>
      </c>
      <c r="B306" t="s">
        <v>47</v>
      </c>
      <c r="C306" t="s">
        <v>163</v>
      </c>
      <c r="D306">
        <v>605</v>
      </c>
      <c r="E306">
        <v>162</v>
      </c>
      <c r="F306">
        <v>3</v>
      </c>
      <c r="G306">
        <v>9</v>
      </c>
      <c r="H306">
        <v>159</v>
      </c>
      <c r="I306">
        <v>44</v>
      </c>
      <c r="J306">
        <v>1456.2</v>
      </c>
      <c r="K306">
        <v>6267</v>
      </c>
      <c r="L306">
        <v>1402</v>
      </c>
      <c r="M306" s="1">
        <v>744</v>
      </c>
      <c r="N306">
        <f t="shared" si="8"/>
        <v>917</v>
      </c>
      <c r="O306">
        <v>308</v>
      </c>
      <c r="P306">
        <v>25</v>
      </c>
      <c r="Q306">
        <v>152</v>
      </c>
      <c r="R306">
        <v>679</v>
      </c>
      <c r="S306">
        <v>580</v>
      </c>
      <c r="T306">
        <v>30</v>
      </c>
      <c r="U306">
        <f t="shared" si="9"/>
        <v>4232</v>
      </c>
      <c r="V306">
        <v>1207</v>
      </c>
      <c r="W306">
        <v>40</v>
      </c>
      <c r="X306">
        <v>47</v>
      </c>
      <c r="Y306">
        <v>58</v>
      </c>
      <c r="Z306">
        <v>53</v>
      </c>
      <c r="AA306">
        <v>3</v>
      </c>
      <c r="AB306">
        <v>115</v>
      </c>
      <c r="AC306">
        <v>66</v>
      </c>
      <c r="AD306" s="1">
        <v>89</v>
      </c>
      <c r="AE306" s="1">
        <v>73</v>
      </c>
      <c r="AF306">
        <v>4.2</v>
      </c>
    </row>
    <row r="307" spans="1:32" x14ac:dyDescent="0.2">
      <c r="A307" s="52">
        <v>2010</v>
      </c>
      <c r="B307" t="s">
        <v>157</v>
      </c>
      <c r="C307" t="s">
        <v>38</v>
      </c>
      <c r="D307">
        <v>644</v>
      </c>
      <c r="E307">
        <v>162</v>
      </c>
      <c r="F307">
        <v>1</v>
      </c>
      <c r="G307">
        <v>14</v>
      </c>
      <c r="H307">
        <v>161</v>
      </c>
      <c r="I307">
        <v>40</v>
      </c>
      <c r="J307">
        <v>1436.2</v>
      </c>
      <c r="K307">
        <v>6298</v>
      </c>
      <c r="L307">
        <v>1409</v>
      </c>
      <c r="M307" s="1">
        <v>767</v>
      </c>
      <c r="N307">
        <f t="shared" si="8"/>
        <v>960</v>
      </c>
      <c r="O307">
        <v>263</v>
      </c>
      <c r="P307">
        <v>32</v>
      </c>
      <c r="Q307">
        <v>154</v>
      </c>
      <c r="R307">
        <v>668</v>
      </c>
      <c r="S307">
        <v>605</v>
      </c>
      <c r="T307">
        <v>42</v>
      </c>
      <c r="U307">
        <f t="shared" si="9"/>
        <v>4219</v>
      </c>
      <c r="V307">
        <v>1268</v>
      </c>
      <c r="W307">
        <v>65</v>
      </c>
      <c r="X307">
        <v>40</v>
      </c>
      <c r="Y307">
        <v>46</v>
      </c>
      <c r="Z307">
        <v>65</v>
      </c>
      <c r="AA307">
        <v>6</v>
      </c>
      <c r="AB307">
        <v>119</v>
      </c>
      <c r="AC307">
        <v>97</v>
      </c>
      <c r="AD307" s="1">
        <v>75</v>
      </c>
      <c r="AE307" s="1">
        <v>87</v>
      </c>
      <c r="AF307">
        <v>4.18</v>
      </c>
    </row>
    <row r="308" spans="1:32" x14ac:dyDescent="0.2">
      <c r="A308" s="52">
        <v>2010</v>
      </c>
      <c r="B308" t="s">
        <v>157</v>
      </c>
      <c r="C308" t="s">
        <v>163</v>
      </c>
      <c r="D308">
        <v>569</v>
      </c>
      <c r="E308">
        <v>162</v>
      </c>
      <c r="F308">
        <v>6</v>
      </c>
      <c r="G308">
        <v>11</v>
      </c>
      <c r="H308">
        <v>156</v>
      </c>
      <c r="I308">
        <v>43</v>
      </c>
      <c r="J308">
        <v>1446.1</v>
      </c>
      <c r="K308">
        <v>6180</v>
      </c>
      <c r="L308">
        <v>1471</v>
      </c>
      <c r="M308" s="1">
        <v>704</v>
      </c>
      <c r="N308">
        <f t="shared" si="8"/>
        <v>1030</v>
      </c>
      <c r="O308">
        <v>285</v>
      </c>
      <c r="P308">
        <v>20</v>
      </c>
      <c r="Q308">
        <v>136</v>
      </c>
      <c r="R308">
        <v>658</v>
      </c>
      <c r="S308">
        <v>490</v>
      </c>
      <c r="T308">
        <v>41</v>
      </c>
      <c r="U308">
        <f t="shared" si="9"/>
        <v>4185</v>
      </c>
      <c r="V308">
        <v>1149</v>
      </c>
      <c r="W308">
        <v>38</v>
      </c>
      <c r="X308">
        <v>36</v>
      </c>
      <c r="Y308">
        <v>59</v>
      </c>
      <c r="Z308">
        <v>34</v>
      </c>
      <c r="AA308">
        <v>9</v>
      </c>
      <c r="AB308">
        <v>140</v>
      </c>
      <c r="AC308">
        <v>70</v>
      </c>
      <c r="AD308" s="1">
        <v>88</v>
      </c>
      <c r="AE308" s="1">
        <v>74</v>
      </c>
      <c r="AF308">
        <v>4.09</v>
      </c>
    </row>
    <row r="309" spans="1:32" x14ac:dyDescent="0.2">
      <c r="A309" s="52">
        <v>2010</v>
      </c>
      <c r="B309" t="s">
        <v>53</v>
      </c>
      <c r="C309" t="s">
        <v>38</v>
      </c>
      <c r="D309">
        <v>663</v>
      </c>
      <c r="E309">
        <v>162</v>
      </c>
      <c r="F309">
        <v>4</v>
      </c>
      <c r="G309">
        <v>9</v>
      </c>
      <c r="H309">
        <v>158</v>
      </c>
      <c r="I309">
        <v>43</v>
      </c>
      <c r="J309">
        <v>1453</v>
      </c>
      <c r="K309">
        <v>6182</v>
      </c>
      <c r="L309">
        <v>1404</v>
      </c>
      <c r="M309" s="1">
        <v>685</v>
      </c>
      <c r="N309">
        <f t="shared" si="8"/>
        <v>952</v>
      </c>
      <c r="O309">
        <v>276</v>
      </c>
      <c r="P309">
        <v>18</v>
      </c>
      <c r="Q309">
        <v>158</v>
      </c>
      <c r="R309">
        <v>648</v>
      </c>
      <c r="S309">
        <v>524</v>
      </c>
      <c r="T309">
        <v>32</v>
      </c>
      <c r="U309">
        <f t="shared" si="9"/>
        <v>4204</v>
      </c>
      <c r="V309">
        <v>1130</v>
      </c>
      <c r="W309">
        <v>51</v>
      </c>
      <c r="X309">
        <v>32</v>
      </c>
      <c r="Y309">
        <v>48</v>
      </c>
      <c r="Z309">
        <v>50</v>
      </c>
      <c r="AA309">
        <v>6</v>
      </c>
      <c r="AB309">
        <v>121</v>
      </c>
      <c r="AC309">
        <v>41</v>
      </c>
      <c r="AD309" s="1">
        <v>91</v>
      </c>
      <c r="AE309" s="1">
        <v>71</v>
      </c>
      <c r="AF309">
        <v>4.01</v>
      </c>
    </row>
    <row r="310" spans="1:32" x14ac:dyDescent="0.2">
      <c r="A310" s="52">
        <v>2010</v>
      </c>
      <c r="B310" t="s">
        <v>55</v>
      </c>
      <c r="C310" t="s">
        <v>163</v>
      </c>
      <c r="D310">
        <v>632</v>
      </c>
      <c r="E310">
        <v>162</v>
      </c>
      <c r="F310">
        <v>10</v>
      </c>
      <c r="G310">
        <v>4</v>
      </c>
      <c r="H310">
        <v>152</v>
      </c>
      <c r="I310">
        <v>34</v>
      </c>
      <c r="J310">
        <v>1433</v>
      </c>
      <c r="K310">
        <v>6224</v>
      </c>
      <c r="L310">
        <v>1477</v>
      </c>
      <c r="M310" s="1">
        <v>752</v>
      </c>
      <c r="N310">
        <f t="shared" si="8"/>
        <v>994</v>
      </c>
      <c r="O310">
        <v>307</v>
      </c>
      <c r="P310">
        <v>29</v>
      </c>
      <c r="Q310">
        <v>147</v>
      </c>
      <c r="R310">
        <v>684</v>
      </c>
      <c r="S310">
        <v>572</v>
      </c>
      <c r="T310">
        <v>36</v>
      </c>
      <c r="U310">
        <f t="shared" si="9"/>
        <v>4109</v>
      </c>
      <c r="V310">
        <v>967</v>
      </c>
      <c r="W310">
        <v>43</v>
      </c>
      <c r="X310">
        <v>47</v>
      </c>
      <c r="Y310">
        <v>54</v>
      </c>
      <c r="Z310">
        <v>66</v>
      </c>
      <c r="AA310">
        <v>3</v>
      </c>
      <c r="AB310">
        <v>158</v>
      </c>
      <c r="AC310">
        <v>77</v>
      </c>
      <c r="AD310" s="1">
        <v>69</v>
      </c>
      <c r="AE310" s="1">
        <v>93</v>
      </c>
      <c r="AF310">
        <v>4.3</v>
      </c>
    </row>
    <row r="311" spans="1:32" x14ac:dyDescent="0.2">
      <c r="A311" s="52">
        <v>2010</v>
      </c>
      <c r="B311" t="s">
        <v>57</v>
      </c>
      <c r="C311" t="s">
        <v>38</v>
      </c>
      <c r="D311">
        <v>675</v>
      </c>
      <c r="E311">
        <v>162</v>
      </c>
      <c r="F311">
        <v>6</v>
      </c>
      <c r="G311">
        <v>12</v>
      </c>
      <c r="H311">
        <v>156</v>
      </c>
      <c r="I311">
        <v>35</v>
      </c>
      <c r="J311">
        <v>1442</v>
      </c>
      <c r="K311">
        <v>6143</v>
      </c>
      <c r="L311">
        <v>1405</v>
      </c>
      <c r="M311" s="1">
        <v>717</v>
      </c>
      <c r="N311">
        <f t="shared" si="8"/>
        <v>948</v>
      </c>
      <c r="O311">
        <v>289</v>
      </c>
      <c r="P311">
        <v>29</v>
      </c>
      <c r="Q311">
        <v>139</v>
      </c>
      <c r="R311">
        <v>663</v>
      </c>
      <c r="S311">
        <v>525</v>
      </c>
      <c r="T311">
        <v>54</v>
      </c>
      <c r="U311">
        <f t="shared" si="9"/>
        <v>4157</v>
      </c>
      <c r="V311">
        <v>1234</v>
      </c>
      <c r="W311">
        <v>59</v>
      </c>
      <c r="X311">
        <v>44</v>
      </c>
      <c r="Y311">
        <v>77</v>
      </c>
      <c r="Z311">
        <v>56</v>
      </c>
      <c r="AA311">
        <v>12</v>
      </c>
      <c r="AB311">
        <v>155</v>
      </c>
      <c r="AC311">
        <v>76</v>
      </c>
      <c r="AD311" s="1">
        <v>83</v>
      </c>
      <c r="AE311" s="1">
        <v>79</v>
      </c>
      <c r="AF311">
        <v>4.1399999999999997</v>
      </c>
    </row>
    <row r="312" spans="1:32" x14ac:dyDescent="0.2">
      <c r="A312" s="52">
        <v>2010</v>
      </c>
      <c r="B312" t="s">
        <v>59</v>
      </c>
      <c r="C312" t="s">
        <v>163</v>
      </c>
      <c r="D312">
        <v>578</v>
      </c>
      <c r="E312">
        <v>162</v>
      </c>
      <c r="F312">
        <v>6</v>
      </c>
      <c r="G312">
        <v>5</v>
      </c>
      <c r="H312">
        <v>156</v>
      </c>
      <c r="I312">
        <v>32</v>
      </c>
      <c r="J312">
        <v>1444.1</v>
      </c>
      <c r="K312">
        <v>6198</v>
      </c>
      <c r="L312">
        <v>1445</v>
      </c>
      <c r="M312" s="1">
        <v>743</v>
      </c>
      <c r="N312">
        <f t="shared" si="8"/>
        <v>1017</v>
      </c>
      <c r="O312">
        <v>243</v>
      </c>
      <c r="P312">
        <v>43</v>
      </c>
      <c r="Q312">
        <v>142</v>
      </c>
      <c r="R312">
        <v>690</v>
      </c>
      <c r="S312">
        <v>537</v>
      </c>
      <c r="T312">
        <v>29</v>
      </c>
      <c r="U312">
        <f t="shared" si="9"/>
        <v>4151</v>
      </c>
      <c r="V312">
        <v>1056</v>
      </c>
      <c r="W312">
        <v>37</v>
      </c>
      <c r="X312">
        <v>52</v>
      </c>
      <c r="Y312">
        <v>75</v>
      </c>
      <c r="Z312">
        <v>65</v>
      </c>
      <c r="AA312">
        <v>9</v>
      </c>
      <c r="AB312">
        <v>147</v>
      </c>
      <c r="AC312">
        <v>66</v>
      </c>
      <c r="AD312" s="1">
        <v>81</v>
      </c>
      <c r="AE312" s="1">
        <v>81</v>
      </c>
      <c r="AF312">
        <v>4.3</v>
      </c>
    </row>
    <row r="313" spans="1:32" x14ac:dyDescent="0.2">
      <c r="A313" s="52">
        <v>2010</v>
      </c>
      <c r="B313" t="s">
        <v>160</v>
      </c>
      <c r="C313" t="s">
        <v>38</v>
      </c>
      <c r="D313">
        <v>643</v>
      </c>
      <c r="E313">
        <v>162</v>
      </c>
      <c r="F313">
        <v>5</v>
      </c>
      <c r="G313">
        <v>17</v>
      </c>
      <c r="H313">
        <v>157</v>
      </c>
      <c r="I313">
        <v>39</v>
      </c>
      <c r="J313">
        <v>1438.1</v>
      </c>
      <c r="K313">
        <v>6217</v>
      </c>
      <c r="L313">
        <v>1433</v>
      </c>
      <c r="M313" s="1">
        <v>717</v>
      </c>
      <c r="N313">
        <f t="shared" si="8"/>
        <v>982</v>
      </c>
      <c r="O313">
        <v>282</v>
      </c>
      <c r="P313">
        <v>35</v>
      </c>
      <c r="Q313">
        <v>134</v>
      </c>
      <c r="R313">
        <v>652</v>
      </c>
      <c r="S313">
        <v>549</v>
      </c>
      <c r="T313">
        <v>42</v>
      </c>
      <c r="U313">
        <f t="shared" si="9"/>
        <v>4184</v>
      </c>
      <c r="V313">
        <v>1168</v>
      </c>
      <c r="W313">
        <v>70</v>
      </c>
      <c r="X313">
        <v>46</v>
      </c>
      <c r="Y313">
        <v>49</v>
      </c>
      <c r="Z313">
        <v>51</v>
      </c>
      <c r="AA313">
        <v>4</v>
      </c>
      <c r="AB313">
        <v>103</v>
      </c>
      <c r="AC313">
        <v>77</v>
      </c>
      <c r="AD313" s="1">
        <v>80</v>
      </c>
      <c r="AE313" s="1">
        <v>82</v>
      </c>
      <c r="AF313">
        <v>4.08</v>
      </c>
    </row>
    <row r="314" spans="1:32" x14ac:dyDescent="0.2">
      <c r="A314" s="52">
        <v>2010</v>
      </c>
      <c r="B314" t="s">
        <v>63</v>
      </c>
      <c r="C314" t="s">
        <v>38</v>
      </c>
      <c r="D314">
        <v>669</v>
      </c>
      <c r="E314">
        <v>162</v>
      </c>
      <c r="F314">
        <v>4</v>
      </c>
      <c r="G314">
        <v>11</v>
      </c>
      <c r="H314">
        <v>158</v>
      </c>
      <c r="I314">
        <v>45</v>
      </c>
      <c r="J314">
        <v>1439.1</v>
      </c>
      <c r="K314">
        <v>6221</v>
      </c>
      <c r="L314">
        <v>1446</v>
      </c>
      <c r="M314" s="1">
        <v>729</v>
      </c>
      <c r="N314">
        <f t="shared" si="8"/>
        <v>980</v>
      </c>
      <c r="O314">
        <v>289</v>
      </c>
      <c r="P314">
        <v>37</v>
      </c>
      <c r="Q314">
        <v>140</v>
      </c>
      <c r="R314">
        <v>654</v>
      </c>
      <c r="S314">
        <v>548</v>
      </c>
      <c r="T314">
        <v>39</v>
      </c>
      <c r="U314">
        <f t="shared" si="9"/>
        <v>4187</v>
      </c>
      <c r="V314">
        <v>1210</v>
      </c>
      <c r="W314">
        <v>53</v>
      </c>
      <c r="X314">
        <v>38</v>
      </c>
      <c r="Y314">
        <v>57</v>
      </c>
      <c r="Z314">
        <v>40</v>
      </c>
      <c r="AA314">
        <v>9</v>
      </c>
      <c r="AB314">
        <v>113</v>
      </c>
      <c r="AC314">
        <v>74</v>
      </c>
      <c r="AD314" s="1">
        <v>76</v>
      </c>
      <c r="AE314" s="1">
        <v>86</v>
      </c>
      <c r="AF314">
        <v>4.09</v>
      </c>
    </row>
    <row r="315" spans="1:32" x14ac:dyDescent="0.2">
      <c r="A315" s="52">
        <v>2010</v>
      </c>
      <c r="B315" t="s">
        <v>164</v>
      </c>
      <c r="C315" t="s">
        <v>163</v>
      </c>
      <c r="D315">
        <v>603</v>
      </c>
      <c r="E315">
        <v>162</v>
      </c>
      <c r="F315">
        <v>7</v>
      </c>
      <c r="G315">
        <v>3</v>
      </c>
      <c r="H315">
        <v>155</v>
      </c>
      <c r="I315">
        <v>44</v>
      </c>
      <c r="J315">
        <v>1436.2</v>
      </c>
      <c r="K315">
        <v>6333</v>
      </c>
      <c r="L315">
        <v>1553</v>
      </c>
      <c r="M315" s="1">
        <v>845</v>
      </c>
      <c r="N315">
        <f t="shared" si="8"/>
        <v>1033</v>
      </c>
      <c r="O315">
        <v>321</v>
      </c>
      <c r="P315">
        <v>23</v>
      </c>
      <c r="Q315">
        <v>176</v>
      </c>
      <c r="R315">
        <v>794</v>
      </c>
      <c r="S315">
        <v>551</v>
      </c>
      <c r="T315">
        <v>28</v>
      </c>
      <c r="U315">
        <f t="shared" si="9"/>
        <v>4182</v>
      </c>
      <c r="V315">
        <v>1035</v>
      </c>
      <c r="W315">
        <v>41</v>
      </c>
      <c r="X315">
        <v>60</v>
      </c>
      <c r="Y315">
        <v>55</v>
      </c>
      <c r="Z315">
        <v>47</v>
      </c>
      <c r="AA315">
        <v>7</v>
      </c>
      <c r="AB315">
        <v>109</v>
      </c>
      <c r="AC315">
        <v>81</v>
      </c>
      <c r="AD315" s="1">
        <v>67</v>
      </c>
      <c r="AE315" s="1">
        <v>95</v>
      </c>
      <c r="AF315">
        <v>4.97</v>
      </c>
    </row>
    <row r="316" spans="1:32" x14ac:dyDescent="0.2">
      <c r="A316" s="52">
        <v>2010</v>
      </c>
      <c r="B316" t="s">
        <v>159</v>
      </c>
      <c r="C316" t="s">
        <v>38</v>
      </c>
      <c r="D316">
        <v>636</v>
      </c>
      <c r="E316">
        <v>162</v>
      </c>
      <c r="F316">
        <v>4</v>
      </c>
      <c r="G316">
        <v>16</v>
      </c>
      <c r="H316">
        <v>158</v>
      </c>
      <c r="I316">
        <v>41</v>
      </c>
      <c r="J316">
        <v>1441.2</v>
      </c>
      <c r="K316">
        <v>6141</v>
      </c>
      <c r="L316">
        <v>1323</v>
      </c>
      <c r="M316" s="1">
        <v>692</v>
      </c>
      <c r="N316">
        <f t="shared" si="8"/>
        <v>907</v>
      </c>
      <c r="O316">
        <v>242</v>
      </c>
      <c r="P316">
        <v>40</v>
      </c>
      <c r="Q316">
        <v>134</v>
      </c>
      <c r="R316">
        <v>643</v>
      </c>
      <c r="S316">
        <v>539</v>
      </c>
      <c r="T316">
        <v>75</v>
      </c>
      <c r="U316">
        <f t="shared" si="9"/>
        <v>4221</v>
      </c>
      <c r="V316">
        <v>1274</v>
      </c>
      <c r="W316">
        <v>69</v>
      </c>
      <c r="X316">
        <v>53</v>
      </c>
      <c r="Y316">
        <v>58</v>
      </c>
      <c r="Z316">
        <v>58</v>
      </c>
      <c r="AA316">
        <v>8</v>
      </c>
      <c r="AB316">
        <v>101</v>
      </c>
      <c r="AC316">
        <v>77</v>
      </c>
      <c r="AD316" s="1">
        <v>80</v>
      </c>
      <c r="AE316" s="1">
        <v>82</v>
      </c>
      <c r="AF316">
        <v>4.01</v>
      </c>
    </row>
    <row r="317" spans="1:32" x14ac:dyDescent="0.2">
      <c r="A317" s="52">
        <v>2010</v>
      </c>
      <c r="B317" t="s">
        <v>69</v>
      </c>
      <c r="C317" t="s">
        <v>38</v>
      </c>
      <c r="D317">
        <v>657</v>
      </c>
      <c r="E317">
        <v>162</v>
      </c>
      <c r="F317">
        <v>3</v>
      </c>
      <c r="G317">
        <v>7</v>
      </c>
      <c r="H317">
        <v>159</v>
      </c>
      <c r="I317">
        <v>35</v>
      </c>
      <c r="J317">
        <v>1439</v>
      </c>
      <c r="K317">
        <v>6324</v>
      </c>
      <c r="L317">
        <v>1487</v>
      </c>
      <c r="M317" s="1">
        <v>804</v>
      </c>
      <c r="N317">
        <f t="shared" si="8"/>
        <v>962</v>
      </c>
      <c r="O317">
        <v>329</v>
      </c>
      <c r="P317">
        <v>23</v>
      </c>
      <c r="Q317">
        <v>173</v>
      </c>
      <c r="R317">
        <v>733</v>
      </c>
      <c r="S317">
        <v>582</v>
      </c>
      <c r="T317">
        <v>42</v>
      </c>
      <c r="U317">
        <f t="shared" si="9"/>
        <v>4207</v>
      </c>
      <c r="V317">
        <v>1258</v>
      </c>
      <c r="W317">
        <v>65</v>
      </c>
      <c r="X317">
        <v>54</v>
      </c>
      <c r="Y317">
        <v>71</v>
      </c>
      <c r="Z317">
        <v>48</v>
      </c>
      <c r="AA317">
        <v>3</v>
      </c>
      <c r="AB317">
        <v>112</v>
      </c>
      <c r="AC317">
        <v>74</v>
      </c>
      <c r="AD317" s="1">
        <v>77</v>
      </c>
      <c r="AE317" s="1">
        <v>85</v>
      </c>
      <c r="AF317">
        <v>4.58</v>
      </c>
    </row>
    <row r="318" spans="1:32" x14ac:dyDescent="0.2">
      <c r="A318" s="52">
        <v>2010</v>
      </c>
      <c r="B318" t="s">
        <v>71</v>
      </c>
      <c r="C318" t="s">
        <v>163</v>
      </c>
      <c r="D318">
        <v>627</v>
      </c>
      <c r="E318">
        <v>162</v>
      </c>
      <c r="F318">
        <v>9</v>
      </c>
      <c r="G318">
        <v>13</v>
      </c>
      <c r="H318">
        <v>153</v>
      </c>
      <c r="I318">
        <v>40</v>
      </c>
      <c r="J318">
        <v>1452.2</v>
      </c>
      <c r="K318">
        <v>6106</v>
      </c>
      <c r="L318">
        <v>1493</v>
      </c>
      <c r="M318" s="1">
        <v>671</v>
      </c>
      <c r="N318">
        <f t="shared" si="8"/>
        <v>996</v>
      </c>
      <c r="O318">
        <v>307</v>
      </c>
      <c r="P318">
        <v>35</v>
      </c>
      <c r="Q318">
        <v>155</v>
      </c>
      <c r="R318">
        <v>638</v>
      </c>
      <c r="S318">
        <v>383</v>
      </c>
      <c r="T318">
        <v>19</v>
      </c>
      <c r="U318">
        <f t="shared" si="9"/>
        <v>4183</v>
      </c>
      <c r="V318">
        <v>1048</v>
      </c>
      <c r="W318">
        <v>35</v>
      </c>
      <c r="X318">
        <v>37</v>
      </c>
      <c r="Y318">
        <v>41</v>
      </c>
      <c r="Z318">
        <v>47</v>
      </c>
      <c r="AA318">
        <v>4</v>
      </c>
      <c r="AB318">
        <v>123</v>
      </c>
      <c r="AC318">
        <v>40</v>
      </c>
      <c r="AD318" s="1">
        <v>94</v>
      </c>
      <c r="AE318" s="1">
        <v>68</v>
      </c>
      <c r="AF318">
        <v>3.95</v>
      </c>
    </row>
    <row r="319" spans="1:32" x14ac:dyDescent="0.2">
      <c r="A319" s="52">
        <v>2010</v>
      </c>
      <c r="B319" t="s">
        <v>158</v>
      </c>
      <c r="C319" t="s">
        <v>38</v>
      </c>
      <c r="D319">
        <v>653</v>
      </c>
      <c r="E319">
        <v>162</v>
      </c>
      <c r="F319">
        <v>8</v>
      </c>
      <c r="G319">
        <v>19</v>
      </c>
      <c r="H319">
        <v>154</v>
      </c>
      <c r="I319">
        <v>36</v>
      </c>
      <c r="J319">
        <v>1453</v>
      </c>
      <c r="K319">
        <v>6245</v>
      </c>
      <c r="L319">
        <v>1438</v>
      </c>
      <c r="M319" s="1">
        <v>652</v>
      </c>
      <c r="N319">
        <f t="shared" si="8"/>
        <v>994</v>
      </c>
      <c r="O319">
        <v>282</v>
      </c>
      <c r="P319">
        <v>27</v>
      </c>
      <c r="Q319">
        <v>135</v>
      </c>
      <c r="R319">
        <v>597</v>
      </c>
      <c r="S319">
        <v>545</v>
      </c>
      <c r="T319">
        <v>55</v>
      </c>
      <c r="U319">
        <f t="shared" si="9"/>
        <v>4210</v>
      </c>
      <c r="V319">
        <v>1106</v>
      </c>
      <c r="W319">
        <v>74</v>
      </c>
      <c r="X319">
        <v>35</v>
      </c>
      <c r="Y319">
        <v>48</v>
      </c>
      <c r="Z319">
        <v>52</v>
      </c>
      <c r="AA319">
        <v>5</v>
      </c>
      <c r="AB319">
        <v>136</v>
      </c>
      <c r="AC319">
        <v>61</v>
      </c>
      <c r="AD319" s="1">
        <v>79</v>
      </c>
      <c r="AE319" s="1">
        <v>83</v>
      </c>
      <c r="AF319">
        <v>3.7</v>
      </c>
    </row>
    <row r="320" spans="1:32" x14ac:dyDescent="0.2">
      <c r="A320" s="52">
        <v>2010</v>
      </c>
      <c r="B320" t="s">
        <v>158</v>
      </c>
      <c r="C320" t="s">
        <v>163</v>
      </c>
      <c r="D320">
        <v>592</v>
      </c>
      <c r="E320">
        <v>162</v>
      </c>
      <c r="F320">
        <v>3</v>
      </c>
      <c r="G320">
        <v>8</v>
      </c>
      <c r="H320">
        <v>159</v>
      </c>
      <c r="I320">
        <v>39</v>
      </c>
      <c r="J320">
        <v>1442.1</v>
      </c>
      <c r="K320">
        <v>6102</v>
      </c>
      <c r="L320">
        <v>1349</v>
      </c>
      <c r="M320" s="1">
        <v>693</v>
      </c>
      <c r="N320">
        <f t="shared" si="8"/>
        <v>910</v>
      </c>
      <c r="O320">
        <v>246</v>
      </c>
      <c r="P320">
        <v>14</v>
      </c>
      <c r="Q320">
        <v>179</v>
      </c>
      <c r="R320">
        <v>651</v>
      </c>
      <c r="S320">
        <v>540</v>
      </c>
      <c r="T320">
        <v>37</v>
      </c>
      <c r="U320">
        <f t="shared" si="9"/>
        <v>4151</v>
      </c>
      <c r="V320">
        <v>1154</v>
      </c>
      <c r="W320">
        <v>36</v>
      </c>
      <c r="X320">
        <v>52</v>
      </c>
      <c r="Y320">
        <v>69</v>
      </c>
      <c r="Z320">
        <v>62</v>
      </c>
      <c r="AA320">
        <v>6</v>
      </c>
      <c r="AB320">
        <v>137</v>
      </c>
      <c r="AC320">
        <v>42</v>
      </c>
      <c r="AD320" s="1">
        <v>95</v>
      </c>
      <c r="AE320" s="1">
        <v>67</v>
      </c>
      <c r="AF320">
        <v>4.0599999999999996</v>
      </c>
    </row>
    <row r="321" spans="1:32" x14ac:dyDescent="0.2">
      <c r="A321" s="52">
        <v>2010</v>
      </c>
      <c r="B321" t="s">
        <v>79</v>
      </c>
      <c r="C321" t="s">
        <v>163</v>
      </c>
      <c r="D321">
        <v>585</v>
      </c>
      <c r="E321">
        <v>162</v>
      </c>
      <c r="F321">
        <v>7</v>
      </c>
      <c r="G321">
        <v>17</v>
      </c>
      <c r="H321">
        <v>155</v>
      </c>
      <c r="I321">
        <v>38</v>
      </c>
      <c r="J321">
        <v>1431.2</v>
      </c>
      <c r="K321">
        <v>6011</v>
      </c>
      <c r="L321">
        <v>1315</v>
      </c>
      <c r="M321" s="1">
        <v>626</v>
      </c>
      <c r="N321">
        <f t="shared" si="8"/>
        <v>913</v>
      </c>
      <c r="O321">
        <v>232</v>
      </c>
      <c r="P321">
        <v>17</v>
      </c>
      <c r="Q321">
        <v>153</v>
      </c>
      <c r="R321">
        <v>566</v>
      </c>
      <c r="S321">
        <v>512</v>
      </c>
      <c r="T321">
        <v>29</v>
      </c>
      <c r="U321">
        <f t="shared" si="9"/>
        <v>4146</v>
      </c>
      <c r="V321">
        <v>1070</v>
      </c>
      <c r="W321">
        <v>48</v>
      </c>
      <c r="X321">
        <v>34</v>
      </c>
      <c r="Y321">
        <v>42</v>
      </c>
      <c r="Z321">
        <v>38</v>
      </c>
      <c r="AA321">
        <v>8</v>
      </c>
      <c r="AB321">
        <v>132</v>
      </c>
      <c r="AC321">
        <v>65</v>
      </c>
      <c r="AD321" s="1">
        <v>81</v>
      </c>
      <c r="AE321" s="1">
        <v>81</v>
      </c>
      <c r="AF321">
        <v>3.56</v>
      </c>
    </row>
    <row r="322" spans="1:32" x14ac:dyDescent="0.2">
      <c r="A322" s="52">
        <v>2010</v>
      </c>
      <c r="B322" t="s">
        <v>81</v>
      </c>
      <c r="C322" t="s">
        <v>38</v>
      </c>
      <c r="D322">
        <v>613</v>
      </c>
      <c r="E322">
        <v>162</v>
      </c>
      <c r="F322">
        <v>14</v>
      </c>
      <c r="G322">
        <v>21</v>
      </c>
      <c r="H322">
        <v>148</v>
      </c>
      <c r="I322">
        <v>40</v>
      </c>
      <c r="J322">
        <v>1456.1</v>
      </c>
      <c r="K322">
        <v>6095</v>
      </c>
      <c r="L322">
        <v>1402</v>
      </c>
      <c r="M322" s="1">
        <v>640</v>
      </c>
      <c r="N322">
        <f t="shared" si="8"/>
        <v>927</v>
      </c>
      <c r="O322">
        <v>283</v>
      </c>
      <c r="P322">
        <v>24</v>
      </c>
      <c r="Q322">
        <v>168</v>
      </c>
      <c r="R322">
        <v>594</v>
      </c>
      <c r="S322">
        <v>416</v>
      </c>
      <c r="T322">
        <v>42</v>
      </c>
      <c r="U322">
        <f t="shared" si="9"/>
        <v>4220</v>
      </c>
      <c r="V322">
        <v>1183</v>
      </c>
      <c r="W322">
        <v>67</v>
      </c>
      <c r="X322">
        <v>30</v>
      </c>
      <c r="Y322">
        <v>26</v>
      </c>
      <c r="Z322">
        <v>57</v>
      </c>
      <c r="AA322">
        <v>5</v>
      </c>
      <c r="AB322">
        <v>132</v>
      </c>
      <c r="AC322">
        <v>60</v>
      </c>
      <c r="AD322" s="1">
        <v>97</v>
      </c>
      <c r="AE322" s="1">
        <v>65</v>
      </c>
      <c r="AF322">
        <v>3.67</v>
      </c>
    </row>
    <row r="323" spans="1:32" x14ac:dyDescent="0.2">
      <c r="A323" s="52">
        <v>2010</v>
      </c>
      <c r="B323" t="s">
        <v>83</v>
      </c>
      <c r="C323" t="s">
        <v>38</v>
      </c>
      <c r="D323">
        <v>679</v>
      </c>
      <c r="E323">
        <v>162</v>
      </c>
      <c r="F323">
        <v>1</v>
      </c>
      <c r="G323">
        <v>6</v>
      </c>
      <c r="H323">
        <v>161</v>
      </c>
      <c r="I323">
        <v>31</v>
      </c>
      <c r="J323">
        <v>1411.2</v>
      </c>
      <c r="K323">
        <v>6300</v>
      </c>
      <c r="L323">
        <v>1567</v>
      </c>
      <c r="M323" s="1">
        <v>866</v>
      </c>
      <c r="N323">
        <f t="shared" ref="N323:N386" si="10">L323-(O323+P323+Q323)</f>
        <v>1005</v>
      </c>
      <c r="O323">
        <v>360</v>
      </c>
      <c r="P323">
        <v>35</v>
      </c>
      <c r="Q323">
        <v>167</v>
      </c>
      <c r="R323">
        <v>784</v>
      </c>
      <c r="S323">
        <v>538</v>
      </c>
      <c r="T323">
        <v>40</v>
      </c>
      <c r="U323">
        <f t="shared" ref="U323:U386" si="11">K323-(L323+S323+Z323)</f>
        <v>4129</v>
      </c>
      <c r="V323">
        <v>1026</v>
      </c>
      <c r="W323">
        <v>68</v>
      </c>
      <c r="X323">
        <v>67</v>
      </c>
      <c r="Y323">
        <v>56</v>
      </c>
      <c r="Z323">
        <v>66</v>
      </c>
      <c r="AA323">
        <v>10</v>
      </c>
      <c r="AB323">
        <v>102</v>
      </c>
      <c r="AC323">
        <v>81</v>
      </c>
      <c r="AD323" s="1">
        <v>57</v>
      </c>
      <c r="AE323" s="1">
        <v>105</v>
      </c>
      <c r="AF323">
        <v>5</v>
      </c>
    </row>
    <row r="324" spans="1:32" x14ac:dyDescent="0.2">
      <c r="A324" s="52">
        <v>2010</v>
      </c>
      <c r="B324" t="s">
        <v>161</v>
      </c>
      <c r="C324" t="s">
        <v>38</v>
      </c>
      <c r="D324">
        <v>661</v>
      </c>
      <c r="E324">
        <v>162</v>
      </c>
      <c r="F324">
        <v>2</v>
      </c>
      <c r="G324">
        <v>20</v>
      </c>
      <c r="H324">
        <v>160</v>
      </c>
      <c r="I324">
        <v>49</v>
      </c>
      <c r="J324">
        <v>1456.1</v>
      </c>
      <c r="K324">
        <v>6058</v>
      </c>
      <c r="L324">
        <v>1305</v>
      </c>
      <c r="M324" s="1">
        <v>581</v>
      </c>
      <c r="N324">
        <f t="shared" si="10"/>
        <v>904</v>
      </c>
      <c r="O324">
        <v>240</v>
      </c>
      <c r="P324">
        <v>22</v>
      </c>
      <c r="Q324">
        <v>139</v>
      </c>
      <c r="R324">
        <v>549</v>
      </c>
      <c r="S324">
        <v>517</v>
      </c>
      <c r="T324">
        <v>51</v>
      </c>
      <c r="U324">
        <f t="shared" si="11"/>
        <v>4208</v>
      </c>
      <c r="V324">
        <v>1295</v>
      </c>
      <c r="W324">
        <v>46</v>
      </c>
      <c r="X324">
        <v>21</v>
      </c>
      <c r="Y324">
        <v>29</v>
      </c>
      <c r="Z324">
        <v>28</v>
      </c>
      <c r="AA324">
        <v>5</v>
      </c>
      <c r="AB324">
        <v>116</v>
      </c>
      <c r="AC324">
        <v>46</v>
      </c>
      <c r="AD324" s="1">
        <v>90</v>
      </c>
      <c r="AE324" s="1">
        <v>72</v>
      </c>
      <c r="AF324">
        <v>3.39</v>
      </c>
    </row>
    <row r="325" spans="1:32" x14ac:dyDescent="0.2">
      <c r="A325" s="52">
        <v>2010</v>
      </c>
      <c r="B325" t="s">
        <v>87</v>
      </c>
      <c r="C325" t="s">
        <v>163</v>
      </c>
      <c r="D325">
        <v>520</v>
      </c>
      <c r="E325">
        <v>162</v>
      </c>
      <c r="F325">
        <v>11</v>
      </c>
      <c r="G325">
        <v>10</v>
      </c>
      <c r="H325">
        <v>151</v>
      </c>
      <c r="I325">
        <v>38</v>
      </c>
      <c r="J325">
        <v>1438</v>
      </c>
      <c r="K325">
        <v>6091</v>
      </c>
      <c r="L325">
        <v>1402</v>
      </c>
      <c r="M325" s="1">
        <v>698</v>
      </c>
      <c r="N325">
        <f t="shared" si="10"/>
        <v>930</v>
      </c>
      <c r="O325">
        <v>293</v>
      </c>
      <c r="P325">
        <v>22</v>
      </c>
      <c r="Q325">
        <v>157</v>
      </c>
      <c r="R325">
        <v>628</v>
      </c>
      <c r="S325">
        <v>452</v>
      </c>
      <c r="T325">
        <v>33</v>
      </c>
      <c r="U325">
        <f t="shared" si="11"/>
        <v>4197</v>
      </c>
      <c r="V325">
        <v>973</v>
      </c>
      <c r="W325">
        <v>37</v>
      </c>
      <c r="X325">
        <v>51</v>
      </c>
      <c r="Y325">
        <v>73</v>
      </c>
      <c r="Z325">
        <v>40</v>
      </c>
      <c r="AA325">
        <v>11</v>
      </c>
      <c r="AB325">
        <v>124</v>
      </c>
      <c r="AC325">
        <v>87</v>
      </c>
      <c r="AD325" s="1">
        <v>61</v>
      </c>
      <c r="AE325" s="1">
        <v>101</v>
      </c>
      <c r="AF325">
        <v>3.93</v>
      </c>
    </row>
    <row r="326" spans="1:32" x14ac:dyDescent="0.2">
      <c r="A326" s="52">
        <v>2010</v>
      </c>
      <c r="B326" t="s">
        <v>21</v>
      </c>
      <c r="C326" t="s">
        <v>38</v>
      </c>
      <c r="D326">
        <v>638</v>
      </c>
      <c r="E326">
        <v>162</v>
      </c>
      <c r="F326">
        <v>6</v>
      </c>
      <c r="G326">
        <v>17</v>
      </c>
      <c r="H326">
        <v>156</v>
      </c>
      <c r="I326">
        <v>57</v>
      </c>
      <c r="J326">
        <v>1461</v>
      </c>
      <c r="K326">
        <v>6159</v>
      </c>
      <c r="L326">
        <v>1279</v>
      </c>
      <c r="M326" s="1">
        <v>583</v>
      </c>
      <c r="N326">
        <f t="shared" si="10"/>
        <v>859</v>
      </c>
      <c r="O326">
        <v>246</v>
      </c>
      <c r="P326">
        <v>40</v>
      </c>
      <c r="Q326">
        <v>134</v>
      </c>
      <c r="R326">
        <v>546</v>
      </c>
      <c r="S326">
        <v>578</v>
      </c>
      <c r="T326">
        <v>58</v>
      </c>
      <c r="U326">
        <f t="shared" si="11"/>
        <v>4251</v>
      </c>
      <c r="V326">
        <v>1331</v>
      </c>
      <c r="W326">
        <v>64</v>
      </c>
      <c r="X326">
        <v>41</v>
      </c>
      <c r="Y326">
        <v>74</v>
      </c>
      <c r="Z326">
        <v>51</v>
      </c>
      <c r="AA326">
        <v>4</v>
      </c>
      <c r="AB326">
        <v>91</v>
      </c>
      <c r="AC326">
        <v>51</v>
      </c>
      <c r="AD326" s="1">
        <v>92</v>
      </c>
      <c r="AE326" s="1">
        <v>70</v>
      </c>
      <c r="AF326">
        <v>3.36</v>
      </c>
    </row>
    <row r="327" spans="1:32" x14ac:dyDescent="0.2">
      <c r="A327" s="52">
        <v>2010</v>
      </c>
      <c r="B327" t="s">
        <v>156</v>
      </c>
      <c r="C327" t="s">
        <v>38</v>
      </c>
      <c r="D327">
        <v>617</v>
      </c>
      <c r="E327">
        <v>162</v>
      </c>
      <c r="F327">
        <v>7</v>
      </c>
      <c r="G327">
        <v>16</v>
      </c>
      <c r="H327">
        <v>155</v>
      </c>
      <c r="I327">
        <v>32</v>
      </c>
      <c r="J327">
        <v>1453.2</v>
      </c>
      <c r="K327">
        <v>6137</v>
      </c>
      <c r="L327">
        <v>1412</v>
      </c>
      <c r="M327" s="1">
        <v>641</v>
      </c>
      <c r="N327">
        <f t="shared" si="10"/>
        <v>985</v>
      </c>
      <c r="O327">
        <v>266</v>
      </c>
      <c r="P327">
        <v>28</v>
      </c>
      <c r="Q327">
        <v>133</v>
      </c>
      <c r="R327">
        <v>577</v>
      </c>
      <c r="S327">
        <v>477</v>
      </c>
      <c r="T327">
        <v>32</v>
      </c>
      <c r="U327">
        <f t="shared" si="11"/>
        <v>4200</v>
      </c>
      <c r="V327">
        <v>1094</v>
      </c>
      <c r="W327">
        <v>62</v>
      </c>
      <c r="X327">
        <v>44</v>
      </c>
      <c r="Y327">
        <v>42</v>
      </c>
      <c r="Z327">
        <v>48</v>
      </c>
      <c r="AA327">
        <v>4</v>
      </c>
      <c r="AB327">
        <v>152</v>
      </c>
      <c r="AC327">
        <v>75</v>
      </c>
      <c r="AD327" s="1">
        <v>86</v>
      </c>
      <c r="AE327" s="1">
        <v>76</v>
      </c>
      <c r="AF327">
        <v>3.57</v>
      </c>
    </row>
    <row r="328" spans="1:32" x14ac:dyDescent="0.2">
      <c r="A328" s="52">
        <v>2010</v>
      </c>
      <c r="B328" t="s">
        <v>165</v>
      </c>
      <c r="C328" t="s">
        <v>163</v>
      </c>
      <c r="D328">
        <v>653</v>
      </c>
      <c r="E328">
        <v>162</v>
      </c>
      <c r="F328">
        <v>6</v>
      </c>
      <c r="G328">
        <v>12</v>
      </c>
      <c r="H328">
        <v>156</v>
      </c>
      <c r="I328">
        <v>51</v>
      </c>
      <c r="J328">
        <v>1453.2</v>
      </c>
      <c r="K328">
        <v>6103</v>
      </c>
      <c r="L328">
        <v>1347</v>
      </c>
      <c r="M328" s="1">
        <v>649</v>
      </c>
      <c r="N328">
        <f t="shared" si="10"/>
        <v>852</v>
      </c>
      <c r="O328">
        <v>286</v>
      </c>
      <c r="P328">
        <v>34</v>
      </c>
      <c r="Q328">
        <v>175</v>
      </c>
      <c r="R328">
        <v>611</v>
      </c>
      <c r="S328">
        <v>478</v>
      </c>
      <c r="T328">
        <v>34</v>
      </c>
      <c r="U328">
        <f t="shared" si="11"/>
        <v>4232</v>
      </c>
      <c r="V328">
        <v>1189</v>
      </c>
      <c r="W328">
        <v>25</v>
      </c>
      <c r="X328">
        <v>37</v>
      </c>
      <c r="Y328">
        <v>60</v>
      </c>
      <c r="Z328">
        <v>46</v>
      </c>
      <c r="AA328">
        <v>9</v>
      </c>
      <c r="AB328">
        <v>114</v>
      </c>
      <c r="AC328">
        <v>58</v>
      </c>
      <c r="AD328" s="1">
        <v>96</v>
      </c>
      <c r="AE328" s="1">
        <v>66</v>
      </c>
      <c r="AF328">
        <v>3.78</v>
      </c>
    </row>
    <row r="329" spans="1:32" x14ac:dyDescent="0.2">
      <c r="A329" s="52">
        <v>2010</v>
      </c>
      <c r="B329" t="s">
        <v>95</v>
      </c>
      <c r="C329" t="s">
        <v>163</v>
      </c>
      <c r="D329">
        <v>643</v>
      </c>
      <c r="E329">
        <v>162</v>
      </c>
      <c r="F329">
        <v>7</v>
      </c>
      <c r="G329">
        <v>8</v>
      </c>
      <c r="H329">
        <v>155</v>
      </c>
      <c r="I329">
        <v>46</v>
      </c>
      <c r="J329">
        <v>1455.1</v>
      </c>
      <c r="K329">
        <v>6213</v>
      </c>
      <c r="L329">
        <v>1355</v>
      </c>
      <c r="M329" s="1">
        <v>687</v>
      </c>
      <c r="N329">
        <f t="shared" si="10"/>
        <v>903</v>
      </c>
      <c r="O329">
        <v>269</v>
      </c>
      <c r="P329">
        <v>21</v>
      </c>
      <c r="Q329">
        <v>162</v>
      </c>
      <c r="R329">
        <v>636</v>
      </c>
      <c r="S329">
        <v>551</v>
      </c>
      <c r="T329">
        <v>24</v>
      </c>
      <c r="U329">
        <f t="shared" si="11"/>
        <v>4244</v>
      </c>
      <c r="V329">
        <v>1181</v>
      </c>
      <c r="W329">
        <v>36</v>
      </c>
      <c r="X329">
        <v>46</v>
      </c>
      <c r="Y329">
        <v>56</v>
      </c>
      <c r="Z329">
        <v>63</v>
      </c>
      <c r="AA329">
        <v>4</v>
      </c>
      <c r="AB329">
        <v>119</v>
      </c>
      <c r="AC329">
        <v>67</v>
      </c>
      <c r="AD329" s="1">
        <v>90</v>
      </c>
      <c r="AE329" s="1">
        <v>72</v>
      </c>
      <c r="AF329">
        <v>3.93</v>
      </c>
    </row>
    <row r="330" spans="1:32" x14ac:dyDescent="0.2">
      <c r="A330" s="52">
        <v>2010</v>
      </c>
      <c r="B330" t="s">
        <v>97</v>
      </c>
      <c r="C330" t="s">
        <v>163</v>
      </c>
      <c r="D330">
        <v>617</v>
      </c>
      <c r="E330">
        <v>162</v>
      </c>
      <c r="F330">
        <v>5</v>
      </c>
      <c r="G330">
        <v>11</v>
      </c>
      <c r="H330">
        <v>157</v>
      </c>
      <c r="I330">
        <v>45</v>
      </c>
      <c r="J330">
        <v>1440.2</v>
      </c>
      <c r="K330">
        <v>6165</v>
      </c>
      <c r="L330">
        <v>1407</v>
      </c>
      <c r="M330" s="1">
        <v>728</v>
      </c>
      <c r="N330">
        <f t="shared" si="10"/>
        <v>916</v>
      </c>
      <c r="O330">
        <v>310</v>
      </c>
      <c r="P330">
        <v>31</v>
      </c>
      <c r="Q330">
        <v>150</v>
      </c>
      <c r="R330">
        <v>676</v>
      </c>
      <c r="S330">
        <v>539</v>
      </c>
      <c r="T330">
        <v>35</v>
      </c>
      <c r="U330">
        <f t="shared" si="11"/>
        <v>4159</v>
      </c>
      <c r="V330">
        <v>1184</v>
      </c>
      <c r="W330">
        <v>21</v>
      </c>
      <c r="X330">
        <v>37</v>
      </c>
      <c r="Y330">
        <v>69</v>
      </c>
      <c r="Z330">
        <v>60</v>
      </c>
      <c r="AA330">
        <v>3</v>
      </c>
      <c r="AB330">
        <v>148</v>
      </c>
      <c r="AC330">
        <v>64</v>
      </c>
      <c r="AD330" s="1">
        <v>85</v>
      </c>
      <c r="AE330" s="1">
        <v>77</v>
      </c>
      <c r="AF330">
        <v>4.22</v>
      </c>
    </row>
    <row r="331" spans="1:32" x14ac:dyDescent="0.2">
      <c r="A331" s="52">
        <v>2010</v>
      </c>
      <c r="B331" t="s">
        <v>101</v>
      </c>
      <c r="C331" t="s">
        <v>38</v>
      </c>
      <c r="D331">
        <v>656</v>
      </c>
      <c r="E331">
        <v>162</v>
      </c>
      <c r="F331">
        <v>2</v>
      </c>
      <c r="G331">
        <v>5</v>
      </c>
      <c r="H331">
        <v>160</v>
      </c>
      <c r="I331">
        <v>37</v>
      </c>
      <c r="J331">
        <v>1435</v>
      </c>
      <c r="K331">
        <v>6214</v>
      </c>
      <c r="L331">
        <v>1469</v>
      </c>
      <c r="M331" s="1">
        <v>742</v>
      </c>
      <c r="N331">
        <f t="shared" si="10"/>
        <v>1008</v>
      </c>
      <c r="O331">
        <v>275</v>
      </c>
      <c r="P331">
        <v>35</v>
      </c>
      <c r="Q331">
        <v>151</v>
      </c>
      <c r="R331">
        <v>658</v>
      </c>
      <c r="S331">
        <v>512</v>
      </c>
      <c r="T331">
        <v>57</v>
      </c>
      <c r="U331">
        <f t="shared" si="11"/>
        <v>4187</v>
      </c>
      <c r="V331">
        <v>1068</v>
      </c>
      <c r="W331">
        <v>76</v>
      </c>
      <c r="X331">
        <v>51</v>
      </c>
      <c r="Y331">
        <v>33</v>
      </c>
      <c r="Z331">
        <v>46</v>
      </c>
      <c r="AA331">
        <v>7</v>
      </c>
      <c r="AB331">
        <v>126</v>
      </c>
      <c r="AC331">
        <v>86</v>
      </c>
      <c r="AD331" s="1">
        <v>69</v>
      </c>
      <c r="AE331" s="1">
        <v>93</v>
      </c>
      <c r="AF331">
        <v>4.13</v>
      </c>
    </row>
    <row r="332" spans="1:32" x14ac:dyDescent="0.2">
      <c r="A332" s="52">
        <v>2011</v>
      </c>
      <c r="B332" t="s">
        <v>37</v>
      </c>
      <c r="C332" t="s">
        <v>163</v>
      </c>
      <c r="D332">
        <v>548</v>
      </c>
      <c r="E332">
        <v>162</v>
      </c>
      <c r="F332">
        <v>12</v>
      </c>
      <c r="G332">
        <v>11</v>
      </c>
      <c r="H332">
        <v>150</v>
      </c>
      <c r="I332">
        <v>39</v>
      </c>
      <c r="J332">
        <v>1465</v>
      </c>
      <c r="K332">
        <v>6124</v>
      </c>
      <c r="L332">
        <v>1388</v>
      </c>
      <c r="M332" s="1">
        <v>633</v>
      </c>
      <c r="N332">
        <f t="shared" si="10"/>
        <v>939</v>
      </c>
      <c r="O332">
        <v>287</v>
      </c>
      <c r="P332">
        <v>20</v>
      </c>
      <c r="Q332">
        <v>142</v>
      </c>
      <c r="R332">
        <v>581</v>
      </c>
      <c r="S332">
        <v>476</v>
      </c>
      <c r="T332">
        <v>34</v>
      </c>
      <c r="U332">
        <f t="shared" si="11"/>
        <v>4224</v>
      </c>
      <c r="V332">
        <v>1058</v>
      </c>
      <c r="W332">
        <v>46</v>
      </c>
      <c r="X332">
        <v>41</v>
      </c>
      <c r="Y332">
        <v>55</v>
      </c>
      <c r="Z332">
        <v>36</v>
      </c>
      <c r="AA332">
        <v>4</v>
      </c>
      <c r="AB332">
        <v>140</v>
      </c>
      <c r="AC332">
        <v>67</v>
      </c>
      <c r="AD332" s="1">
        <v>86</v>
      </c>
      <c r="AE332" s="1">
        <v>76</v>
      </c>
      <c r="AF332">
        <v>3.57</v>
      </c>
    </row>
    <row r="333" spans="1:32" x14ac:dyDescent="0.2">
      <c r="A333" s="52">
        <v>2011</v>
      </c>
      <c r="B333" t="s">
        <v>40</v>
      </c>
      <c r="C333" t="s">
        <v>38</v>
      </c>
      <c r="D333">
        <v>625</v>
      </c>
      <c r="E333">
        <v>162</v>
      </c>
      <c r="F333">
        <v>5</v>
      </c>
      <c r="G333">
        <v>12</v>
      </c>
      <c r="H333">
        <v>157</v>
      </c>
      <c r="I333">
        <v>58</v>
      </c>
      <c r="J333">
        <v>1443.1</v>
      </c>
      <c r="K333">
        <v>6102</v>
      </c>
      <c r="L333">
        <v>1414</v>
      </c>
      <c r="M333" s="1">
        <v>662</v>
      </c>
      <c r="N333">
        <f t="shared" si="10"/>
        <v>931</v>
      </c>
      <c r="O333">
        <v>292</v>
      </c>
      <c r="P333">
        <v>32</v>
      </c>
      <c r="Q333">
        <v>159</v>
      </c>
      <c r="R333">
        <v>609</v>
      </c>
      <c r="S333">
        <v>442</v>
      </c>
      <c r="T333">
        <v>16</v>
      </c>
      <c r="U333">
        <f t="shared" si="11"/>
        <v>4193</v>
      </c>
      <c r="V333">
        <v>1058</v>
      </c>
      <c r="W333">
        <v>62</v>
      </c>
      <c r="X333">
        <v>46</v>
      </c>
      <c r="Y333">
        <v>39</v>
      </c>
      <c r="Z333">
        <v>53</v>
      </c>
      <c r="AA333">
        <v>7</v>
      </c>
      <c r="AB333">
        <v>107</v>
      </c>
      <c r="AC333">
        <v>57</v>
      </c>
      <c r="AD333" s="1">
        <v>94</v>
      </c>
      <c r="AE333" s="1">
        <v>68</v>
      </c>
      <c r="AF333">
        <v>3.8</v>
      </c>
    </row>
    <row r="334" spans="1:32" x14ac:dyDescent="0.2">
      <c r="A334" s="52">
        <v>2011</v>
      </c>
      <c r="B334" t="s">
        <v>42</v>
      </c>
      <c r="C334" t="s">
        <v>38</v>
      </c>
      <c r="D334">
        <v>672</v>
      </c>
      <c r="E334">
        <v>162</v>
      </c>
      <c r="F334">
        <v>3</v>
      </c>
      <c r="G334">
        <v>16</v>
      </c>
      <c r="H334">
        <v>159</v>
      </c>
      <c r="I334">
        <v>52</v>
      </c>
      <c r="J334">
        <v>1479.2</v>
      </c>
      <c r="K334">
        <v>6220</v>
      </c>
      <c r="L334">
        <v>1332</v>
      </c>
      <c r="M334" s="1">
        <v>605</v>
      </c>
      <c r="N334">
        <f t="shared" si="10"/>
        <v>946</v>
      </c>
      <c r="O334">
        <v>228</v>
      </c>
      <c r="P334">
        <v>33</v>
      </c>
      <c r="Q334">
        <v>125</v>
      </c>
      <c r="R334">
        <v>572</v>
      </c>
      <c r="S334">
        <v>521</v>
      </c>
      <c r="T334">
        <v>73</v>
      </c>
      <c r="U334">
        <f t="shared" si="11"/>
        <v>4314</v>
      </c>
      <c r="V334">
        <v>1332</v>
      </c>
      <c r="W334">
        <v>65</v>
      </c>
      <c r="X334">
        <v>39</v>
      </c>
      <c r="Y334">
        <v>61</v>
      </c>
      <c r="Z334">
        <v>53</v>
      </c>
      <c r="AA334">
        <v>5</v>
      </c>
      <c r="AB334">
        <v>110</v>
      </c>
      <c r="AC334">
        <v>62</v>
      </c>
      <c r="AD334" s="1">
        <v>89</v>
      </c>
      <c r="AE334" s="1">
        <v>73</v>
      </c>
      <c r="AF334">
        <v>3.48</v>
      </c>
    </row>
    <row r="335" spans="1:32" x14ac:dyDescent="0.2">
      <c r="A335" s="52">
        <v>2011</v>
      </c>
      <c r="B335" t="s">
        <v>45</v>
      </c>
      <c r="C335" t="s">
        <v>163</v>
      </c>
      <c r="D335">
        <v>640</v>
      </c>
      <c r="E335">
        <v>162</v>
      </c>
      <c r="F335">
        <v>3</v>
      </c>
      <c r="G335">
        <v>7</v>
      </c>
      <c r="H335">
        <v>159</v>
      </c>
      <c r="I335">
        <v>32</v>
      </c>
      <c r="J335">
        <v>1446.2</v>
      </c>
      <c r="K335">
        <v>6332</v>
      </c>
      <c r="L335">
        <v>1568</v>
      </c>
      <c r="M335" s="1">
        <v>860</v>
      </c>
      <c r="N335">
        <f t="shared" si="10"/>
        <v>977</v>
      </c>
      <c r="O335">
        <v>354</v>
      </c>
      <c r="P335">
        <v>27</v>
      </c>
      <c r="Q335">
        <v>210</v>
      </c>
      <c r="R335">
        <v>786</v>
      </c>
      <c r="S335">
        <v>535</v>
      </c>
      <c r="T335">
        <v>42</v>
      </c>
      <c r="U335">
        <f t="shared" si="11"/>
        <v>4184</v>
      </c>
      <c r="V335">
        <v>1044</v>
      </c>
      <c r="W335">
        <v>37</v>
      </c>
      <c r="X335">
        <v>49</v>
      </c>
      <c r="Y335">
        <v>32</v>
      </c>
      <c r="Z335">
        <v>45</v>
      </c>
      <c r="AA335">
        <v>4</v>
      </c>
      <c r="AB335">
        <v>135</v>
      </c>
      <c r="AC335">
        <v>70</v>
      </c>
      <c r="AD335" s="1">
        <v>69</v>
      </c>
      <c r="AE335" s="1">
        <v>93</v>
      </c>
      <c r="AF335">
        <v>4.8899999999999997</v>
      </c>
    </row>
    <row r="336" spans="1:32" x14ac:dyDescent="0.2">
      <c r="A336" s="52">
        <v>2011</v>
      </c>
      <c r="B336" t="s">
        <v>47</v>
      </c>
      <c r="C336" t="s">
        <v>163</v>
      </c>
      <c r="D336">
        <v>606</v>
      </c>
      <c r="E336">
        <v>162</v>
      </c>
      <c r="F336">
        <v>2</v>
      </c>
      <c r="G336">
        <v>13</v>
      </c>
      <c r="H336">
        <v>160</v>
      </c>
      <c r="I336">
        <v>36</v>
      </c>
      <c r="J336">
        <v>1457.1</v>
      </c>
      <c r="K336">
        <v>6242</v>
      </c>
      <c r="L336">
        <v>1366</v>
      </c>
      <c r="M336" s="1">
        <v>737</v>
      </c>
      <c r="N336">
        <f t="shared" si="10"/>
        <v>901</v>
      </c>
      <c r="O336">
        <v>286</v>
      </c>
      <c r="P336">
        <v>23</v>
      </c>
      <c r="Q336">
        <v>156</v>
      </c>
      <c r="R336">
        <v>680</v>
      </c>
      <c r="S336">
        <v>540</v>
      </c>
      <c r="T336">
        <v>11</v>
      </c>
      <c r="U336">
        <f t="shared" si="11"/>
        <v>4246</v>
      </c>
      <c r="V336">
        <v>1213</v>
      </c>
      <c r="W336">
        <v>40</v>
      </c>
      <c r="X336">
        <v>43</v>
      </c>
      <c r="Y336">
        <v>58</v>
      </c>
      <c r="Z336">
        <v>90</v>
      </c>
      <c r="AA336">
        <v>7</v>
      </c>
      <c r="AB336">
        <v>99</v>
      </c>
      <c r="AC336">
        <v>62</v>
      </c>
      <c r="AD336" s="1">
        <v>90</v>
      </c>
      <c r="AE336" s="1">
        <v>72</v>
      </c>
      <c r="AF336">
        <v>4.2</v>
      </c>
    </row>
    <row r="337" spans="1:32" x14ac:dyDescent="0.2">
      <c r="A337" s="52">
        <v>2011</v>
      </c>
      <c r="B337" t="s">
        <v>157</v>
      </c>
      <c r="C337" t="s">
        <v>38</v>
      </c>
      <c r="D337">
        <v>657</v>
      </c>
      <c r="E337">
        <v>162</v>
      </c>
      <c r="F337">
        <v>4</v>
      </c>
      <c r="G337">
        <v>5</v>
      </c>
      <c r="H337">
        <v>158</v>
      </c>
      <c r="I337">
        <v>40</v>
      </c>
      <c r="J337">
        <v>1434.1</v>
      </c>
      <c r="K337">
        <v>6262</v>
      </c>
      <c r="L337">
        <v>1439</v>
      </c>
      <c r="M337" s="1">
        <v>756</v>
      </c>
      <c r="N337">
        <f t="shared" si="10"/>
        <v>959</v>
      </c>
      <c r="O337">
        <v>289</v>
      </c>
      <c r="P337">
        <v>29</v>
      </c>
      <c r="Q337">
        <v>162</v>
      </c>
      <c r="R337">
        <v>690</v>
      </c>
      <c r="S337">
        <v>580</v>
      </c>
      <c r="T337">
        <v>45</v>
      </c>
      <c r="U337">
        <f t="shared" si="11"/>
        <v>4190</v>
      </c>
      <c r="V337">
        <v>1224</v>
      </c>
      <c r="W337">
        <v>81</v>
      </c>
      <c r="X337">
        <v>44</v>
      </c>
      <c r="Y337">
        <v>51</v>
      </c>
      <c r="Z337">
        <v>53</v>
      </c>
      <c r="AA337">
        <v>5</v>
      </c>
      <c r="AB337">
        <v>103</v>
      </c>
      <c r="AC337">
        <v>86</v>
      </c>
      <c r="AD337" s="1">
        <v>71</v>
      </c>
      <c r="AE337" s="1">
        <v>91</v>
      </c>
      <c r="AF337">
        <v>4.33</v>
      </c>
    </row>
    <row r="338" spans="1:32" x14ac:dyDescent="0.2">
      <c r="A338" s="52">
        <v>2011</v>
      </c>
      <c r="B338" t="s">
        <v>157</v>
      </c>
      <c r="C338" t="s">
        <v>163</v>
      </c>
      <c r="D338">
        <v>572</v>
      </c>
      <c r="E338">
        <v>162</v>
      </c>
      <c r="F338">
        <v>6</v>
      </c>
      <c r="G338">
        <v>14</v>
      </c>
      <c r="H338">
        <v>156</v>
      </c>
      <c r="I338">
        <v>42</v>
      </c>
      <c r="J338">
        <v>1460</v>
      </c>
      <c r="K338">
        <v>6188</v>
      </c>
      <c r="L338">
        <v>1463</v>
      </c>
      <c r="M338" s="1">
        <v>706</v>
      </c>
      <c r="N338">
        <f t="shared" si="10"/>
        <v>1020</v>
      </c>
      <c r="O338">
        <v>265</v>
      </c>
      <c r="P338">
        <v>31</v>
      </c>
      <c r="Q338">
        <v>147</v>
      </c>
      <c r="R338">
        <v>665</v>
      </c>
      <c r="S338">
        <v>439</v>
      </c>
      <c r="T338">
        <v>50</v>
      </c>
      <c r="U338">
        <f t="shared" si="11"/>
        <v>4242</v>
      </c>
      <c r="V338">
        <v>1220</v>
      </c>
      <c r="W338">
        <v>41</v>
      </c>
      <c r="X338">
        <v>50</v>
      </c>
      <c r="Y338">
        <v>55</v>
      </c>
      <c r="Z338">
        <v>44</v>
      </c>
      <c r="AA338">
        <v>4</v>
      </c>
      <c r="AB338">
        <v>113</v>
      </c>
      <c r="AC338">
        <v>53</v>
      </c>
      <c r="AD338" s="1">
        <v>79</v>
      </c>
      <c r="AE338" s="1">
        <v>83</v>
      </c>
      <c r="AF338">
        <v>4.0999999999999996</v>
      </c>
    </row>
    <row r="339" spans="1:32" x14ac:dyDescent="0.2">
      <c r="A339" s="52">
        <v>2011</v>
      </c>
      <c r="B339" t="s">
        <v>53</v>
      </c>
      <c r="C339" t="s">
        <v>38</v>
      </c>
      <c r="D339">
        <v>663</v>
      </c>
      <c r="E339">
        <v>162</v>
      </c>
      <c r="F339">
        <v>4</v>
      </c>
      <c r="G339">
        <v>5</v>
      </c>
      <c r="H339">
        <v>158</v>
      </c>
      <c r="I339">
        <v>39</v>
      </c>
      <c r="J339">
        <v>1467.2</v>
      </c>
      <c r="K339">
        <v>6259</v>
      </c>
      <c r="L339">
        <v>1414</v>
      </c>
      <c r="M339" s="1">
        <v>720</v>
      </c>
      <c r="N339">
        <f t="shared" si="10"/>
        <v>923</v>
      </c>
      <c r="O339">
        <v>279</v>
      </c>
      <c r="P339">
        <v>27</v>
      </c>
      <c r="Q339">
        <v>185</v>
      </c>
      <c r="R339">
        <v>678</v>
      </c>
      <c r="S339">
        <v>539</v>
      </c>
      <c r="T339">
        <v>47</v>
      </c>
      <c r="U339">
        <f t="shared" si="11"/>
        <v>4247</v>
      </c>
      <c r="V339">
        <v>1112</v>
      </c>
      <c r="W339">
        <v>60</v>
      </c>
      <c r="X339">
        <v>52</v>
      </c>
      <c r="Y339">
        <v>51</v>
      </c>
      <c r="Z339">
        <v>59</v>
      </c>
      <c r="AA339">
        <v>13</v>
      </c>
      <c r="AB339">
        <v>121</v>
      </c>
      <c r="AC339">
        <v>60</v>
      </c>
      <c r="AD339" s="1">
        <v>79</v>
      </c>
      <c r="AE339" s="1">
        <v>83</v>
      </c>
      <c r="AF339">
        <v>4.16</v>
      </c>
    </row>
    <row r="340" spans="1:32" x14ac:dyDescent="0.2">
      <c r="A340" s="52">
        <v>2011</v>
      </c>
      <c r="B340" t="s">
        <v>55</v>
      </c>
      <c r="C340" t="s">
        <v>163</v>
      </c>
      <c r="D340">
        <v>644</v>
      </c>
      <c r="E340">
        <v>162</v>
      </c>
      <c r="F340">
        <v>2</v>
      </c>
      <c r="G340">
        <v>4</v>
      </c>
      <c r="H340">
        <v>160</v>
      </c>
      <c r="I340">
        <v>38</v>
      </c>
      <c r="J340">
        <v>1453.1</v>
      </c>
      <c r="K340">
        <v>6235</v>
      </c>
      <c r="L340">
        <v>1482</v>
      </c>
      <c r="M340" s="1">
        <v>760</v>
      </c>
      <c r="N340">
        <f t="shared" si="10"/>
        <v>975</v>
      </c>
      <c r="O340">
        <v>323</v>
      </c>
      <c r="P340">
        <v>31</v>
      </c>
      <c r="Q340">
        <v>153</v>
      </c>
      <c r="R340">
        <v>683</v>
      </c>
      <c r="S340">
        <v>463</v>
      </c>
      <c r="T340">
        <v>34</v>
      </c>
      <c r="U340">
        <f t="shared" si="11"/>
        <v>4230</v>
      </c>
      <c r="V340">
        <v>1024</v>
      </c>
      <c r="W340">
        <v>35</v>
      </c>
      <c r="X340">
        <v>49</v>
      </c>
      <c r="Y340">
        <v>42</v>
      </c>
      <c r="Z340">
        <v>60</v>
      </c>
      <c r="AA340">
        <v>3</v>
      </c>
      <c r="AB340">
        <v>105</v>
      </c>
      <c r="AC340">
        <v>75</v>
      </c>
      <c r="AD340" s="1">
        <v>80</v>
      </c>
      <c r="AE340" s="1">
        <v>82</v>
      </c>
      <c r="AF340">
        <v>4.2300000000000004</v>
      </c>
    </row>
    <row r="341" spans="1:32" x14ac:dyDescent="0.2">
      <c r="A341" s="52">
        <v>2011</v>
      </c>
      <c r="B341" t="s">
        <v>57</v>
      </c>
      <c r="C341" t="s">
        <v>38</v>
      </c>
      <c r="D341">
        <v>679</v>
      </c>
      <c r="E341">
        <v>162</v>
      </c>
      <c r="F341">
        <v>5</v>
      </c>
      <c r="G341">
        <v>7</v>
      </c>
      <c r="H341">
        <v>157</v>
      </c>
      <c r="I341">
        <v>41</v>
      </c>
      <c r="J341">
        <v>1447.2</v>
      </c>
      <c r="K341">
        <v>6215</v>
      </c>
      <c r="L341">
        <v>1471</v>
      </c>
      <c r="M341" s="1">
        <v>774</v>
      </c>
      <c r="N341">
        <f t="shared" si="10"/>
        <v>951</v>
      </c>
      <c r="O341">
        <v>292</v>
      </c>
      <c r="P341">
        <v>52</v>
      </c>
      <c r="Q341">
        <v>176</v>
      </c>
      <c r="R341">
        <v>713</v>
      </c>
      <c r="S341">
        <v>522</v>
      </c>
      <c r="T341">
        <v>47</v>
      </c>
      <c r="U341">
        <f t="shared" si="11"/>
        <v>4174</v>
      </c>
      <c r="V341">
        <v>1118</v>
      </c>
      <c r="W341">
        <v>51</v>
      </c>
      <c r="X341">
        <v>41</v>
      </c>
      <c r="Y341">
        <v>65</v>
      </c>
      <c r="Z341">
        <v>48</v>
      </c>
      <c r="AA341">
        <v>7</v>
      </c>
      <c r="AB341">
        <v>131</v>
      </c>
      <c r="AC341">
        <v>63</v>
      </c>
      <c r="AD341" s="1">
        <v>73</v>
      </c>
      <c r="AE341" s="1">
        <v>89</v>
      </c>
      <c r="AF341">
        <v>4.43</v>
      </c>
    </row>
    <row r="342" spans="1:32" x14ac:dyDescent="0.2">
      <c r="A342" s="52">
        <v>2011</v>
      </c>
      <c r="B342" t="s">
        <v>59</v>
      </c>
      <c r="C342" t="s">
        <v>163</v>
      </c>
      <c r="D342">
        <v>583</v>
      </c>
      <c r="E342">
        <v>162</v>
      </c>
      <c r="F342">
        <v>4</v>
      </c>
      <c r="G342">
        <v>14</v>
      </c>
      <c r="H342">
        <v>158</v>
      </c>
      <c r="I342">
        <v>52</v>
      </c>
      <c r="J342">
        <v>1440</v>
      </c>
      <c r="K342">
        <v>6108</v>
      </c>
      <c r="L342">
        <v>1406</v>
      </c>
      <c r="M342" s="1">
        <v>711</v>
      </c>
      <c r="N342">
        <f t="shared" si="10"/>
        <v>969</v>
      </c>
      <c r="O342">
        <v>259</v>
      </c>
      <c r="P342">
        <v>29</v>
      </c>
      <c r="Q342">
        <v>149</v>
      </c>
      <c r="R342">
        <v>647</v>
      </c>
      <c r="S342">
        <v>492</v>
      </c>
      <c r="T342">
        <v>34</v>
      </c>
      <c r="U342">
        <f t="shared" si="11"/>
        <v>4158</v>
      </c>
      <c r="V342">
        <v>1115</v>
      </c>
      <c r="W342">
        <v>36</v>
      </c>
      <c r="X342">
        <v>50</v>
      </c>
      <c r="Y342">
        <v>69</v>
      </c>
      <c r="Z342">
        <v>52</v>
      </c>
      <c r="AA342">
        <v>5</v>
      </c>
      <c r="AB342">
        <v>120</v>
      </c>
      <c r="AC342">
        <v>60</v>
      </c>
      <c r="AD342" s="1">
        <v>95</v>
      </c>
      <c r="AE342" s="1">
        <v>67</v>
      </c>
      <c r="AF342">
        <v>4.04</v>
      </c>
    </row>
    <row r="343" spans="1:32" x14ac:dyDescent="0.2">
      <c r="A343" s="52">
        <v>2011</v>
      </c>
      <c r="B343" t="s">
        <v>160</v>
      </c>
      <c r="C343" t="s">
        <v>38</v>
      </c>
      <c r="D343">
        <v>670</v>
      </c>
      <c r="E343">
        <v>162</v>
      </c>
      <c r="F343">
        <v>7</v>
      </c>
      <c r="G343">
        <v>11</v>
      </c>
      <c r="H343">
        <v>155</v>
      </c>
      <c r="I343">
        <v>40</v>
      </c>
      <c r="J343">
        <v>1459.2</v>
      </c>
      <c r="K343">
        <v>6200</v>
      </c>
      <c r="L343">
        <v>1403</v>
      </c>
      <c r="M343" s="1">
        <v>702</v>
      </c>
      <c r="N343">
        <f t="shared" si="10"/>
        <v>917</v>
      </c>
      <c r="O343">
        <v>296</v>
      </c>
      <c r="P343">
        <v>41</v>
      </c>
      <c r="Q343">
        <v>149</v>
      </c>
      <c r="R343">
        <v>640</v>
      </c>
      <c r="S343">
        <v>500</v>
      </c>
      <c r="T343">
        <v>72</v>
      </c>
      <c r="U343">
        <f t="shared" si="11"/>
        <v>4260</v>
      </c>
      <c r="V343">
        <v>1218</v>
      </c>
      <c r="W343">
        <v>69</v>
      </c>
      <c r="X343">
        <v>40</v>
      </c>
      <c r="Y343">
        <v>43</v>
      </c>
      <c r="Z343">
        <v>37</v>
      </c>
      <c r="AA343">
        <v>10</v>
      </c>
      <c r="AB343">
        <v>102</v>
      </c>
      <c r="AC343">
        <v>71</v>
      </c>
      <c r="AD343" s="1">
        <v>72</v>
      </c>
      <c r="AE343" s="1">
        <v>90</v>
      </c>
      <c r="AF343">
        <v>3.95</v>
      </c>
    </row>
    <row r="344" spans="1:32" x14ac:dyDescent="0.2">
      <c r="A344" s="52">
        <v>2011</v>
      </c>
      <c r="B344" t="s">
        <v>63</v>
      </c>
      <c r="C344" t="s">
        <v>38</v>
      </c>
      <c r="D344">
        <v>665</v>
      </c>
      <c r="E344">
        <v>162</v>
      </c>
      <c r="F344">
        <v>2</v>
      </c>
      <c r="G344">
        <v>6</v>
      </c>
      <c r="H344">
        <v>160</v>
      </c>
      <c r="I344">
        <v>25</v>
      </c>
      <c r="J344">
        <v>1435</v>
      </c>
      <c r="K344">
        <v>6268</v>
      </c>
      <c r="L344">
        <v>1477</v>
      </c>
      <c r="M344" s="1">
        <v>796</v>
      </c>
      <c r="N344">
        <f t="shared" si="10"/>
        <v>964</v>
      </c>
      <c r="O344">
        <v>294</v>
      </c>
      <c r="P344">
        <v>31</v>
      </c>
      <c r="Q344">
        <v>188</v>
      </c>
      <c r="R344">
        <v>719</v>
      </c>
      <c r="S344">
        <v>560</v>
      </c>
      <c r="T344">
        <v>59</v>
      </c>
      <c r="U344">
        <f t="shared" si="11"/>
        <v>4178</v>
      </c>
      <c r="V344">
        <v>1191</v>
      </c>
      <c r="W344">
        <v>72</v>
      </c>
      <c r="X344">
        <v>37</v>
      </c>
      <c r="Y344">
        <v>39</v>
      </c>
      <c r="Z344">
        <v>53</v>
      </c>
      <c r="AA344">
        <v>9</v>
      </c>
      <c r="AB344">
        <v>113</v>
      </c>
      <c r="AC344">
        <v>79</v>
      </c>
      <c r="AD344" s="1">
        <v>56</v>
      </c>
      <c r="AE344" s="1">
        <v>106</v>
      </c>
      <c r="AF344">
        <v>4.51</v>
      </c>
    </row>
    <row r="345" spans="1:32" x14ac:dyDescent="0.2">
      <c r="A345" s="52">
        <v>2011</v>
      </c>
      <c r="B345" t="s">
        <v>164</v>
      </c>
      <c r="C345" t="s">
        <v>163</v>
      </c>
      <c r="D345">
        <v>582</v>
      </c>
      <c r="E345">
        <v>162</v>
      </c>
      <c r="F345">
        <v>2</v>
      </c>
      <c r="G345">
        <v>6</v>
      </c>
      <c r="H345">
        <v>160</v>
      </c>
      <c r="I345">
        <v>37</v>
      </c>
      <c r="J345">
        <v>1451.1</v>
      </c>
      <c r="K345">
        <v>6280</v>
      </c>
      <c r="L345">
        <v>1487</v>
      </c>
      <c r="M345" s="1">
        <v>762</v>
      </c>
      <c r="N345">
        <f t="shared" si="10"/>
        <v>980</v>
      </c>
      <c r="O345">
        <v>301</v>
      </c>
      <c r="P345">
        <v>43</v>
      </c>
      <c r="Q345">
        <v>163</v>
      </c>
      <c r="R345">
        <v>716</v>
      </c>
      <c r="S345">
        <v>557</v>
      </c>
      <c r="T345">
        <v>42</v>
      </c>
      <c r="U345">
        <f t="shared" si="11"/>
        <v>4178</v>
      </c>
      <c r="V345">
        <v>1080</v>
      </c>
      <c r="W345">
        <v>51</v>
      </c>
      <c r="X345">
        <v>51</v>
      </c>
      <c r="Y345">
        <v>69</v>
      </c>
      <c r="Z345">
        <v>58</v>
      </c>
      <c r="AA345">
        <v>7</v>
      </c>
      <c r="AB345">
        <v>117</v>
      </c>
      <c r="AC345">
        <v>61</v>
      </c>
      <c r="AD345" s="1">
        <v>71</v>
      </c>
      <c r="AE345" s="1">
        <v>91</v>
      </c>
      <c r="AF345">
        <v>4.4400000000000004</v>
      </c>
    </row>
    <row r="346" spans="1:32" x14ac:dyDescent="0.2">
      <c r="A346" s="52">
        <v>2011</v>
      </c>
      <c r="B346" t="s">
        <v>159</v>
      </c>
      <c r="C346" t="s">
        <v>38</v>
      </c>
      <c r="D346">
        <v>622</v>
      </c>
      <c r="E346">
        <v>161</v>
      </c>
      <c r="F346">
        <v>7</v>
      </c>
      <c r="G346">
        <v>17</v>
      </c>
      <c r="H346">
        <v>154</v>
      </c>
      <c r="I346">
        <v>40</v>
      </c>
      <c r="J346">
        <v>1432</v>
      </c>
      <c r="K346">
        <v>5997</v>
      </c>
      <c r="L346">
        <v>1287</v>
      </c>
      <c r="M346" s="1">
        <v>612</v>
      </c>
      <c r="N346">
        <f t="shared" si="10"/>
        <v>873</v>
      </c>
      <c r="O346">
        <v>263</v>
      </c>
      <c r="P346">
        <v>19</v>
      </c>
      <c r="Q346">
        <v>132</v>
      </c>
      <c r="R346">
        <v>563</v>
      </c>
      <c r="S346">
        <v>507</v>
      </c>
      <c r="T346">
        <v>48</v>
      </c>
      <c r="U346">
        <f t="shared" si="11"/>
        <v>4160</v>
      </c>
      <c r="V346">
        <v>1265</v>
      </c>
      <c r="W346">
        <v>69</v>
      </c>
      <c r="X346">
        <v>33</v>
      </c>
      <c r="Y346">
        <v>50</v>
      </c>
      <c r="Z346">
        <v>43</v>
      </c>
      <c r="AA346">
        <v>7</v>
      </c>
      <c r="AB346">
        <v>95</v>
      </c>
      <c r="AC346">
        <v>56</v>
      </c>
      <c r="AD346" s="1">
        <v>82</v>
      </c>
      <c r="AE346" s="1">
        <v>79</v>
      </c>
      <c r="AF346">
        <v>3.54</v>
      </c>
    </row>
    <row r="347" spans="1:32" x14ac:dyDescent="0.2">
      <c r="A347" s="52">
        <v>2011</v>
      </c>
      <c r="B347" t="s">
        <v>69</v>
      </c>
      <c r="C347" t="s">
        <v>38</v>
      </c>
      <c r="D347">
        <v>596</v>
      </c>
      <c r="E347">
        <v>162</v>
      </c>
      <c r="F347">
        <v>1</v>
      </c>
      <c r="G347">
        <v>13</v>
      </c>
      <c r="H347">
        <v>161</v>
      </c>
      <c r="I347">
        <v>47</v>
      </c>
      <c r="J347">
        <v>1441.2</v>
      </c>
      <c r="K347">
        <v>6048</v>
      </c>
      <c r="L347">
        <v>1348</v>
      </c>
      <c r="M347" s="1">
        <v>638</v>
      </c>
      <c r="N347">
        <f t="shared" si="10"/>
        <v>910</v>
      </c>
      <c r="O347">
        <v>263</v>
      </c>
      <c r="P347">
        <v>28</v>
      </c>
      <c r="Q347">
        <v>147</v>
      </c>
      <c r="R347">
        <v>582</v>
      </c>
      <c r="S347">
        <v>440</v>
      </c>
      <c r="T347">
        <v>16</v>
      </c>
      <c r="U347">
        <f t="shared" si="11"/>
        <v>4227</v>
      </c>
      <c r="V347">
        <v>1257</v>
      </c>
      <c r="W347">
        <v>57</v>
      </c>
      <c r="X347">
        <v>35</v>
      </c>
      <c r="Y347">
        <v>70</v>
      </c>
      <c r="Z347">
        <v>33</v>
      </c>
      <c r="AA347">
        <v>5</v>
      </c>
      <c r="AB347">
        <v>111</v>
      </c>
      <c r="AC347">
        <v>88</v>
      </c>
      <c r="AD347" s="1">
        <v>96</v>
      </c>
      <c r="AE347" s="1">
        <v>66</v>
      </c>
      <c r="AF347">
        <v>3.63</v>
      </c>
    </row>
    <row r="348" spans="1:32" x14ac:dyDescent="0.2">
      <c r="A348" s="52">
        <v>2011</v>
      </c>
      <c r="B348" t="s">
        <v>71</v>
      </c>
      <c r="C348" t="s">
        <v>163</v>
      </c>
      <c r="D348">
        <v>619</v>
      </c>
      <c r="E348">
        <v>162</v>
      </c>
      <c r="F348">
        <v>7</v>
      </c>
      <c r="G348">
        <v>8</v>
      </c>
      <c r="H348">
        <v>155</v>
      </c>
      <c r="I348">
        <v>32</v>
      </c>
      <c r="J348">
        <v>1421.2</v>
      </c>
      <c r="K348">
        <v>6210</v>
      </c>
      <c r="L348">
        <v>1564</v>
      </c>
      <c r="M348" s="1">
        <v>804</v>
      </c>
      <c r="N348">
        <f t="shared" si="10"/>
        <v>1069</v>
      </c>
      <c r="O348">
        <v>291</v>
      </c>
      <c r="P348">
        <v>43</v>
      </c>
      <c r="Q348">
        <v>161</v>
      </c>
      <c r="R348">
        <v>724</v>
      </c>
      <c r="S348">
        <v>480</v>
      </c>
      <c r="T348">
        <v>37</v>
      </c>
      <c r="U348">
        <f t="shared" si="11"/>
        <v>4112</v>
      </c>
      <c r="V348">
        <v>940</v>
      </c>
      <c r="W348">
        <v>43</v>
      </c>
      <c r="X348">
        <v>62</v>
      </c>
      <c r="Y348">
        <v>47</v>
      </c>
      <c r="Z348">
        <v>54</v>
      </c>
      <c r="AA348">
        <v>5</v>
      </c>
      <c r="AB348">
        <v>128</v>
      </c>
      <c r="AC348">
        <v>71</v>
      </c>
      <c r="AD348" s="1">
        <v>63</v>
      </c>
      <c r="AE348" s="1">
        <v>99</v>
      </c>
      <c r="AF348">
        <v>4.58</v>
      </c>
    </row>
    <row r="349" spans="1:32" x14ac:dyDescent="0.2">
      <c r="A349" s="52">
        <v>2011</v>
      </c>
      <c r="B349" t="s">
        <v>158</v>
      </c>
      <c r="C349" t="s">
        <v>38</v>
      </c>
      <c r="D349">
        <v>676</v>
      </c>
      <c r="E349">
        <v>162</v>
      </c>
      <c r="F349">
        <v>6</v>
      </c>
      <c r="G349">
        <v>9</v>
      </c>
      <c r="H349">
        <v>156</v>
      </c>
      <c r="I349">
        <v>43</v>
      </c>
      <c r="J349">
        <v>1448</v>
      </c>
      <c r="K349">
        <v>6316</v>
      </c>
      <c r="L349">
        <v>1482</v>
      </c>
      <c r="M349" s="1">
        <v>742</v>
      </c>
      <c r="N349">
        <f t="shared" si="10"/>
        <v>997</v>
      </c>
      <c r="O349">
        <v>302</v>
      </c>
      <c r="P349">
        <v>36</v>
      </c>
      <c r="Q349">
        <v>147</v>
      </c>
      <c r="R349">
        <v>674</v>
      </c>
      <c r="S349">
        <v>514</v>
      </c>
      <c r="T349">
        <v>48</v>
      </c>
      <c r="U349">
        <f t="shared" si="11"/>
        <v>4250</v>
      </c>
      <c r="V349">
        <v>1126</v>
      </c>
      <c r="W349">
        <v>95</v>
      </c>
      <c r="X349">
        <v>42</v>
      </c>
      <c r="Y349">
        <v>46</v>
      </c>
      <c r="Z349">
        <v>70</v>
      </c>
      <c r="AA349">
        <v>7</v>
      </c>
      <c r="AB349">
        <v>111</v>
      </c>
      <c r="AC349">
        <v>85</v>
      </c>
      <c r="AD349" s="1">
        <v>77</v>
      </c>
      <c r="AE349" s="1">
        <v>85</v>
      </c>
      <c r="AF349">
        <v>4.1900000000000004</v>
      </c>
    </row>
    <row r="350" spans="1:32" x14ac:dyDescent="0.2">
      <c r="A350" s="52">
        <v>2011</v>
      </c>
      <c r="B350" t="s">
        <v>158</v>
      </c>
      <c r="C350" t="s">
        <v>163</v>
      </c>
      <c r="D350">
        <v>627</v>
      </c>
      <c r="E350">
        <v>162</v>
      </c>
      <c r="F350">
        <v>5</v>
      </c>
      <c r="G350">
        <v>8</v>
      </c>
      <c r="H350">
        <v>157</v>
      </c>
      <c r="I350">
        <v>47</v>
      </c>
      <c r="J350">
        <v>1458.1</v>
      </c>
      <c r="K350">
        <v>6216</v>
      </c>
      <c r="L350">
        <v>1423</v>
      </c>
      <c r="M350" s="1">
        <v>657</v>
      </c>
      <c r="N350">
        <f t="shared" si="10"/>
        <v>955</v>
      </c>
      <c r="O350">
        <v>292</v>
      </c>
      <c r="P350">
        <v>24</v>
      </c>
      <c r="Q350">
        <v>152</v>
      </c>
      <c r="R350">
        <v>605</v>
      </c>
      <c r="S350">
        <v>507</v>
      </c>
      <c r="T350">
        <v>43</v>
      </c>
      <c r="U350">
        <f t="shared" si="11"/>
        <v>4228</v>
      </c>
      <c r="V350">
        <v>1222</v>
      </c>
      <c r="W350">
        <v>36</v>
      </c>
      <c r="X350">
        <v>54</v>
      </c>
      <c r="Y350">
        <v>67</v>
      </c>
      <c r="Z350">
        <v>58</v>
      </c>
      <c r="AA350">
        <v>3</v>
      </c>
      <c r="AB350">
        <v>114</v>
      </c>
      <c r="AC350">
        <v>77</v>
      </c>
      <c r="AD350" s="1">
        <v>97</v>
      </c>
      <c r="AE350" s="1">
        <v>65</v>
      </c>
      <c r="AF350">
        <v>3.73</v>
      </c>
    </row>
    <row r="351" spans="1:32" x14ac:dyDescent="0.2">
      <c r="A351" s="52">
        <v>2011</v>
      </c>
      <c r="B351" t="s">
        <v>79</v>
      </c>
      <c r="C351" t="s">
        <v>163</v>
      </c>
      <c r="D351">
        <v>622</v>
      </c>
      <c r="E351">
        <v>162</v>
      </c>
      <c r="F351">
        <v>6</v>
      </c>
      <c r="G351">
        <v>12</v>
      </c>
      <c r="H351">
        <v>156</v>
      </c>
      <c r="I351">
        <v>39</v>
      </c>
      <c r="J351">
        <v>1447.2</v>
      </c>
      <c r="K351">
        <v>6159</v>
      </c>
      <c r="L351">
        <v>1380</v>
      </c>
      <c r="M351" s="1">
        <v>679</v>
      </c>
      <c r="N351">
        <f t="shared" si="10"/>
        <v>973</v>
      </c>
      <c r="O351">
        <v>245</v>
      </c>
      <c r="P351">
        <v>26</v>
      </c>
      <c r="Q351">
        <v>136</v>
      </c>
      <c r="R351">
        <v>597</v>
      </c>
      <c r="S351">
        <v>519</v>
      </c>
      <c r="T351">
        <v>24</v>
      </c>
      <c r="U351">
        <f t="shared" si="11"/>
        <v>4219</v>
      </c>
      <c r="V351">
        <v>1160</v>
      </c>
      <c r="W351">
        <v>45</v>
      </c>
      <c r="X351">
        <v>41</v>
      </c>
      <c r="Y351">
        <v>53</v>
      </c>
      <c r="Z351">
        <v>41</v>
      </c>
      <c r="AA351">
        <v>3</v>
      </c>
      <c r="AB351">
        <v>120</v>
      </c>
      <c r="AC351">
        <v>89</v>
      </c>
      <c r="AD351" s="1">
        <v>74</v>
      </c>
      <c r="AE351" s="1">
        <v>88</v>
      </c>
      <c r="AF351">
        <v>3.71</v>
      </c>
    </row>
    <row r="352" spans="1:32" x14ac:dyDescent="0.2">
      <c r="A352" s="52">
        <v>2011</v>
      </c>
      <c r="B352" t="s">
        <v>81</v>
      </c>
      <c r="C352" t="s">
        <v>38</v>
      </c>
      <c r="D352">
        <v>556</v>
      </c>
      <c r="E352">
        <v>162</v>
      </c>
      <c r="F352">
        <v>18</v>
      </c>
      <c r="G352">
        <v>21</v>
      </c>
      <c r="H352">
        <v>144</v>
      </c>
      <c r="I352">
        <v>47</v>
      </c>
      <c r="J352">
        <v>1477</v>
      </c>
      <c r="K352">
        <v>6069</v>
      </c>
      <c r="L352">
        <v>1320</v>
      </c>
      <c r="M352" s="1">
        <v>529</v>
      </c>
      <c r="N352">
        <f t="shared" si="10"/>
        <v>921</v>
      </c>
      <c r="O352">
        <v>252</v>
      </c>
      <c r="P352">
        <v>27</v>
      </c>
      <c r="Q352">
        <v>120</v>
      </c>
      <c r="R352">
        <v>495</v>
      </c>
      <c r="S352">
        <v>404</v>
      </c>
      <c r="T352">
        <v>41</v>
      </c>
      <c r="U352">
        <f t="shared" si="11"/>
        <v>4298</v>
      </c>
      <c r="V352">
        <v>1299</v>
      </c>
      <c r="W352">
        <v>83</v>
      </c>
      <c r="X352">
        <v>33</v>
      </c>
      <c r="Y352">
        <v>23</v>
      </c>
      <c r="Z352">
        <v>47</v>
      </c>
      <c r="AA352">
        <v>6</v>
      </c>
      <c r="AB352">
        <v>122</v>
      </c>
      <c r="AC352">
        <v>47</v>
      </c>
      <c r="AD352" s="1">
        <v>102</v>
      </c>
      <c r="AE352" s="1">
        <v>60</v>
      </c>
      <c r="AF352">
        <v>3.02</v>
      </c>
    </row>
    <row r="353" spans="1:32" x14ac:dyDescent="0.2">
      <c r="A353" s="52">
        <v>2011</v>
      </c>
      <c r="B353" t="s">
        <v>83</v>
      </c>
      <c r="C353" t="s">
        <v>38</v>
      </c>
      <c r="D353">
        <v>711</v>
      </c>
      <c r="E353">
        <v>162</v>
      </c>
      <c r="F353">
        <v>5</v>
      </c>
      <c r="G353">
        <v>11</v>
      </c>
      <c r="H353">
        <v>157</v>
      </c>
      <c r="I353">
        <v>43</v>
      </c>
      <c r="J353">
        <v>1449.1</v>
      </c>
      <c r="K353">
        <v>6317</v>
      </c>
      <c r="L353">
        <v>1513</v>
      </c>
      <c r="M353" s="1">
        <v>712</v>
      </c>
      <c r="N353">
        <f t="shared" si="10"/>
        <v>1064</v>
      </c>
      <c r="O353">
        <v>275</v>
      </c>
      <c r="P353">
        <v>22</v>
      </c>
      <c r="Q353">
        <v>152</v>
      </c>
      <c r="R353">
        <v>650</v>
      </c>
      <c r="S353">
        <v>535</v>
      </c>
      <c r="T353">
        <v>65</v>
      </c>
      <c r="U353">
        <f t="shared" si="11"/>
        <v>4207</v>
      </c>
      <c r="V353">
        <v>1031</v>
      </c>
      <c r="W353">
        <v>69</v>
      </c>
      <c r="X353">
        <v>53</v>
      </c>
      <c r="Y353">
        <v>60</v>
      </c>
      <c r="Z353">
        <v>62</v>
      </c>
      <c r="AA353">
        <v>6</v>
      </c>
      <c r="AB353">
        <v>130</v>
      </c>
      <c r="AC353">
        <v>78</v>
      </c>
      <c r="AD353" s="1">
        <v>72</v>
      </c>
      <c r="AE353" s="1">
        <v>90</v>
      </c>
      <c r="AF353">
        <v>4.04</v>
      </c>
    </row>
    <row r="354" spans="1:32" x14ac:dyDescent="0.2">
      <c r="A354" s="52">
        <v>2011</v>
      </c>
      <c r="B354" t="s">
        <v>161</v>
      </c>
      <c r="C354" t="s">
        <v>38</v>
      </c>
      <c r="D354">
        <v>651</v>
      </c>
      <c r="E354">
        <v>162</v>
      </c>
      <c r="F354">
        <v>0</v>
      </c>
      <c r="G354">
        <v>10</v>
      </c>
      <c r="H354">
        <v>162</v>
      </c>
      <c r="I354">
        <v>44</v>
      </c>
      <c r="J354">
        <v>1449.1</v>
      </c>
      <c r="K354">
        <v>6065</v>
      </c>
      <c r="L354">
        <v>1324</v>
      </c>
      <c r="M354" s="1">
        <v>611</v>
      </c>
      <c r="N354">
        <f t="shared" si="10"/>
        <v>900</v>
      </c>
      <c r="O354">
        <v>267</v>
      </c>
      <c r="P354">
        <v>32</v>
      </c>
      <c r="Q354">
        <v>125</v>
      </c>
      <c r="R354">
        <v>551</v>
      </c>
      <c r="S354">
        <v>521</v>
      </c>
      <c r="T354">
        <v>56</v>
      </c>
      <c r="U354">
        <f t="shared" si="11"/>
        <v>4183</v>
      </c>
      <c r="V354">
        <v>1139</v>
      </c>
      <c r="W354">
        <v>68</v>
      </c>
      <c r="X354">
        <v>30</v>
      </c>
      <c r="Y354">
        <v>45</v>
      </c>
      <c r="Z354">
        <v>37</v>
      </c>
      <c r="AA354">
        <v>6</v>
      </c>
      <c r="AB354">
        <v>117</v>
      </c>
      <c r="AC354">
        <v>61</v>
      </c>
      <c r="AD354" s="1">
        <v>71</v>
      </c>
      <c r="AE354" s="1">
        <v>91</v>
      </c>
      <c r="AF354">
        <v>3.42</v>
      </c>
    </row>
    <row r="355" spans="1:32" x14ac:dyDescent="0.2">
      <c r="A355" s="52">
        <v>2011</v>
      </c>
      <c r="B355" t="s">
        <v>87</v>
      </c>
      <c r="C355" t="s">
        <v>163</v>
      </c>
      <c r="D355">
        <v>513</v>
      </c>
      <c r="E355">
        <v>162</v>
      </c>
      <c r="F355">
        <v>12</v>
      </c>
      <c r="G355">
        <v>10</v>
      </c>
      <c r="H355">
        <v>150</v>
      </c>
      <c r="I355">
        <v>39</v>
      </c>
      <c r="J355">
        <v>1433</v>
      </c>
      <c r="K355">
        <v>6014</v>
      </c>
      <c r="L355">
        <v>1369</v>
      </c>
      <c r="M355" s="1">
        <v>675</v>
      </c>
      <c r="N355">
        <f t="shared" si="10"/>
        <v>947</v>
      </c>
      <c r="O355">
        <v>253</v>
      </c>
      <c r="P355">
        <v>24</v>
      </c>
      <c r="Q355">
        <v>145</v>
      </c>
      <c r="R355">
        <v>621</v>
      </c>
      <c r="S355">
        <v>436</v>
      </c>
      <c r="T355">
        <v>27</v>
      </c>
      <c r="U355">
        <f t="shared" si="11"/>
        <v>4158</v>
      </c>
      <c r="V355">
        <v>1088</v>
      </c>
      <c r="W355">
        <v>31</v>
      </c>
      <c r="X355">
        <v>41</v>
      </c>
      <c r="Y355">
        <v>68</v>
      </c>
      <c r="Z355">
        <v>51</v>
      </c>
      <c r="AA355">
        <v>6</v>
      </c>
      <c r="AB355">
        <v>124</v>
      </c>
      <c r="AC355">
        <v>77</v>
      </c>
      <c r="AD355" s="1">
        <v>67</v>
      </c>
      <c r="AE355" s="1">
        <v>95</v>
      </c>
      <c r="AF355">
        <v>3.9</v>
      </c>
    </row>
    <row r="356" spans="1:32" x14ac:dyDescent="0.2">
      <c r="A356" s="52">
        <v>2011</v>
      </c>
      <c r="B356" t="s">
        <v>21</v>
      </c>
      <c r="C356" t="s">
        <v>38</v>
      </c>
      <c r="D356">
        <v>642</v>
      </c>
      <c r="E356">
        <v>162</v>
      </c>
      <c r="F356">
        <v>3</v>
      </c>
      <c r="G356">
        <v>12</v>
      </c>
      <c r="H356">
        <v>159</v>
      </c>
      <c r="I356">
        <v>52</v>
      </c>
      <c r="J356">
        <v>1468</v>
      </c>
      <c r="K356">
        <v>6130</v>
      </c>
      <c r="L356">
        <v>1260</v>
      </c>
      <c r="M356" s="1">
        <v>578</v>
      </c>
      <c r="N356">
        <f t="shared" si="10"/>
        <v>863</v>
      </c>
      <c r="O356">
        <v>272</v>
      </c>
      <c r="P356">
        <v>29</v>
      </c>
      <c r="Q356">
        <v>96</v>
      </c>
      <c r="R356">
        <v>522</v>
      </c>
      <c r="S356">
        <v>559</v>
      </c>
      <c r="T356">
        <v>46</v>
      </c>
      <c r="U356">
        <f t="shared" si="11"/>
        <v>4261</v>
      </c>
      <c r="V356">
        <v>1316</v>
      </c>
      <c r="W356">
        <v>71</v>
      </c>
      <c r="X356">
        <v>28</v>
      </c>
      <c r="Y356">
        <v>42</v>
      </c>
      <c r="Z356">
        <v>50</v>
      </c>
      <c r="AA356">
        <v>4</v>
      </c>
      <c r="AB356">
        <v>100</v>
      </c>
      <c r="AC356">
        <v>71</v>
      </c>
      <c r="AD356" s="1">
        <v>86</v>
      </c>
      <c r="AE356" s="1">
        <v>76</v>
      </c>
      <c r="AF356">
        <v>3.2</v>
      </c>
    </row>
    <row r="357" spans="1:32" x14ac:dyDescent="0.2">
      <c r="A357" s="52">
        <v>2011</v>
      </c>
      <c r="B357" t="s">
        <v>156</v>
      </c>
      <c r="C357" t="s">
        <v>38</v>
      </c>
      <c r="D357">
        <v>630</v>
      </c>
      <c r="E357">
        <v>162</v>
      </c>
      <c r="F357">
        <v>7</v>
      </c>
      <c r="G357">
        <v>9</v>
      </c>
      <c r="H357">
        <v>155</v>
      </c>
      <c r="I357">
        <v>47</v>
      </c>
      <c r="J357">
        <v>1462</v>
      </c>
      <c r="K357">
        <v>6211</v>
      </c>
      <c r="L357">
        <v>1461</v>
      </c>
      <c r="M357" s="1">
        <v>692</v>
      </c>
      <c r="N357">
        <f t="shared" si="10"/>
        <v>995</v>
      </c>
      <c r="O357">
        <v>295</v>
      </c>
      <c r="P357">
        <v>35</v>
      </c>
      <c r="Q357">
        <v>136</v>
      </c>
      <c r="R357">
        <v>608</v>
      </c>
      <c r="S357">
        <v>448</v>
      </c>
      <c r="T357">
        <v>44</v>
      </c>
      <c r="U357">
        <f t="shared" si="11"/>
        <v>4256</v>
      </c>
      <c r="V357">
        <v>1098</v>
      </c>
      <c r="W357">
        <v>73</v>
      </c>
      <c r="X357">
        <v>36</v>
      </c>
      <c r="Y357">
        <v>48</v>
      </c>
      <c r="Z357">
        <v>46</v>
      </c>
      <c r="AA357">
        <v>3</v>
      </c>
      <c r="AB357">
        <v>144</v>
      </c>
      <c r="AC357">
        <v>89</v>
      </c>
      <c r="AD357" s="1">
        <v>90</v>
      </c>
      <c r="AE357" s="1">
        <v>72</v>
      </c>
      <c r="AF357">
        <v>3.74</v>
      </c>
    </row>
    <row r="358" spans="1:32" x14ac:dyDescent="0.2">
      <c r="A358" s="52">
        <v>2011</v>
      </c>
      <c r="B358" t="s">
        <v>165</v>
      </c>
      <c r="C358" t="s">
        <v>163</v>
      </c>
      <c r="D358">
        <v>600</v>
      </c>
      <c r="E358">
        <v>162</v>
      </c>
      <c r="F358">
        <v>15</v>
      </c>
      <c r="G358">
        <v>13</v>
      </c>
      <c r="H358">
        <v>147</v>
      </c>
      <c r="I358">
        <v>32</v>
      </c>
      <c r="J358">
        <v>1449</v>
      </c>
      <c r="K358">
        <v>6010</v>
      </c>
      <c r="L358">
        <v>1263</v>
      </c>
      <c r="M358" s="1">
        <v>614</v>
      </c>
      <c r="N358">
        <f t="shared" si="10"/>
        <v>812</v>
      </c>
      <c r="O358">
        <v>260</v>
      </c>
      <c r="P358">
        <v>30</v>
      </c>
      <c r="Q358">
        <v>161</v>
      </c>
      <c r="R358">
        <v>577</v>
      </c>
      <c r="S358">
        <v>504</v>
      </c>
      <c r="T358">
        <v>38</v>
      </c>
      <c r="U358">
        <f t="shared" si="11"/>
        <v>4197</v>
      </c>
      <c r="V358">
        <v>1143</v>
      </c>
      <c r="W358">
        <v>27</v>
      </c>
      <c r="X358">
        <v>37</v>
      </c>
      <c r="Y358">
        <v>45</v>
      </c>
      <c r="Z358">
        <v>46</v>
      </c>
      <c r="AA358">
        <v>3</v>
      </c>
      <c r="AB358">
        <v>111</v>
      </c>
      <c r="AC358">
        <v>54</v>
      </c>
      <c r="AD358" s="1">
        <v>91</v>
      </c>
      <c r="AE358" s="1">
        <v>71</v>
      </c>
      <c r="AF358">
        <v>3.58</v>
      </c>
    </row>
    <row r="359" spans="1:32" x14ac:dyDescent="0.2">
      <c r="A359" s="52">
        <v>2011</v>
      </c>
      <c r="B359" t="s">
        <v>95</v>
      </c>
      <c r="C359" t="s">
        <v>163</v>
      </c>
      <c r="D359">
        <v>579</v>
      </c>
      <c r="E359">
        <v>162</v>
      </c>
      <c r="F359">
        <v>10</v>
      </c>
      <c r="G359">
        <v>19</v>
      </c>
      <c r="H359">
        <v>152</v>
      </c>
      <c r="I359">
        <v>38</v>
      </c>
      <c r="J359">
        <v>1441.1</v>
      </c>
      <c r="K359">
        <v>6021</v>
      </c>
      <c r="L359">
        <v>1327</v>
      </c>
      <c r="M359" s="1">
        <v>677</v>
      </c>
      <c r="N359">
        <f t="shared" si="10"/>
        <v>880</v>
      </c>
      <c r="O359">
        <v>259</v>
      </c>
      <c r="P359">
        <v>18</v>
      </c>
      <c r="Q359">
        <v>170</v>
      </c>
      <c r="R359">
        <v>607</v>
      </c>
      <c r="S359">
        <v>461</v>
      </c>
      <c r="T359">
        <v>21</v>
      </c>
      <c r="U359">
        <f t="shared" si="11"/>
        <v>4187</v>
      </c>
      <c r="V359">
        <v>1179</v>
      </c>
      <c r="W359">
        <v>36</v>
      </c>
      <c r="X359">
        <v>32</v>
      </c>
      <c r="Y359">
        <v>43</v>
      </c>
      <c r="Z359">
        <v>46</v>
      </c>
      <c r="AA359">
        <v>6</v>
      </c>
      <c r="AB359">
        <v>141</v>
      </c>
      <c r="AC359">
        <v>88</v>
      </c>
      <c r="AD359" s="1">
        <v>96</v>
      </c>
      <c r="AE359" s="1">
        <v>66</v>
      </c>
      <c r="AF359">
        <v>3.79</v>
      </c>
    </row>
    <row r="360" spans="1:32" x14ac:dyDescent="0.2">
      <c r="A360" s="52">
        <v>2011</v>
      </c>
      <c r="B360" t="s">
        <v>97</v>
      </c>
      <c r="C360" t="s">
        <v>163</v>
      </c>
      <c r="D360">
        <v>636</v>
      </c>
      <c r="E360">
        <v>162</v>
      </c>
      <c r="F360">
        <v>7</v>
      </c>
      <c r="G360">
        <v>10</v>
      </c>
      <c r="H360">
        <v>155</v>
      </c>
      <c r="I360">
        <v>33</v>
      </c>
      <c r="J360">
        <v>1458.2</v>
      </c>
      <c r="K360">
        <v>6286</v>
      </c>
      <c r="L360">
        <v>1433</v>
      </c>
      <c r="M360" s="1">
        <v>761</v>
      </c>
      <c r="N360">
        <f t="shared" si="10"/>
        <v>914</v>
      </c>
      <c r="O360">
        <v>307</v>
      </c>
      <c r="P360">
        <v>33</v>
      </c>
      <c r="Q360">
        <v>179</v>
      </c>
      <c r="R360">
        <v>701</v>
      </c>
      <c r="S360">
        <v>540</v>
      </c>
      <c r="T360">
        <v>28</v>
      </c>
      <c r="U360">
        <f t="shared" si="11"/>
        <v>4236</v>
      </c>
      <c r="V360">
        <v>1169</v>
      </c>
      <c r="W360">
        <v>34</v>
      </c>
      <c r="X360">
        <v>44</v>
      </c>
      <c r="Y360">
        <v>73</v>
      </c>
      <c r="Z360">
        <v>77</v>
      </c>
      <c r="AA360">
        <v>3</v>
      </c>
      <c r="AB360">
        <v>124</v>
      </c>
      <c r="AC360">
        <v>76</v>
      </c>
      <c r="AD360" s="1">
        <v>81</v>
      </c>
      <c r="AE360" s="1">
        <v>81</v>
      </c>
      <c r="AF360">
        <v>4.33</v>
      </c>
    </row>
    <row r="361" spans="1:32" x14ac:dyDescent="0.2">
      <c r="A361" s="52">
        <v>2011</v>
      </c>
      <c r="B361" t="s">
        <v>101</v>
      </c>
      <c r="C361" t="s">
        <v>38</v>
      </c>
      <c r="D361">
        <v>664</v>
      </c>
      <c r="E361">
        <v>161</v>
      </c>
      <c r="F361">
        <v>3</v>
      </c>
      <c r="G361">
        <v>10</v>
      </c>
      <c r="H361">
        <v>158</v>
      </c>
      <c r="I361">
        <v>49</v>
      </c>
      <c r="J361">
        <v>1449.1</v>
      </c>
      <c r="K361">
        <v>6141</v>
      </c>
      <c r="L361">
        <v>1403</v>
      </c>
      <c r="M361" s="1">
        <v>643</v>
      </c>
      <c r="N361">
        <f t="shared" si="10"/>
        <v>993</v>
      </c>
      <c r="O361">
        <v>258</v>
      </c>
      <c r="P361">
        <v>23</v>
      </c>
      <c r="Q361">
        <v>129</v>
      </c>
      <c r="R361">
        <v>577</v>
      </c>
      <c r="S361">
        <v>477</v>
      </c>
      <c r="T361">
        <v>43</v>
      </c>
      <c r="U361">
        <f t="shared" si="11"/>
        <v>4209</v>
      </c>
      <c r="V361">
        <v>1049</v>
      </c>
      <c r="W361">
        <v>84</v>
      </c>
      <c r="X361">
        <v>41</v>
      </c>
      <c r="Y361">
        <v>49</v>
      </c>
      <c r="Z361">
        <v>52</v>
      </c>
      <c r="AA361">
        <v>6</v>
      </c>
      <c r="AB361">
        <v>115</v>
      </c>
      <c r="AC361">
        <v>76</v>
      </c>
      <c r="AD361" s="1">
        <v>80</v>
      </c>
      <c r="AE361" s="1">
        <v>81</v>
      </c>
      <c r="AF361">
        <v>3.58</v>
      </c>
    </row>
    <row r="362" spans="1:32" x14ac:dyDescent="0.2">
      <c r="A362" s="52">
        <v>2012</v>
      </c>
      <c r="B362" t="s">
        <v>37</v>
      </c>
      <c r="C362" t="s">
        <v>163</v>
      </c>
      <c r="D362">
        <v>606</v>
      </c>
      <c r="E362">
        <v>162</v>
      </c>
      <c r="F362">
        <v>6</v>
      </c>
      <c r="G362">
        <v>16</v>
      </c>
      <c r="H362">
        <v>156</v>
      </c>
      <c r="I362">
        <v>38</v>
      </c>
      <c r="J362">
        <v>1433.1</v>
      </c>
      <c r="K362">
        <v>6034</v>
      </c>
      <c r="L362">
        <v>1339</v>
      </c>
      <c r="M362" s="1">
        <v>699</v>
      </c>
      <c r="N362">
        <f t="shared" si="10"/>
        <v>881</v>
      </c>
      <c r="O362">
        <v>250</v>
      </c>
      <c r="P362">
        <v>22</v>
      </c>
      <c r="Q362">
        <v>186</v>
      </c>
      <c r="R362">
        <v>640</v>
      </c>
      <c r="S362">
        <v>483</v>
      </c>
      <c r="T362">
        <v>20</v>
      </c>
      <c r="U362">
        <f t="shared" si="11"/>
        <v>4172</v>
      </c>
      <c r="V362">
        <v>1157</v>
      </c>
      <c r="W362">
        <v>31</v>
      </c>
      <c r="X362">
        <v>45</v>
      </c>
      <c r="Y362">
        <v>38</v>
      </c>
      <c r="Z362">
        <v>40</v>
      </c>
      <c r="AA362">
        <v>2</v>
      </c>
      <c r="AB362">
        <v>112</v>
      </c>
      <c r="AC362">
        <v>77</v>
      </c>
      <c r="AD362" s="1">
        <v>89</v>
      </c>
      <c r="AE362" s="1">
        <v>73</v>
      </c>
      <c r="AF362">
        <v>4.0199999999999996</v>
      </c>
    </row>
    <row r="363" spans="1:32" x14ac:dyDescent="0.2">
      <c r="A363" s="52">
        <v>2012</v>
      </c>
      <c r="B363" t="s">
        <v>40</v>
      </c>
      <c r="C363" t="s">
        <v>38</v>
      </c>
      <c r="D363">
        <v>623</v>
      </c>
      <c r="E363">
        <v>162</v>
      </c>
      <c r="F363">
        <v>4</v>
      </c>
      <c r="G363">
        <v>9</v>
      </c>
      <c r="H363">
        <v>158</v>
      </c>
      <c r="I363">
        <v>39</v>
      </c>
      <c r="J363">
        <v>1433.2</v>
      </c>
      <c r="K363">
        <v>6063</v>
      </c>
      <c r="L363">
        <v>1432</v>
      </c>
      <c r="M363" s="1">
        <v>688</v>
      </c>
      <c r="N363">
        <f t="shared" si="10"/>
        <v>936</v>
      </c>
      <c r="O363">
        <v>300</v>
      </c>
      <c r="P363">
        <v>41</v>
      </c>
      <c r="Q363">
        <v>155</v>
      </c>
      <c r="R363">
        <v>626</v>
      </c>
      <c r="S363">
        <v>417</v>
      </c>
      <c r="T363">
        <v>18</v>
      </c>
      <c r="U363">
        <f t="shared" si="11"/>
        <v>4163</v>
      </c>
      <c r="V363">
        <v>1200</v>
      </c>
      <c r="W363">
        <v>67</v>
      </c>
      <c r="X363">
        <v>37</v>
      </c>
      <c r="Y363">
        <v>52</v>
      </c>
      <c r="Z363">
        <v>51</v>
      </c>
      <c r="AA363">
        <v>10</v>
      </c>
      <c r="AB363">
        <v>126</v>
      </c>
      <c r="AC363">
        <v>70</v>
      </c>
      <c r="AD363" s="1">
        <v>81</v>
      </c>
      <c r="AE363" s="1">
        <v>81</v>
      </c>
      <c r="AF363">
        <v>3.93</v>
      </c>
    </row>
    <row r="364" spans="1:32" x14ac:dyDescent="0.2">
      <c r="A364" s="52">
        <v>2012</v>
      </c>
      <c r="B364" t="s">
        <v>42</v>
      </c>
      <c r="C364" t="s">
        <v>38</v>
      </c>
      <c r="D364">
        <v>622</v>
      </c>
      <c r="E364">
        <v>162</v>
      </c>
      <c r="F364">
        <v>5</v>
      </c>
      <c r="G364">
        <v>16</v>
      </c>
      <c r="H364">
        <v>157</v>
      </c>
      <c r="I364">
        <v>47</v>
      </c>
      <c r="J364">
        <v>1445.1</v>
      </c>
      <c r="K364">
        <v>5991</v>
      </c>
      <c r="L364">
        <v>1310</v>
      </c>
      <c r="M364" s="1">
        <v>600</v>
      </c>
      <c r="N364">
        <f t="shared" si="10"/>
        <v>893</v>
      </c>
      <c r="O364">
        <v>251</v>
      </c>
      <c r="P364">
        <v>21</v>
      </c>
      <c r="Q364">
        <v>145</v>
      </c>
      <c r="R364">
        <v>549</v>
      </c>
      <c r="S364">
        <v>464</v>
      </c>
      <c r="T364">
        <v>40</v>
      </c>
      <c r="U364">
        <f t="shared" si="11"/>
        <v>4176</v>
      </c>
      <c r="V364">
        <v>1232</v>
      </c>
      <c r="W364">
        <v>62</v>
      </c>
      <c r="X364">
        <v>26</v>
      </c>
      <c r="Y364">
        <v>54</v>
      </c>
      <c r="Z364">
        <v>41</v>
      </c>
      <c r="AA364">
        <v>3</v>
      </c>
      <c r="AB364">
        <v>123</v>
      </c>
      <c r="AC364">
        <v>55</v>
      </c>
      <c r="AD364" s="1">
        <v>94</v>
      </c>
      <c r="AE364" s="1">
        <v>68</v>
      </c>
      <c r="AF364">
        <v>3.42</v>
      </c>
    </row>
    <row r="365" spans="1:32" x14ac:dyDescent="0.2">
      <c r="A365" s="52">
        <v>2012</v>
      </c>
      <c r="B365" t="s">
        <v>45</v>
      </c>
      <c r="C365" t="s">
        <v>163</v>
      </c>
      <c r="D365">
        <v>654</v>
      </c>
      <c r="E365">
        <v>162</v>
      </c>
      <c r="F365">
        <v>1</v>
      </c>
      <c r="G365">
        <v>10</v>
      </c>
      <c r="H365">
        <v>161</v>
      </c>
      <c r="I365">
        <v>55</v>
      </c>
      <c r="J365">
        <v>1483</v>
      </c>
      <c r="K365">
        <v>6278</v>
      </c>
      <c r="L365">
        <v>1433</v>
      </c>
      <c r="M365" s="1">
        <v>705</v>
      </c>
      <c r="N365">
        <f t="shared" si="10"/>
        <v>962</v>
      </c>
      <c r="O365">
        <v>271</v>
      </c>
      <c r="P365">
        <v>16</v>
      </c>
      <c r="Q365">
        <v>184</v>
      </c>
      <c r="R365">
        <v>642</v>
      </c>
      <c r="S365">
        <v>481</v>
      </c>
      <c r="T365">
        <v>36</v>
      </c>
      <c r="U365">
        <f t="shared" si="11"/>
        <v>4311</v>
      </c>
      <c r="V365">
        <v>1177</v>
      </c>
      <c r="W365">
        <v>30</v>
      </c>
      <c r="X365">
        <v>38</v>
      </c>
      <c r="Y365">
        <v>34</v>
      </c>
      <c r="Z365">
        <v>53</v>
      </c>
      <c r="AA365">
        <v>6</v>
      </c>
      <c r="AB365">
        <v>131</v>
      </c>
      <c r="AC365">
        <v>67</v>
      </c>
      <c r="AD365" s="1">
        <v>93</v>
      </c>
      <c r="AE365" s="1">
        <v>69</v>
      </c>
      <c r="AF365">
        <v>3.9</v>
      </c>
    </row>
    <row r="366" spans="1:32" x14ac:dyDescent="0.2">
      <c r="A366" s="52">
        <v>2012</v>
      </c>
      <c r="B366" t="s">
        <v>47</v>
      </c>
      <c r="C366" t="s">
        <v>163</v>
      </c>
      <c r="D366">
        <v>651</v>
      </c>
      <c r="E366">
        <v>162</v>
      </c>
      <c r="F366">
        <v>6</v>
      </c>
      <c r="G366">
        <v>4</v>
      </c>
      <c r="H366">
        <v>156</v>
      </c>
      <c r="I366">
        <v>35</v>
      </c>
      <c r="J366">
        <v>1443</v>
      </c>
      <c r="K366">
        <v>6209</v>
      </c>
      <c r="L366">
        <v>1449</v>
      </c>
      <c r="M366" s="1">
        <v>806</v>
      </c>
      <c r="N366">
        <f t="shared" si="10"/>
        <v>940</v>
      </c>
      <c r="O366">
        <v>292</v>
      </c>
      <c r="P366">
        <v>27</v>
      </c>
      <c r="Q366">
        <v>190</v>
      </c>
      <c r="R366">
        <v>754</v>
      </c>
      <c r="S366">
        <v>529</v>
      </c>
      <c r="T366">
        <v>33</v>
      </c>
      <c r="U366">
        <f t="shared" si="11"/>
        <v>4165</v>
      </c>
      <c r="V366">
        <v>1176</v>
      </c>
      <c r="W366">
        <v>27</v>
      </c>
      <c r="X366">
        <v>64</v>
      </c>
      <c r="Y366">
        <v>42</v>
      </c>
      <c r="Z366">
        <v>66</v>
      </c>
      <c r="AA366">
        <v>11</v>
      </c>
      <c r="AB366">
        <v>139</v>
      </c>
      <c r="AC366">
        <v>60</v>
      </c>
      <c r="AD366" s="1">
        <v>69</v>
      </c>
      <c r="AE366" s="1">
        <v>93</v>
      </c>
      <c r="AF366">
        <v>4.7</v>
      </c>
    </row>
    <row r="367" spans="1:32" x14ac:dyDescent="0.2">
      <c r="A367" s="52">
        <v>2012</v>
      </c>
      <c r="B367" t="s">
        <v>157</v>
      </c>
      <c r="C367" t="s">
        <v>38</v>
      </c>
      <c r="D367">
        <v>655</v>
      </c>
      <c r="E367">
        <v>162</v>
      </c>
      <c r="F367">
        <v>1</v>
      </c>
      <c r="G367">
        <v>9</v>
      </c>
      <c r="H367">
        <v>161</v>
      </c>
      <c r="I367">
        <v>28</v>
      </c>
      <c r="J367">
        <v>1413.2</v>
      </c>
      <c r="K367">
        <v>6140</v>
      </c>
      <c r="L367">
        <v>1399</v>
      </c>
      <c r="M367" s="1">
        <v>759</v>
      </c>
      <c r="N367">
        <f t="shared" si="10"/>
        <v>904</v>
      </c>
      <c r="O367">
        <v>273</v>
      </c>
      <c r="P367">
        <v>47</v>
      </c>
      <c r="Q367">
        <v>175</v>
      </c>
      <c r="R367">
        <v>708</v>
      </c>
      <c r="S367">
        <v>573</v>
      </c>
      <c r="T367">
        <v>36</v>
      </c>
      <c r="U367">
        <f t="shared" si="11"/>
        <v>4103</v>
      </c>
      <c r="V367">
        <v>1128</v>
      </c>
      <c r="W367">
        <v>58</v>
      </c>
      <c r="X367">
        <v>42</v>
      </c>
      <c r="Y367">
        <v>44</v>
      </c>
      <c r="Z367">
        <v>65</v>
      </c>
      <c r="AA367">
        <v>5</v>
      </c>
      <c r="AB367">
        <v>121</v>
      </c>
      <c r="AC367">
        <v>69</v>
      </c>
      <c r="AD367" s="1">
        <v>61</v>
      </c>
      <c r="AE367" s="1">
        <v>101</v>
      </c>
      <c r="AF367">
        <v>4.51</v>
      </c>
    </row>
    <row r="368" spans="1:32" x14ac:dyDescent="0.2">
      <c r="A368" s="52">
        <v>2012</v>
      </c>
      <c r="B368" t="s">
        <v>157</v>
      </c>
      <c r="C368" t="s">
        <v>163</v>
      </c>
      <c r="D368">
        <v>628</v>
      </c>
      <c r="E368">
        <v>162</v>
      </c>
      <c r="F368">
        <v>6</v>
      </c>
      <c r="G368">
        <v>11</v>
      </c>
      <c r="H368">
        <v>156</v>
      </c>
      <c r="I368">
        <v>37</v>
      </c>
      <c r="J368">
        <v>1445.2</v>
      </c>
      <c r="K368">
        <v>6098</v>
      </c>
      <c r="L368">
        <v>1365</v>
      </c>
      <c r="M368" s="1">
        <v>676</v>
      </c>
      <c r="N368">
        <f t="shared" si="10"/>
        <v>907</v>
      </c>
      <c r="O368">
        <v>252</v>
      </c>
      <c r="P368">
        <v>20</v>
      </c>
      <c r="Q368">
        <v>186</v>
      </c>
      <c r="R368">
        <v>646</v>
      </c>
      <c r="S368">
        <v>503</v>
      </c>
      <c r="T368">
        <v>29</v>
      </c>
      <c r="U368">
        <f t="shared" si="11"/>
        <v>4162</v>
      </c>
      <c r="V368">
        <v>1246</v>
      </c>
      <c r="W368">
        <v>24</v>
      </c>
      <c r="X368">
        <v>33</v>
      </c>
      <c r="Y368">
        <v>66</v>
      </c>
      <c r="Z368">
        <v>68</v>
      </c>
      <c r="AA368">
        <v>9</v>
      </c>
      <c r="AB368">
        <v>129</v>
      </c>
      <c r="AC368">
        <v>47</v>
      </c>
      <c r="AD368" s="1">
        <v>85</v>
      </c>
      <c r="AE368" s="1">
        <v>77</v>
      </c>
      <c r="AF368">
        <v>4.0199999999999996</v>
      </c>
    </row>
    <row r="369" spans="1:32" x14ac:dyDescent="0.2">
      <c r="A369" s="52">
        <v>2012</v>
      </c>
      <c r="B369" t="s">
        <v>53</v>
      </c>
      <c r="C369" t="s">
        <v>38</v>
      </c>
      <c r="D369">
        <v>587</v>
      </c>
      <c r="E369">
        <v>162</v>
      </c>
      <c r="F369">
        <v>9</v>
      </c>
      <c r="G369">
        <v>12</v>
      </c>
      <c r="H369">
        <v>153</v>
      </c>
      <c r="I369">
        <v>56</v>
      </c>
      <c r="J369">
        <v>1453</v>
      </c>
      <c r="K369">
        <v>6056</v>
      </c>
      <c r="L369">
        <v>1356</v>
      </c>
      <c r="M369" s="1">
        <v>588</v>
      </c>
      <c r="N369">
        <f t="shared" si="10"/>
        <v>907</v>
      </c>
      <c r="O369">
        <v>262</v>
      </c>
      <c r="P369">
        <v>35</v>
      </c>
      <c r="Q369">
        <v>152</v>
      </c>
      <c r="R369">
        <v>540</v>
      </c>
      <c r="S369">
        <v>427</v>
      </c>
      <c r="T369">
        <v>33</v>
      </c>
      <c r="U369">
        <f t="shared" si="11"/>
        <v>4222</v>
      </c>
      <c r="V369">
        <v>1248</v>
      </c>
      <c r="W369">
        <v>44</v>
      </c>
      <c r="X369">
        <v>41</v>
      </c>
      <c r="Y369">
        <v>34</v>
      </c>
      <c r="Z369">
        <v>51</v>
      </c>
      <c r="AA369">
        <v>7</v>
      </c>
      <c r="AB369">
        <v>101</v>
      </c>
      <c r="AC369">
        <v>56</v>
      </c>
      <c r="AD369" s="1">
        <v>97</v>
      </c>
      <c r="AE369" s="1">
        <v>65</v>
      </c>
      <c r="AF369">
        <v>3.34</v>
      </c>
    </row>
    <row r="370" spans="1:32" x14ac:dyDescent="0.2">
      <c r="A370" s="52">
        <v>2012</v>
      </c>
      <c r="B370" t="s">
        <v>55</v>
      </c>
      <c r="C370" t="s">
        <v>163</v>
      </c>
      <c r="D370">
        <v>655</v>
      </c>
      <c r="E370">
        <v>162</v>
      </c>
      <c r="F370">
        <v>2</v>
      </c>
      <c r="G370">
        <v>6</v>
      </c>
      <c r="H370">
        <v>160</v>
      </c>
      <c r="I370">
        <v>43</v>
      </c>
      <c r="J370">
        <v>1442</v>
      </c>
      <c r="K370">
        <v>6283</v>
      </c>
      <c r="L370">
        <v>1503</v>
      </c>
      <c r="M370" s="1">
        <v>845</v>
      </c>
      <c r="N370">
        <f t="shared" si="10"/>
        <v>979</v>
      </c>
      <c r="O370">
        <v>317</v>
      </c>
      <c r="P370">
        <v>33</v>
      </c>
      <c r="Q370">
        <v>174</v>
      </c>
      <c r="R370">
        <v>766</v>
      </c>
      <c r="S370">
        <v>543</v>
      </c>
      <c r="T370">
        <v>27</v>
      </c>
      <c r="U370">
        <f t="shared" si="11"/>
        <v>4182</v>
      </c>
      <c r="V370">
        <v>1086</v>
      </c>
      <c r="W370">
        <v>25</v>
      </c>
      <c r="X370">
        <v>57</v>
      </c>
      <c r="Y370">
        <v>67</v>
      </c>
      <c r="Z370">
        <v>55</v>
      </c>
      <c r="AA370">
        <v>6</v>
      </c>
      <c r="AB370">
        <v>137</v>
      </c>
      <c r="AC370">
        <v>74</v>
      </c>
      <c r="AD370" s="1">
        <v>68</v>
      </c>
      <c r="AE370" s="1">
        <v>94</v>
      </c>
      <c r="AF370">
        <v>4.78</v>
      </c>
    </row>
    <row r="371" spans="1:32" x14ac:dyDescent="0.2">
      <c r="A371" s="52">
        <v>2012</v>
      </c>
      <c r="B371" t="s">
        <v>57</v>
      </c>
      <c r="C371" t="s">
        <v>38</v>
      </c>
      <c r="D371">
        <v>737</v>
      </c>
      <c r="E371">
        <v>162</v>
      </c>
      <c r="F371">
        <v>0</v>
      </c>
      <c r="G371">
        <v>7</v>
      </c>
      <c r="H371">
        <v>162</v>
      </c>
      <c r="I371">
        <v>36</v>
      </c>
      <c r="J371">
        <v>1422</v>
      </c>
      <c r="K371">
        <v>6384</v>
      </c>
      <c r="L371">
        <v>1637</v>
      </c>
      <c r="M371" s="1">
        <v>890</v>
      </c>
      <c r="N371">
        <f t="shared" si="10"/>
        <v>1069</v>
      </c>
      <c r="O371">
        <v>321</v>
      </c>
      <c r="P371">
        <v>49</v>
      </c>
      <c r="Q371">
        <v>198</v>
      </c>
      <c r="R371">
        <v>824</v>
      </c>
      <c r="S371">
        <v>566</v>
      </c>
      <c r="T371">
        <v>61</v>
      </c>
      <c r="U371">
        <f t="shared" si="11"/>
        <v>4134</v>
      </c>
      <c r="V371">
        <v>1144</v>
      </c>
      <c r="W371">
        <v>87</v>
      </c>
      <c r="X371">
        <v>45</v>
      </c>
      <c r="Y371">
        <v>94</v>
      </c>
      <c r="Z371">
        <v>47</v>
      </c>
      <c r="AA371">
        <v>6</v>
      </c>
      <c r="AB371">
        <v>119</v>
      </c>
      <c r="AC371">
        <v>83</v>
      </c>
      <c r="AD371" s="1">
        <v>64</v>
      </c>
      <c r="AE371" s="1">
        <v>98</v>
      </c>
      <c r="AF371">
        <v>5.22</v>
      </c>
    </row>
    <row r="372" spans="1:32" x14ac:dyDescent="0.2">
      <c r="A372" s="52">
        <v>2012</v>
      </c>
      <c r="B372" t="s">
        <v>59</v>
      </c>
      <c r="C372" t="s">
        <v>163</v>
      </c>
      <c r="D372">
        <v>582</v>
      </c>
      <c r="E372">
        <v>162</v>
      </c>
      <c r="F372">
        <v>9</v>
      </c>
      <c r="G372">
        <v>8</v>
      </c>
      <c r="H372">
        <v>153</v>
      </c>
      <c r="I372">
        <v>40</v>
      </c>
      <c r="J372">
        <v>1430.2</v>
      </c>
      <c r="K372">
        <v>6045</v>
      </c>
      <c r="L372">
        <v>1409</v>
      </c>
      <c r="M372" s="1">
        <v>670</v>
      </c>
      <c r="N372">
        <f t="shared" si="10"/>
        <v>950</v>
      </c>
      <c r="O372">
        <v>271</v>
      </c>
      <c r="P372">
        <v>37</v>
      </c>
      <c r="Q372">
        <v>151</v>
      </c>
      <c r="R372">
        <v>596</v>
      </c>
      <c r="S372">
        <v>438</v>
      </c>
      <c r="T372">
        <v>35</v>
      </c>
      <c r="U372">
        <f t="shared" si="11"/>
        <v>4156</v>
      </c>
      <c r="V372">
        <v>1318</v>
      </c>
      <c r="W372">
        <v>33</v>
      </c>
      <c r="X372">
        <v>35</v>
      </c>
      <c r="Y372">
        <v>46</v>
      </c>
      <c r="Z372">
        <v>42</v>
      </c>
      <c r="AA372">
        <v>6</v>
      </c>
      <c r="AB372">
        <v>112</v>
      </c>
      <c r="AC372">
        <v>59</v>
      </c>
      <c r="AD372" s="1">
        <v>88</v>
      </c>
      <c r="AE372" s="1">
        <v>74</v>
      </c>
      <c r="AF372">
        <v>3.75</v>
      </c>
    </row>
    <row r="373" spans="1:32" x14ac:dyDescent="0.2">
      <c r="A373" s="52">
        <v>2012</v>
      </c>
      <c r="B373" t="s">
        <v>63</v>
      </c>
      <c r="C373" t="s">
        <v>38</v>
      </c>
      <c r="D373">
        <v>703</v>
      </c>
      <c r="E373">
        <v>162</v>
      </c>
      <c r="F373">
        <v>3</v>
      </c>
      <c r="G373">
        <v>11</v>
      </c>
      <c r="H373">
        <v>159</v>
      </c>
      <c r="I373">
        <v>31</v>
      </c>
      <c r="J373">
        <v>1423.1</v>
      </c>
      <c r="K373">
        <v>6238</v>
      </c>
      <c r="L373">
        <v>1493</v>
      </c>
      <c r="M373" s="1">
        <v>794</v>
      </c>
      <c r="N373">
        <f t="shared" si="10"/>
        <v>1005</v>
      </c>
      <c r="O373">
        <v>276</v>
      </c>
      <c r="P373">
        <v>39</v>
      </c>
      <c r="Q373">
        <v>173</v>
      </c>
      <c r="R373">
        <v>721</v>
      </c>
      <c r="S373">
        <v>540</v>
      </c>
      <c r="T373">
        <v>40</v>
      </c>
      <c r="U373">
        <f t="shared" si="11"/>
        <v>4157</v>
      </c>
      <c r="V373">
        <v>1170</v>
      </c>
      <c r="W373">
        <v>69</v>
      </c>
      <c r="X373">
        <v>41</v>
      </c>
      <c r="Y373">
        <v>75</v>
      </c>
      <c r="Z373">
        <v>48</v>
      </c>
      <c r="AA373">
        <v>6</v>
      </c>
      <c r="AB373">
        <v>108</v>
      </c>
      <c r="AC373">
        <v>83</v>
      </c>
      <c r="AD373" s="1">
        <v>55</v>
      </c>
      <c r="AE373" s="1">
        <v>107</v>
      </c>
      <c r="AF373">
        <v>4.5599999999999996</v>
      </c>
    </row>
    <row r="374" spans="1:32" x14ac:dyDescent="0.2">
      <c r="A374" s="52">
        <v>2012</v>
      </c>
      <c r="B374" t="s">
        <v>164</v>
      </c>
      <c r="C374" t="s">
        <v>163</v>
      </c>
      <c r="D374">
        <v>662</v>
      </c>
      <c r="E374">
        <v>162</v>
      </c>
      <c r="F374">
        <v>2</v>
      </c>
      <c r="G374">
        <v>12</v>
      </c>
      <c r="H374">
        <v>160</v>
      </c>
      <c r="I374">
        <v>44</v>
      </c>
      <c r="J374">
        <v>1451.1</v>
      </c>
      <c r="K374">
        <v>6251</v>
      </c>
      <c r="L374">
        <v>1504</v>
      </c>
      <c r="M374" s="1">
        <v>746</v>
      </c>
      <c r="N374">
        <f t="shared" si="10"/>
        <v>1019</v>
      </c>
      <c r="O374">
        <v>280</v>
      </c>
      <c r="P374">
        <v>42</v>
      </c>
      <c r="Q374">
        <v>163</v>
      </c>
      <c r="R374">
        <v>693</v>
      </c>
      <c r="S374">
        <v>542</v>
      </c>
      <c r="T374">
        <v>44</v>
      </c>
      <c r="U374">
        <f t="shared" si="11"/>
        <v>4145</v>
      </c>
      <c r="V374">
        <v>1177</v>
      </c>
      <c r="W374">
        <v>40</v>
      </c>
      <c r="X374">
        <v>42</v>
      </c>
      <c r="Y374">
        <v>49</v>
      </c>
      <c r="Z374">
        <v>60</v>
      </c>
      <c r="AA374">
        <v>8</v>
      </c>
      <c r="AB374">
        <v>137</v>
      </c>
      <c r="AC374">
        <v>61</v>
      </c>
      <c r="AD374" s="1">
        <v>72</v>
      </c>
      <c r="AE374" s="1">
        <v>90</v>
      </c>
      <c r="AF374">
        <v>4.3</v>
      </c>
    </row>
    <row r="375" spans="1:32" x14ac:dyDescent="0.2">
      <c r="A375" s="52">
        <v>2012</v>
      </c>
      <c r="B375" t="s">
        <v>159</v>
      </c>
      <c r="C375" t="s">
        <v>38</v>
      </c>
      <c r="D375">
        <v>668</v>
      </c>
      <c r="E375">
        <v>162</v>
      </c>
      <c r="F375">
        <v>2</v>
      </c>
      <c r="G375">
        <v>10</v>
      </c>
      <c r="H375">
        <v>160</v>
      </c>
      <c r="I375">
        <v>40</v>
      </c>
      <c r="J375">
        <v>1449.2</v>
      </c>
      <c r="K375">
        <v>6068</v>
      </c>
      <c r="L375">
        <v>1277</v>
      </c>
      <c r="M375" s="1">
        <v>597</v>
      </c>
      <c r="N375">
        <f t="shared" si="10"/>
        <v>874</v>
      </c>
      <c r="O375">
        <v>249</v>
      </c>
      <c r="P375">
        <v>32</v>
      </c>
      <c r="Q375">
        <v>122</v>
      </c>
      <c r="R375">
        <v>538</v>
      </c>
      <c r="S375">
        <v>539</v>
      </c>
      <c r="T375">
        <v>62</v>
      </c>
      <c r="U375">
        <f t="shared" si="11"/>
        <v>4207</v>
      </c>
      <c r="V375">
        <v>1276</v>
      </c>
      <c r="W375">
        <v>73</v>
      </c>
      <c r="X375">
        <v>38</v>
      </c>
      <c r="Y375">
        <v>46</v>
      </c>
      <c r="Z375">
        <v>45</v>
      </c>
      <c r="AA375">
        <v>2</v>
      </c>
      <c r="AB375">
        <v>114</v>
      </c>
      <c r="AC375">
        <v>69</v>
      </c>
      <c r="AD375" s="1">
        <v>86</v>
      </c>
      <c r="AE375" s="1">
        <v>76</v>
      </c>
      <c r="AF375">
        <v>3.34</v>
      </c>
    </row>
    <row r="376" spans="1:32" x14ac:dyDescent="0.2">
      <c r="A376" s="52">
        <v>2012</v>
      </c>
      <c r="B376" t="s">
        <v>104</v>
      </c>
      <c r="C376" t="s">
        <v>38</v>
      </c>
      <c r="D376">
        <v>645</v>
      </c>
      <c r="E376">
        <v>162</v>
      </c>
      <c r="F376">
        <v>5</v>
      </c>
      <c r="G376">
        <v>7</v>
      </c>
      <c r="H376">
        <v>157</v>
      </c>
      <c r="I376">
        <v>38</v>
      </c>
      <c r="J376">
        <v>1440.2</v>
      </c>
      <c r="K376">
        <v>6186</v>
      </c>
      <c r="L376">
        <v>1448</v>
      </c>
      <c r="M376" s="1">
        <v>724</v>
      </c>
      <c r="N376">
        <f t="shared" si="10"/>
        <v>1005</v>
      </c>
      <c r="O376">
        <v>270</v>
      </c>
      <c r="P376">
        <v>40</v>
      </c>
      <c r="Q376">
        <v>133</v>
      </c>
      <c r="R376">
        <v>655</v>
      </c>
      <c r="S376">
        <v>495</v>
      </c>
      <c r="T376">
        <v>61</v>
      </c>
      <c r="U376">
        <f t="shared" si="11"/>
        <v>4188</v>
      </c>
      <c r="V376">
        <v>1113</v>
      </c>
      <c r="W376">
        <v>75</v>
      </c>
      <c r="X376">
        <v>55</v>
      </c>
      <c r="Y376">
        <v>36</v>
      </c>
      <c r="Z376">
        <v>55</v>
      </c>
      <c r="AA376">
        <v>4</v>
      </c>
      <c r="AB376">
        <v>133</v>
      </c>
      <c r="AC376">
        <v>73</v>
      </c>
      <c r="AD376" s="1">
        <v>69</v>
      </c>
      <c r="AE376" s="1">
        <v>93</v>
      </c>
      <c r="AF376">
        <v>4.09</v>
      </c>
    </row>
    <row r="377" spans="1:32" x14ac:dyDescent="0.2">
      <c r="A377" s="52">
        <v>2012</v>
      </c>
      <c r="B377" t="s">
        <v>69</v>
      </c>
      <c r="C377" t="s">
        <v>38</v>
      </c>
      <c r="D377">
        <v>674</v>
      </c>
      <c r="E377">
        <v>162</v>
      </c>
      <c r="F377">
        <v>0</v>
      </c>
      <c r="G377">
        <v>9</v>
      </c>
      <c r="H377">
        <v>162</v>
      </c>
      <c r="I377">
        <v>44</v>
      </c>
      <c r="J377">
        <v>1453.2</v>
      </c>
      <c r="K377">
        <v>6245</v>
      </c>
      <c r="L377">
        <v>1458</v>
      </c>
      <c r="M377" s="1">
        <v>733</v>
      </c>
      <c r="N377">
        <f t="shared" si="10"/>
        <v>968</v>
      </c>
      <c r="O377">
        <v>290</v>
      </c>
      <c r="P377">
        <v>31</v>
      </c>
      <c r="Q377">
        <v>169</v>
      </c>
      <c r="R377">
        <v>682</v>
      </c>
      <c r="S377">
        <v>525</v>
      </c>
      <c r="T377">
        <v>20</v>
      </c>
      <c r="U377">
        <f t="shared" si="11"/>
        <v>4231</v>
      </c>
      <c r="V377">
        <v>1402</v>
      </c>
      <c r="W377">
        <v>61</v>
      </c>
      <c r="X377">
        <v>34</v>
      </c>
      <c r="Y377">
        <v>57</v>
      </c>
      <c r="Z377">
        <v>31</v>
      </c>
      <c r="AA377">
        <v>5</v>
      </c>
      <c r="AB377">
        <v>104</v>
      </c>
      <c r="AC377">
        <v>58</v>
      </c>
      <c r="AD377" s="1">
        <v>83</v>
      </c>
      <c r="AE377" s="1">
        <v>79</v>
      </c>
      <c r="AF377">
        <v>4.22</v>
      </c>
    </row>
    <row r="378" spans="1:32" x14ac:dyDescent="0.2">
      <c r="A378" s="52">
        <v>2012</v>
      </c>
      <c r="B378" t="s">
        <v>71</v>
      </c>
      <c r="C378" t="s">
        <v>163</v>
      </c>
      <c r="D378">
        <v>661</v>
      </c>
      <c r="E378">
        <v>162</v>
      </c>
      <c r="F378">
        <v>3</v>
      </c>
      <c r="G378">
        <v>6</v>
      </c>
      <c r="H378">
        <v>159</v>
      </c>
      <c r="I378">
        <v>35</v>
      </c>
      <c r="J378">
        <v>1438.2</v>
      </c>
      <c r="K378">
        <v>6214</v>
      </c>
      <c r="L378">
        <v>1536</v>
      </c>
      <c r="M378" s="1">
        <v>832</v>
      </c>
      <c r="N378">
        <f t="shared" si="10"/>
        <v>1022</v>
      </c>
      <c r="O378">
        <v>285</v>
      </c>
      <c r="P378">
        <v>31</v>
      </c>
      <c r="Q378">
        <v>198</v>
      </c>
      <c r="R378">
        <v>762</v>
      </c>
      <c r="S378">
        <v>465</v>
      </c>
      <c r="T378">
        <v>43</v>
      </c>
      <c r="U378">
        <f t="shared" si="11"/>
        <v>4156</v>
      </c>
      <c r="V378">
        <v>943</v>
      </c>
      <c r="W378">
        <v>34</v>
      </c>
      <c r="X378">
        <v>48</v>
      </c>
      <c r="Y378">
        <v>60</v>
      </c>
      <c r="Z378">
        <v>57</v>
      </c>
      <c r="AA378">
        <v>2</v>
      </c>
      <c r="AB378">
        <v>158</v>
      </c>
      <c r="AC378">
        <v>74</v>
      </c>
      <c r="AD378" s="1">
        <v>66</v>
      </c>
      <c r="AE378" s="1">
        <v>96</v>
      </c>
      <c r="AF378">
        <v>4.7699999999999996</v>
      </c>
    </row>
    <row r="379" spans="1:32" x14ac:dyDescent="0.2">
      <c r="A379" s="52">
        <v>2012</v>
      </c>
      <c r="B379" t="s">
        <v>158</v>
      </c>
      <c r="C379" t="s">
        <v>38</v>
      </c>
      <c r="D379">
        <v>667</v>
      </c>
      <c r="E379">
        <v>162</v>
      </c>
      <c r="F379">
        <v>7</v>
      </c>
      <c r="G379">
        <v>13</v>
      </c>
      <c r="H379">
        <v>155</v>
      </c>
      <c r="I379">
        <v>36</v>
      </c>
      <c r="J379">
        <v>1434</v>
      </c>
      <c r="K379">
        <v>6086</v>
      </c>
      <c r="L379">
        <v>1368</v>
      </c>
      <c r="M379" s="1">
        <v>709</v>
      </c>
      <c r="N379">
        <f t="shared" si="10"/>
        <v>909</v>
      </c>
      <c r="O379">
        <v>262</v>
      </c>
      <c r="P379">
        <v>36</v>
      </c>
      <c r="Q379">
        <v>161</v>
      </c>
      <c r="R379">
        <v>651</v>
      </c>
      <c r="S379">
        <v>488</v>
      </c>
      <c r="T379">
        <v>29</v>
      </c>
      <c r="U379">
        <f t="shared" si="11"/>
        <v>4190</v>
      </c>
      <c r="V379">
        <v>1240</v>
      </c>
      <c r="W379">
        <v>64</v>
      </c>
      <c r="X379">
        <v>43</v>
      </c>
      <c r="Y379">
        <v>40</v>
      </c>
      <c r="Z379">
        <v>40</v>
      </c>
      <c r="AA379">
        <v>3</v>
      </c>
      <c r="AB379">
        <v>115</v>
      </c>
      <c r="AC379">
        <v>72</v>
      </c>
      <c r="AD379" s="1">
        <v>74</v>
      </c>
      <c r="AE379" s="1">
        <v>88</v>
      </c>
      <c r="AF379">
        <v>4.09</v>
      </c>
    </row>
    <row r="380" spans="1:32" x14ac:dyDescent="0.2">
      <c r="A380" s="52">
        <v>2012</v>
      </c>
      <c r="B380" t="s">
        <v>158</v>
      </c>
      <c r="C380" t="s">
        <v>163</v>
      </c>
      <c r="D380">
        <v>647</v>
      </c>
      <c r="E380">
        <v>162</v>
      </c>
      <c r="F380">
        <v>6</v>
      </c>
      <c r="G380">
        <v>9</v>
      </c>
      <c r="H380">
        <v>156</v>
      </c>
      <c r="I380">
        <v>51</v>
      </c>
      <c r="J380">
        <v>1445.1</v>
      </c>
      <c r="K380">
        <v>6085</v>
      </c>
      <c r="L380">
        <v>1401</v>
      </c>
      <c r="M380" s="1">
        <v>668</v>
      </c>
      <c r="N380">
        <f t="shared" si="10"/>
        <v>884</v>
      </c>
      <c r="O380">
        <v>303</v>
      </c>
      <c r="P380">
        <v>24</v>
      </c>
      <c r="Q380">
        <v>190</v>
      </c>
      <c r="R380">
        <v>617</v>
      </c>
      <c r="S380">
        <v>431</v>
      </c>
      <c r="T380">
        <v>32</v>
      </c>
      <c r="U380">
        <f t="shared" si="11"/>
        <v>4204</v>
      </c>
      <c r="V380">
        <v>1318</v>
      </c>
      <c r="W380">
        <v>31</v>
      </c>
      <c r="X380">
        <v>32</v>
      </c>
      <c r="Y380">
        <v>53</v>
      </c>
      <c r="Z380">
        <v>49</v>
      </c>
      <c r="AA380">
        <v>9</v>
      </c>
      <c r="AB380">
        <v>115</v>
      </c>
      <c r="AC380">
        <v>56</v>
      </c>
      <c r="AD380" s="1">
        <v>95</v>
      </c>
      <c r="AE380" s="1">
        <v>67</v>
      </c>
      <c r="AF380">
        <v>3.84</v>
      </c>
    </row>
    <row r="381" spans="1:32" x14ac:dyDescent="0.2">
      <c r="A381" s="52">
        <v>2012</v>
      </c>
      <c r="B381" t="s">
        <v>79</v>
      </c>
      <c r="C381" t="s">
        <v>163</v>
      </c>
      <c r="D381">
        <v>624</v>
      </c>
      <c r="E381">
        <v>162</v>
      </c>
      <c r="F381">
        <v>1</v>
      </c>
      <c r="G381">
        <v>13</v>
      </c>
      <c r="H381">
        <v>161</v>
      </c>
      <c r="I381">
        <v>47</v>
      </c>
      <c r="J381">
        <v>1470</v>
      </c>
      <c r="K381">
        <v>6131</v>
      </c>
      <c r="L381">
        <v>1360</v>
      </c>
      <c r="M381" s="1">
        <v>614</v>
      </c>
      <c r="N381">
        <f t="shared" si="10"/>
        <v>935</v>
      </c>
      <c r="O381">
        <v>264</v>
      </c>
      <c r="P381">
        <v>14</v>
      </c>
      <c r="Q381">
        <v>147</v>
      </c>
      <c r="R381">
        <v>569</v>
      </c>
      <c r="S381">
        <v>462</v>
      </c>
      <c r="T381">
        <v>34</v>
      </c>
      <c r="U381">
        <f t="shared" si="11"/>
        <v>4263</v>
      </c>
      <c r="V381">
        <v>1136</v>
      </c>
      <c r="W381">
        <v>36</v>
      </c>
      <c r="X381">
        <v>47</v>
      </c>
      <c r="Y381">
        <v>40</v>
      </c>
      <c r="Z381">
        <v>46</v>
      </c>
      <c r="AA381">
        <v>5</v>
      </c>
      <c r="AB381">
        <v>112</v>
      </c>
      <c r="AC381">
        <v>73</v>
      </c>
      <c r="AD381" s="1">
        <v>94</v>
      </c>
      <c r="AE381" s="1">
        <v>68</v>
      </c>
      <c r="AF381">
        <v>3.48</v>
      </c>
    </row>
    <row r="382" spans="1:32" x14ac:dyDescent="0.2">
      <c r="A382" s="52">
        <v>2012</v>
      </c>
      <c r="B382" t="s">
        <v>81</v>
      </c>
      <c r="C382" t="s">
        <v>38</v>
      </c>
      <c r="D382">
        <v>602</v>
      </c>
      <c r="E382">
        <v>162</v>
      </c>
      <c r="F382">
        <v>5</v>
      </c>
      <c r="G382">
        <v>11</v>
      </c>
      <c r="H382">
        <v>157</v>
      </c>
      <c r="I382">
        <v>42</v>
      </c>
      <c r="J382">
        <v>1451.1</v>
      </c>
      <c r="K382">
        <v>6072</v>
      </c>
      <c r="L382">
        <v>1387</v>
      </c>
      <c r="M382" s="1">
        <v>680</v>
      </c>
      <c r="N382">
        <f t="shared" si="10"/>
        <v>908</v>
      </c>
      <c r="O382">
        <v>276</v>
      </c>
      <c r="P382">
        <v>25</v>
      </c>
      <c r="Q382">
        <v>178</v>
      </c>
      <c r="R382">
        <v>618</v>
      </c>
      <c r="S382">
        <v>409</v>
      </c>
      <c r="T382">
        <v>33</v>
      </c>
      <c r="U382">
        <f t="shared" si="11"/>
        <v>4232</v>
      </c>
      <c r="V382">
        <v>1385</v>
      </c>
      <c r="W382">
        <v>60</v>
      </c>
      <c r="X382">
        <v>32</v>
      </c>
      <c r="Y382">
        <v>30</v>
      </c>
      <c r="Z382">
        <v>44</v>
      </c>
      <c r="AA382">
        <v>3</v>
      </c>
      <c r="AB382">
        <v>98</v>
      </c>
      <c r="AC382">
        <v>79</v>
      </c>
      <c r="AD382" s="1">
        <v>81</v>
      </c>
      <c r="AE382" s="1">
        <v>81</v>
      </c>
      <c r="AF382">
        <v>3.83</v>
      </c>
    </row>
    <row r="383" spans="1:32" x14ac:dyDescent="0.2">
      <c r="A383" s="52">
        <v>2012</v>
      </c>
      <c r="B383" t="s">
        <v>83</v>
      </c>
      <c r="C383" t="s">
        <v>38</v>
      </c>
      <c r="D383">
        <v>645</v>
      </c>
      <c r="E383">
        <v>162</v>
      </c>
      <c r="F383">
        <v>2</v>
      </c>
      <c r="G383">
        <v>10</v>
      </c>
      <c r="H383">
        <v>160</v>
      </c>
      <c r="I383">
        <v>45</v>
      </c>
      <c r="J383">
        <v>1433.1</v>
      </c>
      <c r="K383">
        <v>6097</v>
      </c>
      <c r="L383">
        <v>1357</v>
      </c>
      <c r="M383" s="1">
        <v>674</v>
      </c>
      <c r="N383">
        <f t="shared" si="10"/>
        <v>924</v>
      </c>
      <c r="O383">
        <v>250</v>
      </c>
      <c r="P383">
        <v>30</v>
      </c>
      <c r="Q383">
        <v>153</v>
      </c>
      <c r="R383">
        <v>615</v>
      </c>
      <c r="S383">
        <v>490</v>
      </c>
      <c r="T383">
        <v>30</v>
      </c>
      <c r="U383">
        <f t="shared" si="11"/>
        <v>4205</v>
      </c>
      <c r="V383">
        <v>1192</v>
      </c>
      <c r="W383">
        <v>67</v>
      </c>
      <c r="X383">
        <v>40</v>
      </c>
      <c r="Y383">
        <v>45</v>
      </c>
      <c r="Z383">
        <v>45</v>
      </c>
      <c r="AA383">
        <v>3</v>
      </c>
      <c r="AB383">
        <v>111</v>
      </c>
      <c r="AC383">
        <v>75</v>
      </c>
      <c r="AD383" s="1">
        <v>79</v>
      </c>
      <c r="AE383" s="1">
        <v>83</v>
      </c>
      <c r="AF383">
        <v>3.86</v>
      </c>
    </row>
    <row r="384" spans="1:32" x14ac:dyDescent="0.2">
      <c r="A384" s="52">
        <v>2012</v>
      </c>
      <c r="B384" t="s">
        <v>161</v>
      </c>
      <c r="C384" t="s">
        <v>38</v>
      </c>
      <c r="D384">
        <v>691</v>
      </c>
      <c r="E384">
        <v>162</v>
      </c>
      <c r="F384">
        <v>4</v>
      </c>
      <c r="G384">
        <v>11</v>
      </c>
      <c r="H384">
        <v>158</v>
      </c>
      <c r="I384">
        <v>43</v>
      </c>
      <c r="J384">
        <v>1434.2</v>
      </c>
      <c r="K384">
        <v>6151</v>
      </c>
      <c r="L384">
        <v>1356</v>
      </c>
      <c r="M384" s="1">
        <v>710</v>
      </c>
      <c r="N384">
        <f t="shared" si="10"/>
        <v>895</v>
      </c>
      <c r="O384">
        <v>263</v>
      </c>
      <c r="P384">
        <v>36</v>
      </c>
      <c r="Q384">
        <v>162</v>
      </c>
      <c r="R384">
        <v>640</v>
      </c>
      <c r="S384">
        <v>539</v>
      </c>
      <c r="T384">
        <v>48</v>
      </c>
      <c r="U384">
        <f t="shared" si="11"/>
        <v>4208</v>
      </c>
      <c r="V384">
        <v>1205</v>
      </c>
      <c r="W384">
        <v>62</v>
      </c>
      <c r="X384">
        <v>38</v>
      </c>
      <c r="Y384">
        <v>49</v>
      </c>
      <c r="Z384">
        <v>48</v>
      </c>
      <c r="AA384">
        <v>8</v>
      </c>
      <c r="AB384">
        <v>78</v>
      </c>
      <c r="AC384">
        <v>77</v>
      </c>
      <c r="AD384" s="1">
        <v>76</v>
      </c>
      <c r="AE384" s="1">
        <v>86</v>
      </c>
      <c r="AF384">
        <v>4.01</v>
      </c>
    </row>
    <row r="385" spans="1:32" x14ac:dyDescent="0.2">
      <c r="A385" s="52">
        <v>2012</v>
      </c>
      <c r="B385" t="s">
        <v>87</v>
      </c>
      <c r="C385" t="s">
        <v>163</v>
      </c>
      <c r="D385">
        <v>613</v>
      </c>
      <c r="E385">
        <v>162</v>
      </c>
      <c r="F385">
        <v>8</v>
      </c>
      <c r="G385">
        <v>11</v>
      </c>
      <c r="H385">
        <v>154</v>
      </c>
      <c r="I385">
        <v>43</v>
      </c>
      <c r="J385">
        <v>1456.2</v>
      </c>
      <c r="K385">
        <v>6062</v>
      </c>
      <c r="L385">
        <v>1359</v>
      </c>
      <c r="M385" s="1">
        <v>651</v>
      </c>
      <c r="N385">
        <f t="shared" si="10"/>
        <v>919</v>
      </c>
      <c r="O385">
        <v>246</v>
      </c>
      <c r="P385">
        <v>28</v>
      </c>
      <c r="Q385">
        <v>166</v>
      </c>
      <c r="R385">
        <v>608</v>
      </c>
      <c r="S385">
        <v>449</v>
      </c>
      <c r="T385">
        <v>39</v>
      </c>
      <c r="U385">
        <f t="shared" si="11"/>
        <v>4205</v>
      </c>
      <c r="V385">
        <v>1166</v>
      </c>
      <c r="W385">
        <v>35</v>
      </c>
      <c r="X385">
        <v>45</v>
      </c>
      <c r="Y385">
        <v>61</v>
      </c>
      <c r="Z385">
        <v>49</v>
      </c>
      <c r="AA385">
        <v>5</v>
      </c>
      <c r="AB385">
        <v>137</v>
      </c>
      <c r="AC385">
        <v>44</v>
      </c>
      <c r="AD385" s="1">
        <v>75</v>
      </c>
      <c r="AE385" s="1">
        <v>87</v>
      </c>
      <c r="AF385">
        <v>3.76</v>
      </c>
    </row>
    <row r="386" spans="1:32" x14ac:dyDescent="0.2">
      <c r="A386" s="52">
        <v>2012</v>
      </c>
      <c r="B386" t="s">
        <v>21</v>
      </c>
      <c r="C386" t="s">
        <v>38</v>
      </c>
      <c r="D386">
        <v>688</v>
      </c>
      <c r="E386">
        <v>162</v>
      </c>
      <c r="F386">
        <v>5</v>
      </c>
      <c r="G386">
        <v>14</v>
      </c>
      <c r="H386">
        <v>157</v>
      </c>
      <c r="I386">
        <v>53</v>
      </c>
      <c r="J386">
        <v>1451</v>
      </c>
      <c r="K386">
        <v>6138</v>
      </c>
      <c r="L386">
        <v>1361</v>
      </c>
      <c r="M386" s="1">
        <v>649</v>
      </c>
      <c r="N386">
        <f t="shared" si="10"/>
        <v>886</v>
      </c>
      <c r="O386">
        <v>296</v>
      </c>
      <c r="P386">
        <v>37</v>
      </c>
      <c r="Q386">
        <v>142</v>
      </c>
      <c r="R386">
        <v>593</v>
      </c>
      <c r="S386">
        <v>489</v>
      </c>
      <c r="T386">
        <v>42</v>
      </c>
      <c r="U386">
        <f t="shared" si="11"/>
        <v>4237</v>
      </c>
      <c r="V386">
        <v>1237</v>
      </c>
      <c r="W386">
        <v>66</v>
      </c>
      <c r="X386">
        <v>36</v>
      </c>
      <c r="Y386">
        <v>54</v>
      </c>
      <c r="Z386">
        <v>51</v>
      </c>
      <c r="AA386">
        <v>4</v>
      </c>
      <c r="AB386">
        <v>110</v>
      </c>
      <c r="AC386">
        <v>86</v>
      </c>
      <c r="AD386" s="1">
        <v>94</v>
      </c>
      <c r="AE386" s="1">
        <v>68</v>
      </c>
      <c r="AF386">
        <v>3.68</v>
      </c>
    </row>
    <row r="387" spans="1:32" x14ac:dyDescent="0.2">
      <c r="A387" s="52">
        <v>2012</v>
      </c>
      <c r="B387" t="s">
        <v>156</v>
      </c>
      <c r="C387" t="s">
        <v>38</v>
      </c>
      <c r="D387">
        <v>668</v>
      </c>
      <c r="E387">
        <v>162</v>
      </c>
      <c r="F387">
        <v>4</v>
      </c>
      <c r="G387">
        <v>10</v>
      </c>
      <c r="H387">
        <v>158</v>
      </c>
      <c r="I387">
        <v>42</v>
      </c>
      <c r="J387">
        <v>1462.2</v>
      </c>
      <c r="K387">
        <v>6158</v>
      </c>
      <c r="L387">
        <v>1420</v>
      </c>
      <c r="M387" s="1">
        <v>648</v>
      </c>
      <c r="N387">
        <f t="shared" ref="N387:N450" si="12">L387-(O387+P387+Q387)</f>
        <v>982</v>
      </c>
      <c r="O387">
        <v>272</v>
      </c>
      <c r="P387">
        <v>32</v>
      </c>
      <c r="Q387">
        <v>134</v>
      </c>
      <c r="R387">
        <v>603</v>
      </c>
      <c r="S387">
        <v>436</v>
      </c>
      <c r="T387">
        <v>28</v>
      </c>
      <c r="U387">
        <f t="shared" ref="U387:U450" si="13">K387-(L387+S387+Z387)</f>
        <v>4252</v>
      </c>
      <c r="V387">
        <v>1218</v>
      </c>
      <c r="W387">
        <v>66</v>
      </c>
      <c r="X387">
        <v>35</v>
      </c>
      <c r="Y387">
        <v>46</v>
      </c>
      <c r="Z387">
        <v>50</v>
      </c>
      <c r="AA387">
        <v>4</v>
      </c>
      <c r="AB387">
        <v>130</v>
      </c>
      <c r="AC387">
        <v>81</v>
      </c>
      <c r="AD387" s="1">
        <v>88</v>
      </c>
      <c r="AE387" s="1">
        <v>74</v>
      </c>
      <c r="AF387">
        <v>3.71</v>
      </c>
    </row>
    <row r="388" spans="1:32" x14ac:dyDescent="0.2">
      <c r="A388" s="52">
        <v>2012</v>
      </c>
      <c r="B388" t="s">
        <v>165</v>
      </c>
      <c r="C388" t="s">
        <v>163</v>
      </c>
      <c r="D388">
        <v>633</v>
      </c>
      <c r="E388">
        <v>162</v>
      </c>
      <c r="F388">
        <v>7</v>
      </c>
      <c r="G388">
        <v>15</v>
      </c>
      <c r="H388">
        <v>155</v>
      </c>
      <c r="I388">
        <v>50</v>
      </c>
      <c r="J388">
        <v>1459.2</v>
      </c>
      <c r="K388">
        <v>6000</v>
      </c>
      <c r="L388">
        <v>1233</v>
      </c>
      <c r="M388" s="1">
        <v>577</v>
      </c>
      <c r="N388">
        <f t="shared" si="12"/>
        <v>857</v>
      </c>
      <c r="O388">
        <v>219</v>
      </c>
      <c r="P388">
        <v>18</v>
      </c>
      <c r="Q388">
        <v>139</v>
      </c>
      <c r="R388">
        <v>518</v>
      </c>
      <c r="S388">
        <v>469</v>
      </c>
      <c r="T388">
        <v>35</v>
      </c>
      <c r="U388">
        <f t="shared" si="13"/>
        <v>4244</v>
      </c>
      <c r="V388">
        <v>1383</v>
      </c>
      <c r="W388">
        <v>26</v>
      </c>
      <c r="X388">
        <v>33</v>
      </c>
      <c r="Y388">
        <v>59</v>
      </c>
      <c r="Z388">
        <v>54</v>
      </c>
      <c r="AA388">
        <v>4</v>
      </c>
      <c r="AB388">
        <v>126</v>
      </c>
      <c r="AC388">
        <v>78</v>
      </c>
      <c r="AD388" s="1">
        <v>90</v>
      </c>
      <c r="AE388" s="1">
        <v>72</v>
      </c>
      <c r="AF388">
        <v>3.19</v>
      </c>
    </row>
    <row r="389" spans="1:32" x14ac:dyDescent="0.2">
      <c r="A389" s="52">
        <v>2012</v>
      </c>
      <c r="B389" t="s">
        <v>95</v>
      </c>
      <c r="C389" t="s">
        <v>163</v>
      </c>
      <c r="D389">
        <v>590</v>
      </c>
      <c r="E389">
        <v>162</v>
      </c>
      <c r="F389">
        <v>7</v>
      </c>
      <c r="G389">
        <v>10</v>
      </c>
      <c r="H389">
        <v>155</v>
      </c>
      <c r="I389">
        <v>43</v>
      </c>
      <c r="J389">
        <v>1442</v>
      </c>
      <c r="K389">
        <v>6067</v>
      </c>
      <c r="L389">
        <v>1378</v>
      </c>
      <c r="M389" s="1">
        <v>707</v>
      </c>
      <c r="N389">
        <f t="shared" si="12"/>
        <v>893</v>
      </c>
      <c r="O389">
        <v>273</v>
      </c>
      <c r="P389">
        <v>37</v>
      </c>
      <c r="Q389">
        <v>175</v>
      </c>
      <c r="R389">
        <v>639</v>
      </c>
      <c r="S389">
        <v>446</v>
      </c>
      <c r="T389">
        <v>15</v>
      </c>
      <c r="U389">
        <f t="shared" si="13"/>
        <v>4202</v>
      </c>
      <c r="V389">
        <v>1286</v>
      </c>
      <c r="W389">
        <v>22</v>
      </c>
      <c r="X389">
        <v>40</v>
      </c>
      <c r="Y389">
        <v>53</v>
      </c>
      <c r="Z389">
        <v>41</v>
      </c>
      <c r="AA389">
        <v>8</v>
      </c>
      <c r="AB389">
        <v>115</v>
      </c>
      <c r="AC389">
        <v>63</v>
      </c>
      <c r="AD389" s="1">
        <v>93</v>
      </c>
      <c r="AE389" s="1">
        <v>69</v>
      </c>
      <c r="AF389">
        <v>3.99</v>
      </c>
    </row>
    <row r="390" spans="1:32" x14ac:dyDescent="0.2">
      <c r="A390" s="52">
        <v>2012</v>
      </c>
      <c r="B390" t="s">
        <v>97</v>
      </c>
      <c r="C390" t="s">
        <v>163</v>
      </c>
      <c r="D390">
        <v>657</v>
      </c>
      <c r="E390">
        <v>162</v>
      </c>
      <c r="F390">
        <v>5</v>
      </c>
      <c r="G390">
        <v>11</v>
      </c>
      <c r="H390">
        <v>157</v>
      </c>
      <c r="I390">
        <v>29</v>
      </c>
      <c r="J390">
        <v>1443.2</v>
      </c>
      <c r="K390">
        <v>6216</v>
      </c>
      <c r="L390">
        <v>1439</v>
      </c>
      <c r="M390" s="1">
        <v>784</v>
      </c>
      <c r="N390">
        <f t="shared" si="12"/>
        <v>886</v>
      </c>
      <c r="O390">
        <v>334</v>
      </c>
      <c r="P390">
        <v>15</v>
      </c>
      <c r="Q390">
        <v>204</v>
      </c>
      <c r="R390">
        <v>745</v>
      </c>
      <c r="S390">
        <v>574</v>
      </c>
      <c r="T390">
        <v>20</v>
      </c>
      <c r="U390">
        <f t="shared" si="13"/>
        <v>4148</v>
      </c>
      <c r="V390">
        <v>1142</v>
      </c>
      <c r="W390">
        <v>35</v>
      </c>
      <c r="X390">
        <v>35</v>
      </c>
      <c r="Y390">
        <v>56</v>
      </c>
      <c r="Z390">
        <v>55</v>
      </c>
      <c r="AA390">
        <v>7</v>
      </c>
      <c r="AB390">
        <v>143</v>
      </c>
      <c r="AC390">
        <v>60</v>
      </c>
      <c r="AD390" s="1">
        <v>73</v>
      </c>
      <c r="AE390" s="1">
        <v>89</v>
      </c>
      <c r="AF390">
        <v>4.6399999999999997</v>
      </c>
    </row>
    <row r="391" spans="1:32" x14ac:dyDescent="0.2">
      <c r="A391" s="52">
        <v>2012</v>
      </c>
      <c r="B391" t="s">
        <v>101</v>
      </c>
      <c r="C391" t="s">
        <v>38</v>
      </c>
      <c r="D391">
        <v>644</v>
      </c>
      <c r="E391">
        <v>162</v>
      </c>
      <c r="F391">
        <v>3</v>
      </c>
      <c r="G391">
        <v>9</v>
      </c>
      <c r="H391">
        <v>159</v>
      </c>
      <c r="I391">
        <v>51</v>
      </c>
      <c r="J391">
        <v>1468.1</v>
      </c>
      <c r="K391">
        <v>6133</v>
      </c>
      <c r="L391">
        <v>1296</v>
      </c>
      <c r="M391" s="1">
        <v>594</v>
      </c>
      <c r="N391">
        <f t="shared" si="12"/>
        <v>842</v>
      </c>
      <c r="O391">
        <v>293</v>
      </c>
      <c r="P391">
        <v>32</v>
      </c>
      <c r="Q391">
        <v>129</v>
      </c>
      <c r="R391">
        <v>543</v>
      </c>
      <c r="S391">
        <v>497</v>
      </c>
      <c r="T391">
        <v>32</v>
      </c>
      <c r="U391">
        <f t="shared" si="13"/>
        <v>4293</v>
      </c>
      <c r="V391">
        <v>1325</v>
      </c>
      <c r="W391">
        <v>69</v>
      </c>
      <c r="X391">
        <v>46</v>
      </c>
      <c r="Y391">
        <v>62</v>
      </c>
      <c r="Z391">
        <v>47</v>
      </c>
      <c r="AA391">
        <v>4</v>
      </c>
      <c r="AB391">
        <v>120</v>
      </c>
      <c r="AC391">
        <v>67</v>
      </c>
      <c r="AD391" s="1">
        <v>98</v>
      </c>
      <c r="AE391" s="1">
        <v>64</v>
      </c>
      <c r="AF391">
        <v>3.33</v>
      </c>
    </row>
    <row r="392" spans="1:32" x14ac:dyDescent="0.2">
      <c r="A392" s="52">
        <v>2013</v>
      </c>
      <c r="B392" t="s">
        <v>37</v>
      </c>
      <c r="C392" t="s">
        <v>163</v>
      </c>
      <c r="D392">
        <v>658</v>
      </c>
      <c r="E392">
        <v>162</v>
      </c>
      <c r="F392">
        <v>4</v>
      </c>
      <c r="G392">
        <v>12</v>
      </c>
      <c r="H392">
        <v>158</v>
      </c>
      <c r="I392">
        <v>41</v>
      </c>
      <c r="J392">
        <v>1457.2</v>
      </c>
      <c r="K392">
        <v>6298</v>
      </c>
      <c r="L392">
        <v>1475</v>
      </c>
      <c r="M392" s="1">
        <v>737</v>
      </c>
      <c r="N392">
        <f t="shared" si="12"/>
        <v>1001</v>
      </c>
      <c r="O392">
        <v>286</v>
      </c>
      <c r="P392">
        <v>21</v>
      </c>
      <c r="Q392">
        <v>167</v>
      </c>
      <c r="R392">
        <v>685</v>
      </c>
      <c r="S392">
        <v>533</v>
      </c>
      <c r="T392">
        <v>36</v>
      </c>
      <c r="U392">
        <f t="shared" si="13"/>
        <v>4245</v>
      </c>
      <c r="V392">
        <v>1200</v>
      </c>
      <c r="W392">
        <v>37</v>
      </c>
      <c r="X392">
        <v>35</v>
      </c>
      <c r="Y392">
        <v>74</v>
      </c>
      <c r="Z392">
        <v>45</v>
      </c>
      <c r="AA392">
        <v>4</v>
      </c>
      <c r="AB392">
        <v>118</v>
      </c>
      <c r="AC392">
        <v>64</v>
      </c>
      <c r="AD392" s="1">
        <v>78</v>
      </c>
      <c r="AE392" s="1">
        <v>84</v>
      </c>
      <c r="AF392">
        <v>4.2300000000000004</v>
      </c>
    </row>
    <row r="393" spans="1:32" x14ac:dyDescent="0.2">
      <c r="A393" s="52">
        <v>2013</v>
      </c>
      <c r="B393" t="s">
        <v>40</v>
      </c>
      <c r="C393" t="s">
        <v>38</v>
      </c>
      <c r="D393">
        <v>689</v>
      </c>
      <c r="E393">
        <v>162</v>
      </c>
      <c r="F393">
        <v>6</v>
      </c>
      <c r="G393">
        <v>7</v>
      </c>
      <c r="H393">
        <v>156</v>
      </c>
      <c r="I393">
        <v>38</v>
      </c>
      <c r="J393">
        <v>1495</v>
      </c>
      <c r="K393">
        <v>6338</v>
      </c>
      <c r="L393">
        <v>1460</v>
      </c>
      <c r="M393" s="1">
        <v>695</v>
      </c>
      <c r="N393">
        <f t="shared" si="12"/>
        <v>959</v>
      </c>
      <c r="O393">
        <v>299</v>
      </c>
      <c r="P393">
        <v>26</v>
      </c>
      <c r="Q393">
        <v>176</v>
      </c>
      <c r="R393">
        <v>651</v>
      </c>
      <c r="S393">
        <v>485</v>
      </c>
      <c r="T393">
        <v>42</v>
      </c>
      <c r="U393">
        <f t="shared" si="13"/>
        <v>4333</v>
      </c>
      <c r="V393">
        <v>1218</v>
      </c>
      <c r="W393">
        <v>64</v>
      </c>
      <c r="X393">
        <v>37</v>
      </c>
      <c r="Y393">
        <v>84</v>
      </c>
      <c r="Z393">
        <v>60</v>
      </c>
      <c r="AA393">
        <v>3</v>
      </c>
      <c r="AB393">
        <v>120</v>
      </c>
      <c r="AC393">
        <v>47</v>
      </c>
      <c r="AD393" s="1">
        <v>81</v>
      </c>
      <c r="AE393" s="1">
        <v>81</v>
      </c>
      <c r="AF393">
        <v>3.92</v>
      </c>
    </row>
    <row r="394" spans="1:32" x14ac:dyDescent="0.2">
      <c r="A394" s="52">
        <v>2013</v>
      </c>
      <c r="B394" t="s">
        <v>42</v>
      </c>
      <c r="C394" t="s">
        <v>38</v>
      </c>
      <c r="D394">
        <v>628</v>
      </c>
      <c r="E394">
        <v>162</v>
      </c>
      <c r="F394">
        <v>1</v>
      </c>
      <c r="G394">
        <v>12</v>
      </c>
      <c r="H394">
        <v>161</v>
      </c>
      <c r="I394">
        <v>53</v>
      </c>
      <c r="J394">
        <v>1450.1</v>
      </c>
      <c r="K394">
        <v>5989</v>
      </c>
      <c r="L394">
        <v>1326</v>
      </c>
      <c r="M394" s="1">
        <v>548</v>
      </c>
      <c r="N394">
        <f t="shared" si="12"/>
        <v>916</v>
      </c>
      <c r="O394">
        <v>259</v>
      </c>
      <c r="P394">
        <v>24</v>
      </c>
      <c r="Q394">
        <v>127</v>
      </c>
      <c r="R394">
        <v>512</v>
      </c>
      <c r="S394">
        <v>409</v>
      </c>
      <c r="T394">
        <v>35</v>
      </c>
      <c r="U394">
        <f t="shared" si="13"/>
        <v>4203</v>
      </c>
      <c r="V394">
        <v>1232</v>
      </c>
      <c r="W394">
        <v>57</v>
      </c>
      <c r="X394">
        <v>28</v>
      </c>
      <c r="Y394">
        <v>50</v>
      </c>
      <c r="Z394">
        <v>51</v>
      </c>
      <c r="AA394">
        <v>3</v>
      </c>
      <c r="AB394">
        <v>115</v>
      </c>
      <c r="AC394">
        <v>51</v>
      </c>
      <c r="AD394" s="1">
        <v>96</v>
      </c>
      <c r="AE394" s="1">
        <v>66</v>
      </c>
      <c r="AF394">
        <v>3.18</v>
      </c>
    </row>
    <row r="395" spans="1:32" x14ac:dyDescent="0.2">
      <c r="A395" s="52">
        <v>2013</v>
      </c>
      <c r="B395" t="s">
        <v>45</v>
      </c>
      <c r="C395" t="s">
        <v>163</v>
      </c>
      <c r="D395">
        <v>635</v>
      </c>
      <c r="E395">
        <v>162</v>
      </c>
      <c r="F395">
        <v>2</v>
      </c>
      <c r="G395">
        <v>6</v>
      </c>
      <c r="H395">
        <v>160</v>
      </c>
      <c r="I395">
        <v>57</v>
      </c>
      <c r="J395">
        <v>1453</v>
      </c>
      <c r="K395">
        <v>6144</v>
      </c>
      <c r="L395">
        <v>1438</v>
      </c>
      <c r="M395" s="1">
        <v>709</v>
      </c>
      <c r="N395">
        <f t="shared" si="12"/>
        <v>931</v>
      </c>
      <c r="O395">
        <v>283</v>
      </c>
      <c r="P395">
        <v>22</v>
      </c>
      <c r="Q395">
        <v>202</v>
      </c>
      <c r="R395">
        <v>678</v>
      </c>
      <c r="S395">
        <v>473</v>
      </c>
      <c r="T395">
        <v>32</v>
      </c>
      <c r="U395">
        <f t="shared" si="13"/>
        <v>4183</v>
      </c>
      <c r="V395">
        <v>1169</v>
      </c>
      <c r="W395">
        <v>33</v>
      </c>
      <c r="X395">
        <v>43</v>
      </c>
      <c r="Y395">
        <v>38</v>
      </c>
      <c r="Z395">
        <v>50</v>
      </c>
      <c r="AA395">
        <v>3</v>
      </c>
      <c r="AB395">
        <v>147</v>
      </c>
      <c r="AC395">
        <v>44</v>
      </c>
      <c r="AD395" s="1">
        <v>85</v>
      </c>
      <c r="AE395" s="1">
        <v>77</v>
      </c>
      <c r="AF395">
        <v>4.2</v>
      </c>
    </row>
    <row r="396" spans="1:32" x14ac:dyDescent="0.2">
      <c r="A396" s="52">
        <v>2013</v>
      </c>
      <c r="B396" t="s">
        <v>47</v>
      </c>
      <c r="C396" t="s">
        <v>163</v>
      </c>
      <c r="D396">
        <v>612</v>
      </c>
      <c r="E396">
        <v>162</v>
      </c>
      <c r="F396">
        <v>5</v>
      </c>
      <c r="G396">
        <v>8</v>
      </c>
      <c r="H396">
        <v>157</v>
      </c>
      <c r="I396">
        <v>33</v>
      </c>
      <c r="J396">
        <v>1454</v>
      </c>
      <c r="K396">
        <v>6143</v>
      </c>
      <c r="L396">
        <v>1366</v>
      </c>
      <c r="M396" s="1">
        <v>656</v>
      </c>
      <c r="N396">
        <f t="shared" si="12"/>
        <v>903</v>
      </c>
      <c r="O396">
        <v>281</v>
      </c>
      <c r="P396">
        <v>26</v>
      </c>
      <c r="Q396">
        <v>156</v>
      </c>
      <c r="R396">
        <v>613</v>
      </c>
      <c r="S396">
        <v>524</v>
      </c>
      <c r="T396">
        <v>10</v>
      </c>
      <c r="U396">
        <f t="shared" si="13"/>
        <v>4206</v>
      </c>
      <c r="V396">
        <v>1294</v>
      </c>
      <c r="W396">
        <v>21</v>
      </c>
      <c r="X396">
        <v>42</v>
      </c>
      <c r="Y396">
        <v>47</v>
      </c>
      <c r="Z396">
        <v>47</v>
      </c>
      <c r="AA396">
        <v>5</v>
      </c>
      <c r="AB396">
        <v>118</v>
      </c>
      <c r="AC396">
        <v>47</v>
      </c>
      <c r="AD396" s="1">
        <v>97</v>
      </c>
      <c r="AE396" s="1">
        <v>65</v>
      </c>
      <c r="AF396">
        <v>3.79</v>
      </c>
    </row>
    <row r="397" spans="1:32" x14ac:dyDescent="0.2">
      <c r="A397" s="52">
        <v>2013</v>
      </c>
      <c r="B397" t="s">
        <v>157</v>
      </c>
      <c r="C397" t="s">
        <v>38</v>
      </c>
      <c r="D397">
        <v>651</v>
      </c>
      <c r="E397">
        <v>162</v>
      </c>
      <c r="F397">
        <v>3</v>
      </c>
      <c r="G397">
        <v>6</v>
      </c>
      <c r="H397">
        <v>159</v>
      </c>
      <c r="I397">
        <v>39</v>
      </c>
      <c r="J397">
        <v>1448</v>
      </c>
      <c r="K397">
        <v>6149</v>
      </c>
      <c r="L397">
        <v>1332</v>
      </c>
      <c r="M397" s="1">
        <v>689</v>
      </c>
      <c r="N397">
        <f t="shared" si="12"/>
        <v>838</v>
      </c>
      <c r="O397">
        <v>301</v>
      </c>
      <c r="P397">
        <v>33</v>
      </c>
      <c r="Q397">
        <v>160</v>
      </c>
      <c r="R397">
        <v>643</v>
      </c>
      <c r="S397">
        <v>540</v>
      </c>
      <c r="T397">
        <v>43</v>
      </c>
      <c r="U397">
        <f t="shared" si="13"/>
        <v>4215</v>
      </c>
      <c r="V397">
        <v>1184</v>
      </c>
      <c r="W397">
        <v>62</v>
      </c>
      <c r="X397">
        <v>35</v>
      </c>
      <c r="Y397">
        <v>59</v>
      </c>
      <c r="Z397">
        <v>62</v>
      </c>
      <c r="AA397">
        <v>4</v>
      </c>
      <c r="AB397">
        <v>106</v>
      </c>
      <c r="AC397">
        <v>71</v>
      </c>
      <c r="AD397" s="1">
        <v>66</v>
      </c>
      <c r="AE397" s="1">
        <v>96</v>
      </c>
      <c r="AF397">
        <v>4</v>
      </c>
    </row>
    <row r="398" spans="1:32" x14ac:dyDescent="0.2">
      <c r="A398" s="52">
        <v>2013</v>
      </c>
      <c r="B398" t="s">
        <v>157</v>
      </c>
      <c r="C398" t="s">
        <v>163</v>
      </c>
      <c r="D398">
        <v>632</v>
      </c>
      <c r="E398">
        <v>162</v>
      </c>
      <c r="F398">
        <v>5</v>
      </c>
      <c r="G398">
        <v>5</v>
      </c>
      <c r="H398">
        <v>157</v>
      </c>
      <c r="I398">
        <v>40</v>
      </c>
      <c r="J398">
        <v>1455</v>
      </c>
      <c r="K398">
        <v>6214</v>
      </c>
      <c r="L398">
        <v>1424</v>
      </c>
      <c r="M398" s="1">
        <v>723</v>
      </c>
      <c r="N398">
        <f t="shared" si="12"/>
        <v>964</v>
      </c>
      <c r="O398">
        <v>256</v>
      </c>
      <c r="P398">
        <v>22</v>
      </c>
      <c r="Q398">
        <v>182</v>
      </c>
      <c r="R398">
        <v>643</v>
      </c>
      <c r="S398">
        <v>509</v>
      </c>
      <c r="T398">
        <v>24</v>
      </c>
      <c r="U398">
        <f t="shared" si="13"/>
        <v>4221</v>
      </c>
      <c r="V398">
        <v>1249</v>
      </c>
      <c r="W398">
        <v>33</v>
      </c>
      <c r="X398">
        <v>48</v>
      </c>
      <c r="Y398">
        <v>62</v>
      </c>
      <c r="Z398">
        <v>60</v>
      </c>
      <c r="AA398">
        <v>4</v>
      </c>
      <c r="AB398">
        <v>129</v>
      </c>
      <c r="AC398">
        <v>72</v>
      </c>
      <c r="AD398" s="1">
        <v>63</v>
      </c>
      <c r="AE398" s="1">
        <v>99</v>
      </c>
      <c r="AF398">
        <v>3.98</v>
      </c>
    </row>
    <row r="399" spans="1:32" x14ac:dyDescent="0.2">
      <c r="A399" s="52">
        <v>2013</v>
      </c>
      <c r="B399" t="s">
        <v>53</v>
      </c>
      <c r="C399" t="s">
        <v>38</v>
      </c>
      <c r="D399">
        <v>623</v>
      </c>
      <c r="E399">
        <v>162</v>
      </c>
      <c r="F399">
        <v>5</v>
      </c>
      <c r="G399">
        <v>17</v>
      </c>
      <c r="H399">
        <v>157</v>
      </c>
      <c r="I399">
        <v>43</v>
      </c>
      <c r="J399">
        <v>1473.2</v>
      </c>
      <c r="K399">
        <v>6077</v>
      </c>
      <c r="L399">
        <v>1294</v>
      </c>
      <c r="M399" s="1">
        <v>589</v>
      </c>
      <c r="N399">
        <f t="shared" si="12"/>
        <v>847</v>
      </c>
      <c r="O399">
        <v>252</v>
      </c>
      <c r="P399">
        <v>25</v>
      </c>
      <c r="Q399">
        <v>170</v>
      </c>
      <c r="R399">
        <v>554</v>
      </c>
      <c r="S399">
        <v>435</v>
      </c>
      <c r="T399">
        <v>28</v>
      </c>
      <c r="U399">
        <f t="shared" si="13"/>
        <v>4282</v>
      </c>
      <c r="V399">
        <v>1296</v>
      </c>
      <c r="W399">
        <v>62</v>
      </c>
      <c r="X399">
        <v>36</v>
      </c>
      <c r="Y399">
        <v>44</v>
      </c>
      <c r="Z399">
        <v>66</v>
      </c>
      <c r="AA399">
        <v>5</v>
      </c>
      <c r="AB399">
        <v>120</v>
      </c>
      <c r="AC399">
        <v>54</v>
      </c>
      <c r="AD399" s="1">
        <v>90</v>
      </c>
      <c r="AE399" s="1">
        <v>72</v>
      </c>
      <c r="AF399">
        <v>3.38</v>
      </c>
    </row>
    <row r="400" spans="1:32" x14ac:dyDescent="0.2">
      <c r="A400" s="52">
        <v>2013</v>
      </c>
      <c r="B400" t="s">
        <v>55</v>
      </c>
      <c r="C400" t="s">
        <v>163</v>
      </c>
      <c r="D400">
        <v>702</v>
      </c>
      <c r="E400">
        <v>162</v>
      </c>
      <c r="F400">
        <v>3</v>
      </c>
      <c r="G400">
        <v>16</v>
      </c>
      <c r="H400">
        <v>159</v>
      </c>
      <c r="I400">
        <v>38</v>
      </c>
      <c r="J400">
        <v>1441.1</v>
      </c>
      <c r="K400">
        <v>6154</v>
      </c>
      <c r="L400">
        <v>1359</v>
      </c>
      <c r="M400" s="1">
        <v>662</v>
      </c>
      <c r="N400">
        <f t="shared" si="12"/>
        <v>924</v>
      </c>
      <c r="O400">
        <v>267</v>
      </c>
      <c r="P400">
        <v>21</v>
      </c>
      <c r="Q400">
        <v>147</v>
      </c>
      <c r="R400">
        <v>611</v>
      </c>
      <c r="S400">
        <v>554</v>
      </c>
      <c r="T400">
        <v>26</v>
      </c>
      <c r="U400">
        <f t="shared" si="13"/>
        <v>4183</v>
      </c>
      <c r="V400">
        <v>1379</v>
      </c>
      <c r="W400">
        <v>38</v>
      </c>
      <c r="X400">
        <v>36</v>
      </c>
      <c r="Y400">
        <v>71</v>
      </c>
      <c r="Z400">
        <v>58</v>
      </c>
      <c r="AA400">
        <v>3</v>
      </c>
      <c r="AB400">
        <v>118</v>
      </c>
      <c r="AC400">
        <v>64</v>
      </c>
      <c r="AD400" s="1">
        <v>92</v>
      </c>
      <c r="AE400" s="1">
        <v>70</v>
      </c>
      <c r="AF400">
        <v>3.82</v>
      </c>
    </row>
    <row r="401" spans="1:32" x14ac:dyDescent="0.2">
      <c r="A401" s="52">
        <v>2013</v>
      </c>
      <c r="B401" t="s">
        <v>57</v>
      </c>
      <c r="C401" t="s">
        <v>38</v>
      </c>
      <c r="D401">
        <v>665</v>
      </c>
      <c r="E401">
        <v>162</v>
      </c>
      <c r="F401">
        <v>1</v>
      </c>
      <c r="G401">
        <v>5</v>
      </c>
      <c r="H401">
        <v>161</v>
      </c>
      <c r="I401">
        <v>35</v>
      </c>
      <c r="J401">
        <v>1436</v>
      </c>
      <c r="K401">
        <v>6248</v>
      </c>
      <c r="L401">
        <v>1545</v>
      </c>
      <c r="M401" s="1">
        <v>760</v>
      </c>
      <c r="N401">
        <f t="shared" si="12"/>
        <v>1029</v>
      </c>
      <c r="O401">
        <v>348</v>
      </c>
      <c r="P401">
        <v>32</v>
      </c>
      <c r="Q401">
        <v>136</v>
      </c>
      <c r="R401">
        <v>708</v>
      </c>
      <c r="S401">
        <v>517</v>
      </c>
      <c r="T401">
        <v>52</v>
      </c>
      <c r="U401">
        <f t="shared" si="13"/>
        <v>4146</v>
      </c>
      <c r="V401">
        <v>1064</v>
      </c>
      <c r="W401">
        <v>59</v>
      </c>
      <c r="X401">
        <v>46</v>
      </c>
      <c r="Y401">
        <v>62</v>
      </c>
      <c r="Z401">
        <v>40</v>
      </c>
      <c r="AA401">
        <v>15</v>
      </c>
      <c r="AB401">
        <v>139</v>
      </c>
      <c r="AC401">
        <v>58</v>
      </c>
      <c r="AD401" s="1">
        <v>74</v>
      </c>
      <c r="AE401" s="1">
        <v>88</v>
      </c>
      <c r="AF401">
        <v>4.4400000000000004</v>
      </c>
    </row>
    <row r="402" spans="1:32" x14ac:dyDescent="0.2">
      <c r="A402" s="52">
        <v>2013</v>
      </c>
      <c r="B402" t="s">
        <v>59</v>
      </c>
      <c r="C402" t="s">
        <v>163</v>
      </c>
      <c r="D402">
        <v>590</v>
      </c>
      <c r="E402">
        <v>162</v>
      </c>
      <c r="F402">
        <v>3</v>
      </c>
      <c r="G402">
        <v>12</v>
      </c>
      <c r="H402">
        <v>159</v>
      </c>
      <c r="I402">
        <v>39</v>
      </c>
      <c r="J402">
        <v>1462.2</v>
      </c>
      <c r="K402">
        <v>6119</v>
      </c>
      <c r="L402">
        <v>1369</v>
      </c>
      <c r="M402" s="1">
        <v>624</v>
      </c>
      <c r="N402">
        <f t="shared" si="12"/>
        <v>954</v>
      </c>
      <c r="O402">
        <v>259</v>
      </c>
      <c r="P402">
        <v>28</v>
      </c>
      <c r="Q402">
        <v>128</v>
      </c>
      <c r="R402">
        <v>587</v>
      </c>
      <c r="S402">
        <v>462</v>
      </c>
      <c r="T402">
        <v>29</v>
      </c>
      <c r="U402">
        <f t="shared" si="13"/>
        <v>4246</v>
      </c>
      <c r="V402">
        <v>1428</v>
      </c>
      <c r="W402">
        <v>33</v>
      </c>
      <c r="X402">
        <v>42</v>
      </c>
      <c r="Y402">
        <v>63</v>
      </c>
      <c r="Z402">
        <v>42</v>
      </c>
      <c r="AA402">
        <v>7</v>
      </c>
      <c r="AB402">
        <v>117</v>
      </c>
      <c r="AC402">
        <v>41</v>
      </c>
      <c r="AD402" s="1">
        <v>93</v>
      </c>
      <c r="AE402" s="1">
        <v>69</v>
      </c>
      <c r="AF402">
        <v>3.61</v>
      </c>
    </row>
    <row r="403" spans="1:32" x14ac:dyDescent="0.2">
      <c r="A403" s="52">
        <v>2013</v>
      </c>
      <c r="B403" t="s">
        <v>63</v>
      </c>
      <c r="C403" t="s">
        <v>163</v>
      </c>
      <c r="D403">
        <v>609</v>
      </c>
      <c r="E403">
        <v>162</v>
      </c>
      <c r="F403">
        <v>2</v>
      </c>
      <c r="G403">
        <v>5</v>
      </c>
      <c r="H403">
        <v>160</v>
      </c>
      <c r="I403">
        <v>32</v>
      </c>
      <c r="J403">
        <v>1440</v>
      </c>
      <c r="K403">
        <v>6370</v>
      </c>
      <c r="L403">
        <v>1530</v>
      </c>
      <c r="M403" s="1">
        <v>848</v>
      </c>
      <c r="N403">
        <f t="shared" si="12"/>
        <v>984</v>
      </c>
      <c r="O403">
        <v>314</v>
      </c>
      <c r="P403">
        <v>41</v>
      </c>
      <c r="Q403">
        <v>191</v>
      </c>
      <c r="R403">
        <v>766</v>
      </c>
      <c r="S403">
        <v>616</v>
      </c>
      <c r="T403">
        <v>32</v>
      </c>
      <c r="U403">
        <f t="shared" si="13"/>
        <v>4168</v>
      </c>
      <c r="V403">
        <v>1084</v>
      </c>
      <c r="W403">
        <v>31</v>
      </c>
      <c r="X403">
        <v>46</v>
      </c>
      <c r="Y403">
        <v>61</v>
      </c>
      <c r="Z403">
        <v>56</v>
      </c>
      <c r="AA403">
        <v>6</v>
      </c>
      <c r="AB403">
        <v>145</v>
      </c>
      <c r="AC403">
        <v>77</v>
      </c>
      <c r="AD403" s="1">
        <v>51</v>
      </c>
      <c r="AE403" s="1">
        <v>111</v>
      </c>
      <c r="AF403">
        <v>4.79</v>
      </c>
    </row>
    <row r="404" spans="1:32" x14ac:dyDescent="0.2">
      <c r="A404" s="52">
        <v>2013</v>
      </c>
      <c r="B404" t="s">
        <v>164</v>
      </c>
      <c r="C404" t="s">
        <v>163</v>
      </c>
      <c r="D404">
        <v>589</v>
      </c>
      <c r="E404">
        <v>162</v>
      </c>
      <c r="F404">
        <v>5</v>
      </c>
      <c r="G404">
        <v>12</v>
      </c>
      <c r="H404">
        <v>157</v>
      </c>
      <c r="I404">
        <v>52</v>
      </c>
      <c r="J404">
        <v>1448.1</v>
      </c>
      <c r="K404">
        <v>6049</v>
      </c>
      <c r="L404">
        <v>1366</v>
      </c>
      <c r="M404" s="1">
        <v>601</v>
      </c>
      <c r="N404">
        <f t="shared" si="12"/>
        <v>949</v>
      </c>
      <c r="O404">
        <v>238</v>
      </c>
      <c r="P404">
        <v>24</v>
      </c>
      <c r="Q404">
        <v>155</v>
      </c>
      <c r="R404">
        <v>555</v>
      </c>
      <c r="S404">
        <v>469</v>
      </c>
      <c r="T404">
        <v>21</v>
      </c>
      <c r="U404">
        <f t="shared" si="13"/>
        <v>4173</v>
      </c>
      <c r="V404">
        <v>1208</v>
      </c>
      <c r="W404">
        <v>25</v>
      </c>
      <c r="X404">
        <v>47</v>
      </c>
      <c r="Y404">
        <v>60</v>
      </c>
      <c r="Z404">
        <v>41</v>
      </c>
      <c r="AA404">
        <v>4</v>
      </c>
      <c r="AB404">
        <v>120</v>
      </c>
      <c r="AC404">
        <v>50</v>
      </c>
      <c r="AD404" s="1">
        <v>86</v>
      </c>
      <c r="AE404" s="1">
        <v>76</v>
      </c>
      <c r="AF404">
        <v>3.45</v>
      </c>
    </row>
    <row r="405" spans="1:32" x14ac:dyDescent="0.2">
      <c r="A405" s="52">
        <v>2013</v>
      </c>
      <c r="B405" t="s">
        <v>159</v>
      </c>
      <c r="C405" t="s">
        <v>38</v>
      </c>
      <c r="D405">
        <v>666</v>
      </c>
      <c r="E405">
        <v>162</v>
      </c>
      <c r="F405">
        <v>7</v>
      </c>
      <c r="G405">
        <v>22</v>
      </c>
      <c r="H405">
        <v>155</v>
      </c>
      <c r="I405">
        <v>46</v>
      </c>
      <c r="J405">
        <v>1450.1</v>
      </c>
      <c r="K405">
        <v>6032</v>
      </c>
      <c r="L405">
        <v>1321</v>
      </c>
      <c r="M405" s="1">
        <v>582</v>
      </c>
      <c r="N405">
        <f t="shared" si="12"/>
        <v>933</v>
      </c>
      <c r="O405">
        <v>243</v>
      </c>
      <c r="P405">
        <v>18</v>
      </c>
      <c r="Q405">
        <v>127</v>
      </c>
      <c r="R405">
        <v>524</v>
      </c>
      <c r="S405">
        <v>460</v>
      </c>
      <c r="T405">
        <v>44</v>
      </c>
      <c r="U405">
        <f t="shared" si="13"/>
        <v>4208</v>
      </c>
      <c r="V405">
        <v>1292</v>
      </c>
      <c r="W405">
        <v>64</v>
      </c>
      <c r="X405">
        <v>29</v>
      </c>
      <c r="Y405">
        <v>66</v>
      </c>
      <c r="Z405">
        <v>43</v>
      </c>
      <c r="AA405">
        <v>3</v>
      </c>
      <c r="AB405">
        <v>137</v>
      </c>
      <c r="AC405">
        <v>81</v>
      </c>
      <c r="AD405" s="1">
        <v>92</v>
      </c>
      <c r="AE405" s="1">
        <v>70</v>
      </c>
      <c r="AF405">
        <v>3.25</v>
      </c>
    </row>
    <row r="406" spans="1:32" x14ac:dyDescent="0.2">
      <c r="A406" s="52">
        <v>2013</v>
      </c>
      <c r="B406" t="s">
        <v>104</v>
      </c>
      <c r="C406" t="s">
        <v>38</v>
      </c>
      <c r="D406">
        <v>633</v>
      </c>
      <c r="E406">
        <v>162</v>
      </c>
      <c r="F406">
        <v>2</v>
      </c>
      <c r="G406">
        <v>13</v>
      </c>
      <c r="H406">
        <v>160</v>
      </c>
      <c r="I406">
        <v>36</v>
      </c>
      <c r="J406">
        <v>1460</v>
      </c>
      <c r="K406">
        <v>6166</v>
      </c>
      <c r="L406">
        <v>1376</v>
      </c>
      <c r="M406" s="1">
        <v>646</v>
      </c>
      <c r="N406">
        <f t="shared" si="12"/>
        <v>937</v>
      </c>
      <c r="O406">
        <v>270</v>
      </c>
      <c r="P406">
        <v>48</v>
      </c>
      <c r="Q406">
        <v>121</v>
      </c>
      <c r="R406">
        <v>602</v>
      </c>
      <c r="S406">
        <v>526</v>
      </c>
      <c r="T406">
        <v>58</v>
      </c>
      <c r="U406">
        <f t="shared" si="13"/>
        <v>4217</v>
      </c>
      <c r="V406">
        <v>1177</v>
      </c>
      <c r="W406">
        <v>63</v>
      </c>
      <c r="X406">
        <v>46</v>
      </c>
      <c r="Y406">
        <v>53</v>
      </c>
      <c r="Z406">
        <v>47</v>
      </c>
      <c r="AA406">
        <v>2</v>
      </c>
      <c r="AB406">
        <v>125</v>
      </c>
      <c r="AC406">
        <v>48</v>
      </c>
      <c r="AD406" s="1">
        <v>62</v>
      </c>
      <c r="AE406" s="1">
        <v>100</v>
      </c>
      <c r="AF406">
        <v>3.71</v>
      </c>
    </row>
    <row r="407" spans="1:32" x14ac:dyDescent="0.2">
      <c r="A407" s="52">
        <v>2013</v>
      </c>
      <c r="B407" t="s">
        <v>69</v>
      </c>
      <c r="C407" t="s">
        <v>38</v>
      </c>
      <c r="D407">
        <v>663</v>
      </c>
      <c r="E407">
        <v>162</v>
      </c>
      <c r="F407">
        <v>4</v>
      </c>
      <c r="G407">
        <v>15</v>
      </c>
      <c r="H407">
        <v>158</v>
      </c>
      <c r="I407">
        <v>40</v>
      </c>
      <c r="J407">
        <v>1442.2</v>
      </c>
      <c r="K407">
        <v>6100</v>
      </c>
      <c r="L407">
        <v>1401</v>
      </c>
      <c r="M407" s="1">
        <v>687</v>
      </c>
      <c r="N407">
        <f t="shared" si="12"/>
        <v>994</v>
      </c>
      <c r="O407">
        <v>215</v>
      </c>
      <c r="P407">
        <v>17</v>
      </c>
      <c r="Q407">
        <v>175</v>
      </c>
      <c r="R407">
        <v>615</v>
      </c>
      <c r="S407">
        <v>466</v>
      </c>
      <c r="T407">
        <v>29</v>
      </c>
      <c r="U407">
        <f t="shared" si="13"/>
        <v>4190</v>
      </c>
      <c r="V407">
        <v>1125</v>
      </c>
      <c r="W407">
        <v>64</v>
      </c>
      <c r="X407">
        <v>40</v>
      </c>
      <c r="Y407">
        <v>51</v>
      </c>
      <c r="Z407">
        <v>43</v>
      </c>
      <c r="AA407">
        <v>2</v>
      </c>
      <c r="AB407">
        <v>125</v>
      </c>
      <c r="AC407">
        <v>80</v>
      </c>
      <c r="AD407" s="1">
        <v>74</v>
      </c>
      <c r="AE407" s="1">
        <v>88</v>
      </c>
      <c r="AF407">
        <v>3.84</v>
      </c>
    </row>
    <row r="408" spans="1:32" x14ac:dyDescent="0.2">
      <c r="A408" s="52">
        <v>2013</v>
      </c>
      <c r="B408" t="s">
        <v>71</v>
      </c>
      <c r="C408" t="s">
        <v>163</v>
      </c>
      <c r="D408">
        <v>673</v>
      </c>
      <c r="E408">
        <v>162</v>
      </c>
      <c r="F408">
        <v>1</v>
      </c>
      <c r="G408">
        <v>7</v>
      </c>
      <c r="H408">
        <v>161</v>
      </c>
      <c r="I408">
        <v>40</v>
      </c>
      <c r="J408">
        <v>1450.1</v>
      </c>
      <c r="K408">
        <v>6257</v>
      </c>
      <c r="L408">
        <v>1591</v>
      </c>
      <c r="M408" s="1">
        <v>788</v>
      </c>
      <c r="N408">
        <f t="shared" si="12"/>
        <v>1083</v>
      </c>
      <c r="O408">
        <v>310</v>
      </c>
      <c r="P408">
        <v>30</v>
      </c>
      <c r="Q408">
        <v>168</v>
      </c>
      <c r="R408">
        <v>733</v>
      </c>
      <c r="S408">
        <v>458</v>
      </c>
      <c r="T408">
        <v>31</v>
      </c>
      <c r="U408">
        <f t="shared" si="13"/>
        <v>4164</v>
      </c>
      <c r="V408">
        <v>985</v>
      </c>
      <c r="W408">
        <v>27</v>
      </c>
      <c r="X408">
        <v>49</v>
      </c>
      <c r="Y408">
        <v>50</v>
      </c>
      <c r="Z408">
        <v>44</v>
      </c>
      <c r="AA408">
        <v>4</v>
      </c>
      <c r="AB408">
        <v>147</v>
      </c>
      <c r="AC408">
        <v>56</v>
      </c>
      <c r="AD408" s="1">
        <v>66</v>
      </c>
      <c r="AE408" s="1">
        <v>96</v>
      </c>
      <c r="AF408">
        <v>4.55</v>
      </c>
    </row>
    <row r="409" spans="1:32" x14ac:dyDescent="0.2">
      <c r="A409" s="52">
        <v>2013</v>
      </c>
      <c r="B409" t="s">
        <v>158</v>
      </c>
      <c r="C409" t="s">
        <v>38</v>
      </c>
      <c r="D409">
        <v>696</v>
      </c>
      <c r="E409">
        <v>162</v>
      </c>
      <c r="F409">
        <v>4</v>
      </c>
      <c r="G409">
        <v>10</v>
      </c>
      <c r="H409">
        <v>158</v>
      </c>
      <c r="I409">
        <v>40</v>
      </c>
      <c r="J409">
        <v>1476.2</v>
      </c>
      <c r="K409">
        <v>6249</v>
      </c>
      <c r="L409">
        <v>1442</v>
      </c>
      <c r="M409" s="1">
        <v>684</v>
      </c>
      <c r="N409">
        <f t="shared" si="12"/>
        <v>999</v>
      </c>
      <c r="O409">
        <v>272</v>
      </c>
      <c r="P409">
        <v>19</v>
      </c>
      <c r="Q409">
        <v>152</v>
      </c>
      <c r="R409">
        <v>618</v>
      </c>
      <c r="S409">
        <v>458</v>
      </c>
      <c r="T409">
        <v>38</v>
      </c>
      <c r="U409">
        <f t="shared" si="13"/>
        <v>4295</v>
      </c>
      <c r="V409">
        <v>1209</v>
      </c>
      <c r="W409">
        <v>66</v>
      </c>
      <c r="X409">
        <v>48</v>
      </c>
      <c r="Y409">
        <v>47</v>
      </c>
      <c r="Z409">
        <v>54</v>
      </c>
      <c r="AA409">
        <v>3</v>
      </c>
      <c r="AB409">
        <v>116</v>
      </c>
      <c r="AC409">
        <v>67</v>
      </c>
      <c r="AD409" s="1">
        <v>74</v>
      </c>
      <c r="AE409" s="1">
        <v>88</v>
      </c>
      <c r="AF409">
        <v>3.77</v>
      </c>
    </row>
    <row r="410" spans="1:32" x14ac:dyDescent="0.2">
      <c r="A410" s="52">
        <v>2013</v>
      </c>
      <c r="B410" t="s">
        <v>158</v>
      </c>
      <c r="C410" t="s">
        <v>163</v>
      </c>
      <c r="D410">
        <v>590</v>
      </c>
      <c r="E410">
        <v>162</v>
      </c>
      <c r="F410">
        <v>7</v>
      </c>
      <c r="G410">
        <v>10</v>
      </c>
      <c r="H410">
        <v>155</v>
      </c>
      <c r="I410">
        <v>49</v>
      </c>
      <c r="J410">
        <v>1447.1</v>
      </c>
      <c r="K410">
        <v>6128</v>
      </c>
      <c r="L410">
        <v>1452</v>
      </c>
      <c r="M410" s="1">
        <v>671</v>
      </c>
      <c r="N410">
        <f t="shared" si="12"/>
        <v>964</v>
      </c>
      <c r="O410">
        <v>303</v>
      </c>
      <c r="P410">
        <v>14</v>
      </c>
      <c r="Q410">
        <v>171</v>
      </c>
      <c r="R410">
        <v>633</v>
      </c>
      <c r="S410">
        <v>437</v>
      </c>
      <c r="T410">
        <v>34</v>
      </c>
      <c r="U410">
        <f t="shared" si="13"/>
        <v>4188</v>
      </c>
      <c r="V410">
        <v>1233</v>
      </c>
      <c r="W410">
        <v>29</v>
      </c>
      <c r="X410">
        <v>46</v>
      </c>
      <c r="Y410">
        <v>57</v>
      </c>
      <c r="Z410">
        <v>51</v>
      </c>
      <c r="AA410">
        <v>1</v>
      </c>
      <c r="AB410">
        <v>117</v>
      </c>
      <c r="AC410">
        <v>46</v>
      </c>
      <c r="AD410" s="1">
        <v>85</v>
      </c>
      <c r="AE410" s="1">
        <v>77</v>
      </c>
      <c r="AF410">
        <v>3.94</v>
      </c>
    </row>
    <row r="411" spans="1:32" x14ac:dyDescent="0.2">
      <c r="A411" s="52">
        <v>2013</v>
      </c>
      <c r="B411" t="s">
        <v>79</v>
      </c>
      <c r="C411" t="s">
        <v>163</v>
      </c>
      <c r="D411">
        <v>609</v>
      </c>
      <c r="E411">
        <v>162</v>
      </c>
      <c r="F411">
        <v>6</v>
      </c>
      <c r="G411">
        <v>13</v>
      </c>
      <c r="H411">
        <v>156</v>
      </c>
      <c r="I411">
        <v>46</v>
      </c>
      <c r="J411">
        <v>1452</v>
      </c>
      <c r="K411">
        <v>6069</v>
      </c>
      <c r="L411">
        <v>1339</v>
      </c>
      <c r="M411" s="1">
        <v>625</v>
      </c>
      <c r="N411">
        <f t="shared" si="12"/>
        <v>928</v>
      </c>
      <c r="O411">
        <v>229</v>
      </c>
      <c r="P411">
        <v>19</v>
      </c>
      <c r="Q411">
        <v>163</v>
      </c>
      <c r="R411">
        <v>574</v>
      </c>
      <c r="S411">
        <v>428</v>
      </c>
      <c r="T411">
        <v>23</v>
      </c>
      <c r="U411">
        <f t="shared" si="13"/>
        <v>4267</v>
      </c>
      <c r="V411">
        <v>1183</v>
      </c>
      <c r="W411">
        <v>35</v>
      </c>
      <c r="X411">
        <v>42</v>
      </c>
      <c r="Y411">
        <v>56</v>
      </c>
      <c r="Z411">
        <v>35</v>
      </c>
      <c r="AA411">
        <v>1</v>
      </c>
      <c r="AB411">
        <v>96</v>
      </c>
      <c r="AC411">
        <v>72</v>
      </c>
      <c r="AD411" s="1">
        <v>96</v>
      </c>
      <c r="AE411" s="1">
        <v>66</v>
      </c>
      <c r="AF411">
        <v>3.56</v>
      </c>
    </row>
    <row r="412" spans="1:32" x14ac:dyDescent="0.2">
      <c r="A412" s="52">
        <v>2013</v>
      </c>
      <c r="B412" t="s">
        <v>81</v>
      </c>
      <c r="C412" t="s">
        <v>38</v>
      </c>
      <c r="D412">
        <v>628</v>
      </c>
      <c r="E412">
        <v>162</v>
      </c>
      <c r="F412">
        <v>6</v>
      </c>
      <c r="G412">
        <v>3</v>
      </c>
      <c r="H412">
        <v>156</v>
      </c>
      <c r="I412">
        <v>32</v>
      </c>
      <c r="J412">
        <v>1436.1</v>
      </c>
      <c r="K412">
        <v>6213</v>
      </c>
      <c r="L412">
        <v>1465</v>
      </c>
      <c r="M412" s="1">
        <v>749</v>
      </c>
      <c r="N412">
        <f t="shared" si="12"/>
        <v>969</v>
      </c>
      <c r="O412">
        <v>308</v>
      </c>
      <c r="P412">
        <v>36</v>
      </c>
      <c r="Q412">
        <v>152</v>
      </c>
      <c r="R412">
        <v>689</v>
      </c>
      <c r="S412">
        <v>506</v>
      </c>
      <c r="T412">
        <v>33</v>
      </c>
      <c r="U412">
        <f t="shared" si="13"/>
        <v>4180</v>
      </c>
      <c r="V412">
        <v>1199</v>
      </c>
      <c r="W412">
        <v>63</v>
      </c>
      <c r="X412">
        <v>43</v>
      </c>
      <c r="Y412">
        <v>48</v>
      </c>
      <c r="Z412">
        <v>62</v>
      </c>
      <c r="AA412">
        <v>6</v>
      </c>
      <c r="AB412">
        <v>122</v>
      </c>
      <c r="AC412">
        <v>71</v>
      </c>
      <c r="AD412" s="1">
        <v>73</v>
      </c>
      <c r="AE412" s="1">
        <v>89</v>
      </c>
      <c r="AF412">
        <v>4.32</v>
      </c>
    </row>
    <row r="413" spans="1:32" x14ac:dyDescent="0.2">
      <c r="A413" s="52">
        <v>2013</v>
      </c>
      <c r="B413" t="s">
        <v>83</v>
      </c>
      <c r="C413" t="s">
        <v>38</v>
      </c>
      <c r="D413">
        <v>627</v>
      </c>
      <c r="E413">
        <v>162</v>
      </c>
      <c r="F413">
        <v>3</v>
      </c>
      <c r="G413">
        <v>16</v>
      </c>
      <c r="H413">
        <v>159</v>
      </c>
      <c r="I413">
        <v>55</v>
      </c>
      <c r="J413">
        <v>1470.2</v>
      </c>
      <c r="K413">
        <v>6147</v>
      </c>
      <c r="L413">
        <v>1299</v>
      </c>
      <c r="M413" s="1">
        <v>577</v>
      </c>
      <c r="N413">
        <f t="shared" si="12"/>
        <v>956</v>
      </c>
      <c r="O413">
        <v>223</v>
      </c>
      <c r="P413">
        <v>19</v>
      </c>
      <c r="Q413">
        <v>101</v>
      </c>
      <c r="R413">
        <v>533</v>
      </c>
      <c r="S413">
        <v>515</v>
      </c>
      <c r="T413">
        <v>26</v>
      </c>
      <c r="U413">
        <f t="shared" si="13"/>
        <v>4263</v>
      </c>
      <c r="V413">
        <v>1261</v>
      </c>
      <c r="W413">
        <v>54</v>
      </c>
      <c r="X413">
        <v>40</v>
      </c>
      <c r="Y413">
        <v>81</v>
      </c>
      <c r="Z413">
        <v>70</v>
      </c>
      <c r="AA413">
        <v>6</v>
      </c>
      <c r="AB413">
        <v>134</v>
      </c>
      <c r="AC413">
        <v>74</v>
      </c>
      <c r="AD413" s="1">
        <v>94</v>
      </c>
      <c r="AE413" s="1">
        <v>68</v>
      </c>
      <c r="AF413">
        <v>3.26</v>
      </c>
    </row>
    <row r="414" spans="1:32" x14ac:dyDescent="0.2">
      <c r="A414" s="52">
        <v>2013</v>
      </c>
      <c r="B414" t="s">
        <v>161</v>
      </c>
      <c r="C414" t="s">
        <v>38</v>
      </c>
      <c r="D414">
        <v>650</v>
      </c>
      <c r="E414">
        <v>162</v>
      </c>
      <c r="F414">
        <v>3</v>
      </c>
      <c r="G414">
        <v>6</v>
      </c>
      <c r="H414">
        <v>159</v>
      </c>
      <c r="I414">
        <v>40</v>
      </c>
      <c r="J414">
        <v>1455</v>
      </c>
      <c r="K414">
        <v>6179</v>
      </c>
      <c r="L414">
        <v>1407</v>
      </c>
      <c r="M414" s="1">
        <v>700</v>
      </c>
      <c r="N414">
        <f t="shared" si="12"/>
        <v>943</v>
      </c>
      <c r="O414">
        <v>270</v>
      </c>
      <c r="P414">
        <v>38</v>
      </c>
      <c r="Q414">
        <v>156</v>
      </c>
      <c r="R414">
        <v>643</v>
      </c>
      <c r="S414">
        <v>525</v>
      </c>
      <c r="T414">
        <v>31</v>
      </c>
      <c r="U414">
        <f t="shared" si="13"/>
        <v>4207</v>
      </c>
      <c r="V414">
        <v>1171</v>
      </c>
      <c r="W414">
        <v>64</v>
      </c>
      <c r="X414">
        <v>39</v>
      </c>
      <c r="Y414">
        <v>51</v>
      </c>
      <c r="Z414">
        <v>40</v>
      </c>
      <c r="AA414">
        <v>2</v>
      </c>
      <c r="AB414">
        <v>106</v>
      </c>
      <c r="AC414">
        <v>50</v>
      </c>
      <c r="AD414" s="1">
        <v>76</v>
      </c>
      <c r="AE414" s="1">
        <v>86</v>
      </c>
      <c r="AF414">
        <v>3.98</v>
      </c>
    </row>
    <row r="415" spans="1:32" x14ac:dyDescent="0.2">
      <c r="A415" s="52">
        <v>2013</v>
      </c>
      <c r="B415" t="s">
        <v>87</v>
      </c>
      <c r="C415" t="s">
        <v>163</v>
      </c>
      <c r="D415">
        <v>610</v>
      </c>
      <c r="E415">
        <v>162</v>
      </c>
      <c r="F415">
        <v>4</v>
      </c>
      <c r="G415">
        <v>14</v>
      </c>
      <c r="H415">
        <v>158</v>
      </c>
      <c r="I415">
        <v>43</v>
      </c>
      <c r="J415">
        <v>1465</v>
      </c>
      <c r="K415">
        <v>6257</v>
      </c>
      <c r="L415">
        <v>1467</v>
      </c>
      <c r="M415" s="1">
        <v>754</v>
      </c>
      <c r="N415">
        <f t="shared" si="12"/>
        <v>951</v>
      </c>
      <c r="O415">
        <v>315</v>
      </c>
      <c r="P415">
        <v>27</v>
      </c>
      <c r="Q415">
        <v>174</v>
      </c>
      <c r="R415">
        <v>702</v>
      </c>
      <c r="S415">
        <v>478</v>
      </c>
      <c r="T415">
        <v>48</v>
      </c>
      <c r="U415">
        <f t="shared" si="13"/>
        <v>4270</v>
      </c>
      <c r="V415">
        <v>1297</v>
      </c>
      <c r="W415">
        <v>31</v>
      </c>
      <c r="X415">
        <v>47</v>
      </c>
      <c r="Y415">
        <v>74</v>
      </c>
      <c r="Z415">
        <v>42</v>
      </c>
      <c r="AA415">
        <v>1</v>
      </c>
      <c r="AB415">
        <v>128</v>
      </c>
      <c r="AC415">
        <v>73</v>
      </c>
      <c r="AD415" s="1">
        <v>71</v>
      </c>
      <c r="AE415" s="1">
        <v>91</v>
      </c>
      <c r="AF415">
        <v>4.3099999999999996</v>
      </c>
    </row>
    <row r="416" spans="1:32" x14ac:dyDescent="0.2">
      <c r="A416" s="52">
        <v>2013</v>
      </c>
      <c r="B416" t="s">
        <v>21</v>
      </c>
      <c r="C416" t="s">
        <v>38</v>
      </c>
      <c r="D416">
        <v>686</v>
      </c>
      <c r="E416">
        <v>162</v>
      </c>
      <c r="F416">
        <v>2</v>
      </c>
      <c r="G416">
        <v>13</v>
      </c>
      <c r="H416">
        <v>160</v>
      </c>
      <c r="I416">
        <v>41</v>
      </c>
      <c r="J416">
        <v>1447.1</v>
      </c>
      <c r="K416">
        <v>6163</v>
      </c>
      <c r="L416">
        <v>1380</v>
      </c>
      <c r="M416" s="1">
        <v>691</v>
      </c>
      <c r="N416">
        <f t="shared" si="12"/>
        <v>933</v>
      </c>
      <c r="O416">
        <v>277</v>
      </c>
      <c r="P416">
        <v>25</v>
      </c>
      <c r="Q416">
        <v>145</v>
      </c>
      <c r="R416">
        <v>643</v>
      </c>
      <c r="S416">
        <v>521</v>
      </c>
      <c r="T416">
        <v>64</v>
      </c>
      <c r="U416">
        <f t="shared" si="13"/>
        <v>4212</v>
      </c>
      <c r="V416">
        <v>1256</v>
      </c>
      <c r="W416">
        <v>61</v>
      </c>
      <c r="X416">
        <v>38</v>
      </c>
      <c r="Y416">
        <v>60</v>
      </c>
      <c r="Z416">
        <v>50</v>
      </c>
      <c r="AA416">
        <v>4</v>
      </c>
      <c r="AB416">
        <v>112</v>
      </c>
      <c r="AC416">
        <v>63</v>
      </c>
      <c r="AD416" s="1">
        <v>76</v>
      </c>
      <c r="AE416" s="1">
        <v>86</v>
      </c>
      <c r="AF416">
        <v>4</v>
      </c>
    </row>
    <row r="417" spans="1:32" x14ac:dyDescent="0.2">
      <c r="A417" s="52">
        <v>2013</v>
      </c>
      <c r="B417" t="s">
        <v>156</v>
      </c>
      <c r="C417" t="s">
        <v>38</v>
      </c>
      <c r="D417">
        <v>645</v>
      </c>
      <c r="E417">
        <v>162</v>
      </c>
      <c r="F417">
        <v>7</v>
      </c>
      <c r="G417">
        <v>15</v>
      </c>
      <c r="H417">
        <v>155</v>
      </c>
      <c r="I417">
        <v>44</v>
      </c>
      <c r="J417">
        <v>1459.2</v>
      </c>
      <c r="K417">
        <v>6104</v>
      </c>
      <c r="L417">
        <v>1366</v>
      </c>
      <c r="M417" s="1">
        <v>596</v>
      </c>
      <c r="N417">
        <f t="shared" si="12"/>
        <v>962</v>
      </c>
      <c r="O417">
        <v>263</v>
      </c>
      <c r="P417">
        <v>29</v>
      </c>
      <c r="Q417">
        <v>112</v>
      </c>
      <c r="R417">
        <v>555</v>
      </c>
      <c r="S417">
        <v>451</v>
      </c>
      <c r="T417">
        <v>26</v>
      </c>
      <c r="U417">
        <f t="shared" si="13"/>
        <v>4223</v>
      </c>
      <c r="V417">
        <v>1254</v>
      </c>
      <c r="W417">
        <v>63</v>
      </c>
      <c r="X417">
        <v>32</v>
      </c>
      <c r="Y417">
        <v>33</v>
      </c>
      <c r="Z417">
        <v>64</v>
      </c>
      <c r="AA417">
        <v>1</v>
      </c>
      <c r="AB417">
        <v>160</v>
      </c>
      <c r="AC417">
        <v>51</v>
      </c>
      <c r="AD417" s="1">
        <v>97</v>
      </c>
      <c r="AE417" s="1">
        <v>65</v>
      </c>
      <c r="AF417">
        <v>3.42</v>
      </c>
    </row>
    <row r="418" spans="1:32" x14ac:dyDescent="0.2">
      <c r="A418" s="52">
        <v>2013</v>
      </c>
      <c r="B418" t="s">
        <v>165</v>
      </c>
      <c r="C418" t="s">
        <v>163</v>
      </c>
      <c r="D418">
        <v>648</v>
      </c>
      <c r="E418">
        <v>163</v>
      </c>
      <c r="F418">
        <v>9</v>
      </c>
      <c r="G418">
        <v>17</v>
      </c>
      <c r="H418">
        <v>154</v>
      </c>
      <c r="I418">
        <v>42</v>
      </c>
      <c r="J418">
        <v>1464</v>
      </c>
      <c r="K418">
        <v>6083</v>
      </c>
      <c r="L418">
        <v>1315</v>
      </c>
      <c r="M418" s="1">
        <v>646</v>
      </c>
      <c r="N418">
        <f t="shared" si="12"/>
        <v>878</v>
      </c>
      <c r="O418">
        <v>254</v>
      </c>
      <c r="P418">
        <v>30</v>
      </c>
      <c r="Q418">
        <v>153</v>
      </c>
      <c r="R418">
        <v>608</v>
      </c>
      <c r="S418">
        <v>482</v>
      </c>
      <c r="T418">
        <v>38</v>
      </c>
      <c r="U418">
        <f t="shared" si="13"/>
        <v>4234</v>
      </c>
      <c r="V418">
        <v>1310</v>
      </c>
      <c r="W418">
        <v>25</v>
      </c>
      <c r="X418">
        <v>42</v>
      </c>
      <c r="Y418">
        <v>69</v>
      </c>
      <c r="Z418">
        <v>52</v>
      </c>
      <c r="AA418">
        <v>6</v>
      </c>
      <c r="AB418">
        <v>120</v>
      </c>
      <c r="AC418">
        <v>39</v>
      </c>
      <c r="AD418" s="1">
        <v>92</v>
      </c>
      <c r="AE418" s="1">
        <v>71</v>
      </c>
      <c r="AF418">
        <v>3.74</v>
      </c>
    </row>
    <row r="419" spans="1:32" x14ac:dyDescent="0.2">
      <c r="A419" s="52">
        <v>2013</v>
      </c>
      <c r="B419" t="s">
        <v>95</v>
      </c>
      <c r="C419" t="s">
        <v>163</v>
      </c>
      <c r="D419">
        <v>638</v>
      </c>
      <c r="E419">
        <v>163</v>
      </c>
      <c r="F419">
        <v>4</v>
      </c>
      <c r="G419">
        <v>10</v>
      </c>
      <c r="H419">
        <v>159</v>
      </c>
      <c r="I419">
        <v>46</v>
      </c>
      <c r="J419">
        <v>1463.1</v>
      </c>
      <c r="K419">
        <v>6146</v>
      </c>
      <c r="L419">
        <v>1370</v>
      </c>
      <c r="M419" s="1">
        <v>636</v>
      </c>
      <c r="N419">
        <f t="shared" si="12"/>
        <v>933</v>
      </c>
      <c r="O419">
        <v>261</v>
      </c>
      <c r="P419">
        <v>19</v>
      </c>
      <c r="Q419">
        <v>157</v>
      </c>
      <c r="R419">
        <v>589</v>
      </c>
      <c r="S419">
        <v>498</v>
      </c>
      <c r="T419">
        <v>35</v>
      </c>
      <c r="U419">
        <f t="shared" si="13"/>
        <v>4230</v>
      </c>
      <c r="V419">
        <v>1309</v>
      </c>
      <c r="W419">
        <v>30</v>
      </c>
      <c r="X419">
        <v>44</v>
      </c>
      <c r="Y419">
        <v>68</v>
      </c>
      <c r="Z419">
        <v>48</v>
      </c>
      <c r="AA419">
        <v>5</v>
      </c>
      <c r="AB419">
        <v>129</v>
      </c>
      <c r="AC419">
        <v>56</v>
      </c>
      <c r="AD419" s="1">
        <v>91</v>
      </c>
      <c r="AE419" s="1">
        <v>72</v>
      </c>
      <c r="AF419">
        <v>3.62</v>
      </c>
    </row>
    <row r="420" spans="1:32" x14ac:dyDescent="0.2">
      <c r="A420" s="52">
        <v>2013</v>
      </c>
      <c r="B420" t="s">
        <v>97</v>
      </c>
      <c r="C420" t="s">
        <v>163</v>
      </c>
      <c r="D420">
        <v>649</v>
      </c>
      <c r="E420">
        <v>162</v>
      </c>
      <c r="F420">
        <v>4</v>
      </c>
      <c r="G420">
        <v>11</v>
      </c>
      <c r="H420">
        <v>158</v>
      </c>
      <c r="I420">
        <v>39</v>
      </c>
      <c r="J420">
        <v>1452</v>
      </c>
      <c r="K420">
        <v>6250</v>
      </c>
      <c r="L420">
        <v>1451</v>
      </c>
      <c r="M420" s="1">
        <v>756</v>
      </c>
      <c r="N420">
        <f t="shared" si="12"/>
        <v>927</v>
      </c>
      <c r="O420">
        <v>304</v>
      </c>
      <c r="P420">
        <v>25</v>
      </c>
      <c r="Q420">
        <v>195</v>
      </c>
      <c r="R420">
        <v>685</v>
      </c>
      <c r="S420">
        <v>500</v>
      </c>
      <c r="T420">
        <v>33</v>
      </c>
      <c r="U420">
        <f t="shared" si="13"/>
        <v>4234</v>
      </c>
      <c r="V420">
        <v>1208</v>
      </c>
      <c r="W420">
        <v>28</v>
      </c>
      <c r="X420">
        <v>47</v>
      </c>
      <c r="Y420">
        <v>54</v>
      </c>
      <c r="Z420">
        <v>65</v>
      </c>
      <c r="AA420">
        <v>7</v>
      </c>
      <c r="AB420">
        <v>125</v>
      </c>
      <c r="AC420">
        <v>72</v>
      </c>
      <c r="AD420" s="1">
        <v>74</v>
      </c>
      <c r="AE420" s="1">
        <v>88</v>
      </c>
      <c r="AF420">
        <v>4.25</v>
      </c>
    </row>
    <row r="421" spans="1:32" x14ac:dyDescent="0.2">
      <c r="A421" s="52">
        <v>2013</v>
      </c>
      <c r="B421" t="s">
        <v>101</v>
      </c>
      <c r="C421" t="s">
        <v>38</v>
      </c>
      <c r="D421">
        <v>602</v>
      </c>
      <c r="E421">
        <v>162</v>
      </c>
      <c r="F421">
        <v>6</v>
      </c>
      <c r="G421">
        <v>13</v>
      </c>
      <c r="H421">
        <v>156</v>
      </c>
      <c r="I421">
        <v>47</v>
      </c>
      <c r="J421">
        <v>1445.2</v>
      </c>
      <c r="K421">
        <v>6038</v>
      </c>
      <c r="L421">
        <v>1367</v>
      </c>
      <c r="M421" s="1">
        <v>626</v>
      </c>
      <c r="N421">
        <f t="shared" si="12"/>
        <v>949</v>
      </c>
      <c r="O421">
        <v>262</v>
      </c>
      <c r="P421">
        <v>14</v>
      </c>
      <c r="Q421">
        <v>142</v>
      </c>
      <c r="R421">
        <v>576</v>
      </c>
      <c r="S421">
        <v>405</v>
      </c>
      <c r="T421">
        <v>17</v>
      </c>
      <c r="U421">
        <f t="shared" si="13"/>
        <v>4218</v>
      </c>
      <c r="V421">
        <v>1236</v>
      </c>
      <c r="W421">
        <v>61</v>
      </c>
      <c r="X421">
        <v>26</v>
      </c>
      <c r="Y421">
        <v>43</v>
      </c>
      <c r="Z421">
        <v>48</v>
      </c>
      <c r="AA421">
        <v>8</v>
      </c>
      <c r="AB421">
        <v>121</v>
      </c>
      <c r="AC421">
        <v>78</v>
      </c>
      <c r="AD421" s="1">
        <v>86</v>
      </c>
      <c r="AE421" s="1">
        <v>76</v>
      </c>
      <c r="AF421">
        <v>3.59</v>
      </c>
    </row>
    <row r="422" spans="1:32" x14ac:dyDescent="0.2">
      <c r="A422" s="52">
        <v>2014</v>
      </c>
      <c r="B422" t="s">
        <v>37</v>
      </c>
      <c r="C422" t="s">
        <v>163</v>
      </c>
      <c r="D422">
        <v>705</v>
      </c>
      <c r="E422">
        <v>162</v>
      </c>
      <c r="F422">
        <v>3</v>
      </c>
      <c r="G422">
        <v>13</v>
      </c>
      <c r="H422">
        <v>159</v>
      </c>
      <c r="I422">
        <v>46</v>
      </c>
      <c r="J422">
        <v>1482.2</v>
      </c>
      <c r="K422">
        <v>6179</v>
      </c>
      <c r="L422">
        <v>1307</v>
      </c>
      <c r="M422" s="1">
        <v>630</v>
      </c>
      <c r="N422">
        <f t="shared" si="12"/>
        <v>939</v>
      </c>
      <c r="O422">
        <v>228</v>
      </c>
      <c r="P422">
        <v>14</v>
      </c>
      <c r="Q422">
        <v>126</v>
      </c>
      <c r="R422">
        <v>590</v>
      </c>
      <c r="S422">
        <v>504</v>
      </c>
      <c r="T422">
        <v>41</v>
      </c>
      <c r="U422">
        <f t="shared" si="13"/>
        <v>4305</v>
      </c>
      <c r="V422">
        <v>1342</v>
      </c>
      <c r="W422">
        <v>29</v>
      </c>
      <c r="X422">
        <v>49</v>
      </c>
      <c r="Y422">
        <v>74</v>
      </c>
      <c r="Z422">
        <v>63</v>
      </c>
      <c r="AA422">
        <v>4</v>
      </c>
      <c r="AB422">
        <v>113</v>
      </c>
      <c r="AC422">
        <v>52</v>
      </c>
      <c r="AD422" s="1">
        <v>98</v>
      </c>
      <c r="AE422" s="1">
        <v>64</v>
      </c>
      <c r="AF422">
        <v>3.58</v>
      </c>
    </row>
    <row r="423" spans="1:32" x14ac:dyDescent="0.2">
      <c r="A423" s="52">
        <v>2014</v>
      </c>
      <c r="B423" t="s">
        <v>40</v>
      </c>
      <c r="C423" t="s">
        <v>38</v>
      </c>
      <c r="D423">
        <v>650</v>
      </c>
      <c r="E423">
        <v>162</v>
      </c>
      <c r="F423">
        <v>2</v>
      </c>
      <c r="G423">
        <v>4</v>
      </c>
      <c r="H423">
        <v>160</v>
      </c>
      <c r="I423">
        <v>35</v>
      </c>
      <c r="J423">
        <v>1444.1</v>
      </c>
      <c r="K423">
        <v>6162</v>
      </c>
      <c r="L423">
        <v>1467</v>
      </c>
      <c r="M423" s="1">
        <v>742</v>
      </c>
      <c r="N423">
        <f t="shared" si="12"/>
        <v>983</v>
      </c>
      <c r="O423">
        <v>296</v>
      </c>
      <c r="P423">
        <v>34</v>
      </c>
      <c r="Q423">
        <v>154</v>
      </c>
      <c r="R423">
        <v>683</v>
      </c>
      <c r="S423">
        <v>469</v>
      </c>
      <c r="T423">
        <v>43</v>
      </c>
      <c r="U423">
        <f t="shared" si="13"/>
        <v>4175</v>
      </c>
      <c r="V423">
        <v>1278</v>
      </c>
      <c r="W423">
        <v>59</v>
      </c>
      <c r="X423">
        <v>49</v>
      </c>
      <c r="Y423">
        <v>50</v>
      </c>
      <c r="Z423">
        <v>51</v>
      </c>
      <c r="AA423">
        <v>5</v>
      </c>
      <c r="AB423">
        <v>121</v>
      </c>
      <c r="AC423">
        <v>57</v>
      </c>
      <c r="AD423" s="1">
        <v>64</v>
      </c>
      <c r="AE423" s="1">
        <v>98</v>
      </c>
      <c r="AF423">
        <v>4.26</v>
      </c>
    </row>
    <row r="424" spans="1:32" x14ac:dyDescent="0.2">
      <c r="A424" s="52">
        <v>2014</v>
      </c>
      <c r="B424" t="s">
        <v>42</v>
      </c>
      <c r="C424" t="s">
        <v>38</v>
      </c>
      <c r="D424">
        <v>634</v>
      </c>
      <c r="E424">
        <v>162</v>
      </c>
      <c r="F424">
        <v>5</v>
      </c>
      <c r="G424">
        <v>13</v>
      </c>
      <c r="H424">
        <v>157</v>
      </c>
      <c r="I424">
        <v>54</v>
      </c>
      <c r="J424">
        <v>1455</v>
      </c>
      <c r="K424">
        <v>6087</v>
      </c>
      <c r="L424">
        <v>1369</v>
      </c>
      <c r="M424" s="1">
        <v>597</v>
      </c>
      <c r="N424">
        <f t="shared" si="12"/>
        <v>982</v>
      </c>
      <c r="O424">
        <v>244</v>
      </c>
      <c r="P424">
        <v>22</v>
      </c>
      <c r="Q424">
        <v>121</v>
      </c>
      <c r="R424">
        <v>547</v>
      </c>
      <c r="S424">
        <v>472</v>
      </c>
      <c r="T424">
        <v>36</v>
      </c>
      <c r="U424">
        <f t="shared" si="13"/>
        <v>4209</v>
      </c>
      <c r="V424">
        <v>1301</v>
      </c>
      <c r="W424">
        <v>70</v>
      </c>
      <c r="X424">
        <v>43</v>
      </c>
      <c r="Y424">
        <v>75</v>
      </c>
      <c r="Z424">
        <v>37</v>
      </c>
      <c r="AA424">
        <v>1</v>
      </c>
      <c r="AB424">
        <v>128</v>
      </c>
      <c r="AC424">
        <v>54</v>
      </c>
      <c r="AD424" s="1">
        <v>79</v>
      </c>
      <c r="AE424" s="1">
        <v>83</v>
      </c>
      <c r="AF424">
        <v>3.38</v>
      </c>
    </row>
    <row r="425" spans="1:32" x14ac:dyDescent="0.2">
      <c r="A425" s="52">
        <v>2014</v>
      </c>
      <c r="B425" t="s">
        <v>45</v>
      </c>
      <c r="C425" t="s">
        <v>163</v>
      </c>
      <c r="D425">
        <v>641</v>
      </c>
      <c r="E425">
        <v>162</v>
      </c>
      <c r="F425">
        <v>3</v>
      </c>
      <c r="G425">
        <v>13</v>
      </c>
      <c r="H425">
        <v>159</v>
      </c>
      <c r="I425">
        <v>53</v>
      </c>
      <c r="J425">
        <v>1461.1</v>
      </c>
      <c r="K425">
        <v>6104</v>
      </c>
      <c r="L425">
        <v>1342</v>
      </c>
      <c r="M425" s="1">
        <v>593</v>
      </c>
      <c r="N425">
        <f t="shared" si="12"/>
        <v>903</v>
      </c>
      <c r="O425">
        <v>268</v>
      </c>
      <c r="P425">
        <v>20</v>
      </c>
      <c r="Q425">
        <v>151</v>
      </c>
      <c r="R425">
        <v>557</v>
      </c>
      <c r="S425">
        <v>472</v>
      </c>
      <c r="T425">
        <v>25</v>
      </c>
      <c r="U425">
        <f t="shared" si="13"/>
        <v>4231</v>
      </c>
      <c r="V425">
        <v>1174</v>
      </c>
      <c r="W425">
        <v>30</v>
      </c>
      <c r="X425">
        <v>35</v>
      </c>
      <c r="Y425">
        <v>42</v>
      </c>
      <c r="Z425">
        <v>59</v>
      </c>
      <c r="AA425">
        <v>2</v>
      </c>
      <c r="AB425">
        <v>127</v>
      </c>
      <c r="AC425">
        <v>66</v>
      </c>
      <c r="AD425" s="1">
        <v>96</v>
      </c>
      <c r="AE425" s="1">
        <v>66</v>
      </c>
      <c r="AF425">
        <v>3.43</v>
      </c>
    </row>
    <row r="426" spans="1:32" x14ac:dyDescent="0.2">
      <c r="A426" s="52">
        <v>2014</v>
      </c>
      <c r="B426" t="s">
        <v>47</v>
      </c>
      <c r="C426" t="s">
        <v>163</v>
      </c>
      <c r="D426">
        <v>655</v>
      </c>
      <c r="E426">
        <v>162</v>
      </c>
      <c r="F426">
        <v>3</v>
      </c>
      <c r="G426">
        <v>7</v>
      </c>
      <c r="H426">
        <v>159</v>
      </c>
      <c r="I426">
        <v>36</v>
      </c>
      <c r="J426">
        <v>1465.2</v>
      </c>
      <c r="K426">
        <v>6231</v>
      </c>
      <c r="L426">
        <v>1458</v>
      </c>
      <c r="M426" s="1">
        <v>715</v>
      </c>
      <c r="N426">
        <f t="shared" si="12"/>
        <v>956</v>
      </c>
      <c r="O426">
        <v>316</v>
      </c>
      <c r="P426">
        <v>32</v>
      </c>
      <c r="Q426">
        <v>154</v>
      </c>
      <c r="R426">
        <v>653</v>
      </c>
      <c r="S426">
        <v>482</v>
      </c>
      <c r="T426">
        <v>19</v>
      </c>
      <c r="U426">
        <f t="shared" si="13"/>
        <v>4244</v>
      </c>
      <c r="V426">
        <v>1213</v>
      </c>
      <c r="W426">
        <v>36</v>
      </c>
      <c r="X426">
        <v>48</v>
      </c>
      <c r="Y426">
        <v>51</v>
      </c>
      <c r="Z426">
        <v>47</v>
      </c>
      <c r="AA426">
        <v>5</v>
      </c>
      <c r="AB426">
        <v>129</v>
      </c>
      <c r="AC426">
        <v>63</v>
      </c>
      <c r="AD426" s="1">
        <v>71</v>
      </c>
      <c r="AE426" s="1">
        <v>91</v>
      </c>
      <c r="AF426">
        <v>4.01</v>
      </c>
    </row>
    <row r="427" spans="1:32" x14ac:dyDescent="0.2">
      <c r="A427" s="52">
        <v>2014</v>
      </c>
      <c r="B427" t="s">
        <v>157</v>
      </c>
      <c r="C427" t="s">
        <v>38</v>
      </c>
      <c r="D427">
        <v>699</v>
      </c>
      <c r="E427">
        <v>162</v>
      </c>
      <c r="F427">
        <v>1</v>
      </c>
      <c r="G427">
        <v>11</v>
      </c>
      <c r="H427">
        <v>161</v>
      </c>
      <c r="I427">
        <v>37</v>
      </c>
      <c r="J427">
        <v>1463.1</v>
      </c>
      <c r="K427">
        <v>6208</v>
      </c>
      <c r="L427">
        <v>1398</v>
      </c>
      <c r="M427" s="1">
        <v>707</v>
      </c>
      <c r="N427">
        <f t="shared" si="12"/>
        <v>963</v>
      </c>
      <c r="O427">
        <v>296</v>
      </c>
      <c r="P427">
        <v>24</v>
      </c>
      <c r="Q427">
        <v>115</v>
      </c>
      <c r="R427">
        <v>636</v>
      </c>
      <c r="S427">
        <v>504</v>
      </c>
      <c r="T427">
        <v>37</v>
      </c>
      <c r="U427">
        <f t="shared" si="13"/>
        <v>4251</v>
      </c>
      <c r="V427">
        <v>1311</v>
      </c>
      <c r="W427">
        <v>55</v>
      </c>
      <c r="X427">
        <v>36</v>
      </c>
      <c r="Y427">
        <v>64</v>
      </c>
      <c r="Z427">
        <v>55</v>
      </c>
      <c r="AA427">
        <v>3</v>
      </c>
      <c r="AB427">
        <v>114</v>
      </c>
      <c r="AC427">
        <v>71</v>
      </c>
      <c r="AD427" s="1">
        <v>73</v>
      </c>
      <c r="AE427" s="1">
        <v>89</v>
      </c>
      <c r="AF427">
        <v>3.91</v>
      </c>
    </row>
    <row r="428" spans="1:32" x14ac:dyDescent="0.2">
      <c r="A428" s="52">
        <v>2014</v>
      </c>
      <c r="B428" t="s">
        <v>157</v>
      </c>
      <c r="C428" t="s">
        <v>163</v>
      </c>
      <c r="D428">
        <v>615</v>
      </c>
      <c r="E428">
        <v>162</v>
      </c>
      <c r="F428">
        <v>3</v>
      </c>
      <c r="G428">
        <v>6</v>
      </c>
      <c r="H428">
        <v>159</v>
      </c>
      <c r="I428">
        <v>36</v>
      </c>
      <c r="J428">
        <v>1441</v>
      </c>
      <c r="K428">
        <v>6255</v>
      </c>
      <c r="L428">
        <v>1468</v>
      </c>
      <c r="M428" s="1">
        <v>758</v>
      </c>
      <c r="N428">
        <f t="shared" si="12"/>
        <v>1025</v>
      </c>
      <c r="O428">
        <v>272</v>
      </c>
      <c r="P428">
        <v>31</v>
      </c>
      <c r="Q428">
        <v>140</v>
      </c>
      <c r="R428">
        <v>687</v>
      </c>
      <c r="S428">
        <v>557</v>
      </c>
      <c r="T428">
        <v>42</v>
      </c>
      <c r="U428">
        <f t="shared" si="13"/>
        <v>4161</v>
      </c>
      <c r="V428">
        <v>1152</v>
      </c>
      <c r="W428">
        <v>37</v>
      </c>
      <c r="X428">
        <v>48</v>
      </c>
      <c r="Y428">
        <v>75</v>
      </c>
      <c r="Z428">
        <v>69</v>
      </c>
      <c r="AA428">
        <v>3</v>
      </c>
      <c r="AB428">
        <v>152</v>
      </c>
      <c r="AC428">
        <v>73</v>
      </c>
      <c r="AD428" s="1">
        <v>73</v>
      </c>
      <c r="AE428" s="1">
        <v>89</v>
      </c>
      <c r="AF428">
        <v>4.29</v>
      </c>
    </row>
    <row r="429" spans="1:32" x14ac:dyDescent="0.2">
      <c r="A429" s="52">
        <v>2014</v>
      </c>
      <c r="B429" t="s">
        <v>53</v>
      </c>
      <c r="C429" t="s">
        <v>38</v>
      </c>
      <c r="D429">
        <v>590</v>
      </c>
      <c r="E429">
        <v>162</v>
      </c>
      <c r="F429">
        <v>5</v>
      </c>
      <c r="G429">
        <v>13</v>
      </c>
      <c r="H429">
        <v>157</v>
      </c>
      <c r="I429">
        <v>44</v>
      </c>
      <c r="J429">
        <v>1446</v>
      </c>
      <c r="K429">
        <v>6067</v>
      </c>
      <c r="L429">
        <v>1282</v>
      </c>
      <c r="M429" s="1">
        <v>612</v>
      </c>
      <c r="N429">
        <f t="shared" si="12"/>
        <v>841</v>
      </c>
      <c r="O429">
        <v>260</v>
      </c>
      <c r="P429">
        <v>18</v>
      </c>
      <c r="Q429">
        <v>163</v>
      </c>
      <c r="R429">
        <v>576</v>
      </c>
      <c r="S429">
        <v>507</v>
      </c>
      <c r="T429">
        <v>33</v>
      </c>
      <c r="U429">
        <f t="shared" si="13"/>
        <v>4209</v>
      </c>
      <c r="V429">
        <v>1290</v>
      </c>
      <c r="W429">
        <v>51</v>
      </c>
      <c r="X429">
        <v>38</v>
      </c>
      <c r="Y429">
        <v>45</v>
      </c>
      <c r="Z429">
        <v>69</v>
      </c>
      <c r="AA429">
        <v>5</v>
      </c>
      <c r="AB429">
        <v>99</v>
      </c>
      <c r="AC429">
        <v>51</v>
      </c>
      <c r="AD429" s="1">
        <v>76</v>
      </c>
      <c r="AE429" s="1">
        <v>86</v>
      </c>
      <c r="AF429">
        <v>3.59</v>
      </c>
    </row>
    <row r="430" spans="1:32" x14ac:dyDescent="0.2">
      <c r="A430" s="52">
        <v>2014</v>
      </c>
      <c r="B430" t="s">
        <v>55</v>
      </c>
      <c r="C430" t="s">
        <v>163</v>
      </c>
      <c r="D430">
        <v>735</v>
      </c>
      <c r="E430">
        <v>162</v>
      </c>
      <c r="F430">
        <v>6</v>
      </c>
      <c r="G430">
        <v>15</v>
      </c>
      <c r="H430">
        <v>156</v>
      </c>
      <c r="I430">
        <v>40</v>
      </c>
      <c r="J430">
        <v>1468.1</v>
      </c>
      <c r="K430">
        <v>6193</v>
      </c>
      <c r="L430">
        <v>1398</v>
      </c>
      <c r="M430" s="1">
        <v>653</v>
      </c>
      <c r="N430">
        <f t="shared" si="12"/>
        <v>941</v>
      </c>
      <c r="O430">
        <v>290</v>
      </c>
      <c r="P430">
        <v>32</v>
      </c>
      <c r="Q430">
        <v>135</v>
      </c>
      <c r="R430">
        <v>581</v>
      </c>
      <c r="S430">
        <v>464</v>
      </c>
      <c r="T430">
        <v>51</v>
      </c>
      <c r="U430">
        <f t="shared" si="13"/>
        <v>4273</v>
      </c>
      <c r="V430">
        <v>1450</v>
      </c>
      <c r="W430">
        <v>33</v>
      </c>
      <c r="X430">
        <v>40</v>
      </c>
      <c r="Y430">
        <v>56</v>
      </c>
      <c r="Z430">
        <v>58</v>
      </c>
      <c r="AA430">
        <v>2</v>
      </c>
      <c r="AB430">
        <v>116</v>
      </c>
      <c r="AC430">
        <v>79</v>
      </c>
      <c r="AD430" s="1">
        <v>85</v>
      </c>
      <c r="AE430" s="1">
        <v>77</v>
      </c>
      <c r="AF430">
        <v>3.56</v>
      </c>
    </row>
    <row r="431" spans="1:32" x14ac:dyDescent="0.2">
      <c r="A431" s="52">
        <v>2014</v>
      </c>
      <c r="B431" t="s">
        <v>57</v>
      </c>
      <c r="C431" t="s">
        <v>38</v>
      </c>
      <c r="D431">
        <v>709</v>
      </c>
      <c r="E431">
        <v>162</v>
      </c>
      <c r="F431">
        <v>1</v>
      </c>
      <c r="G431">
        <v>4</v>
      </c>
      <c r="H431">
        <v>161</v>
      </c>
      <c r="I431">
        <v>24</v>
      </c>
      <c r="J431">
        <v>1431</v>
      </c>
      <c r="K431">
        <v>6248</v>
      </c>
      <c r="L431">
        <v>1528</v>
      </c>
      <c r="M431" s="1">
        <v>818</v>
      </c>
      <c r="N431">
        <f t="shared" si="12"/>
        <v>992</v>
      </c>
      <c r="O431">
        <v>320</v>
      </c>
      <c r="P431">
        <v>43</v>
      </c>
      <c r="Q431">
        <v>173</v>
      </c>
      <c r="R431">
        <v>770</v>
      </c>
      <c r="S431">
        <v>531</v>
      </c>
      <c r="T431">
        <v>32</v>
      </c>
      <c r="U431">
        <f t="shared" si="13"/>
        <v>4135</v>
      </c>
      <c r="V431">
        <v>1074</v>
      </c>
      <c r="W431">
        <v>59</v>
      </c>
      <c r="X431">
        <v>62</v>
      </c>
      <c r="Y431">
        <v>72</v>
      </c>
      <c r="Z431">
        <v>54</v>
      </c>
      <c r="AA431">
        <v>8</v>
      </c>
      <c r="AB431">
        <v>143</v>
      </c>
      <c r="AC431">
        <v>50</v>
      </c>
      <c r="AD431" s="1">
        <v>66</v>
      </c>
      <c r="AE431" s="1">
        <v>96</v>
      </c>
      <c r="AF431">
        <v>4.84</v>
      </c>
    </row>
    <row r="432" spans="1:32" x14ac:dyDescent="0.2">
      <c r="A432" s="52">
        <v>2014</v>
      </c>
      <c r="B432" t="s">
        <v>59</v>
      </c>
      <c r="C432" t="s">
        <v>163</v>
      </c>
      <c r="D432">
        <v>635</v>
      </c>
      <c r="E432">
        <v>162</v>
      </c>
      <c r="F432">
        <v>5</v>
      </c>
      <c r="G432">
        <v>8</v>
      </c>
      <c r="H432">
        <v>157</v>
      </c>
      <c r="I432">
        <v>41</v>
      </c>
      <c r="J432">
        <v>1454</v>
      </c>
      <c r="K432">
        <v>6191</v>
      </c>
      <c r="L432">
        <v>1475</v>
      </c>
      <c r="M432" s="1">
        <v>705</v>
      </c>
      <c r="N432">
        <f t="shared" si="12"/>
        <v>990</v>
      </c>
      <c r="O432">
        <v>316</v>
      </c>
      <c r="P432">
        <v>42</v>
      </c>
      <c r="Q432">
        <v>127</v>
      </c>
      <c r="R432">
        <v>648</v>
      </c>
      <c r="S432">
        <v>462</v>
      </c>
      <c r="T432">
        <v>34</v>
      </c>
      <c r="U432">
        <f t="shared" si="13"/>
        <v>4212</v>
      </c>
      <c r="V432">
        <v>1244</v>
      </c>
      <c r="W432">
        <v>26</v>
      </c>
      <c r="X432">
        <v>41</v>
      </c>
      <c r="Y432">
        <v>43</v>
      </c>
      <c r="Z432">
        <v>42</v>
      </c>
      <c r="AA432">
        <v>9</v>
      </c>
      <c r="AB432">
        <v>131</v>
      </c>
      <c r="AC432">
        <v>66</v>
      </c>
      <c r="AD432" s="1">
        <v>90</v>
      </c>
      <c r="AE432" s="1">
        <v>72</v>
      </c>
      <c r="AF432">
        <v>4.01</v>
      </c>
    </row>
    <row r="433" spans="1:32" x14ac:dyDescent="0.2">
      <c r="A433" s="52">
        <v>2014</v>
      </c>
      <c r="B433" t="s">
        <v>63</v>
      </c>
      <c r="C433" t="s">
        <v>163</v>
      </c>
      <c r="D433">
        <v>600</v>
      </c>
      <c r="E433">
        <v>162</v>
      </c>
      <c r="F433">
        <v>7</v>
      </c>
      <c r="G433">
        <v>3</v>
      </c>
      <c r="H433">
        <v>155</v>
      </c>
      <c r="I433">
        <v>31</v>
      </c>
      <c r="J433">
        <v>1438.2</v>
      </c>
      <c r="K433">
        <v>6154</v>
      </c>
      <c r="L433">
        <v>1437</v>
      </c>
      <c r="M433" s="1">
        <v>723</v>
      </c>
      <c r="N433">
        <f t="shared" si="12"/>
        <v>994</v>
      </c>
      <c r="O433">
        <v>274</v>
      </c>
      <c r="P433">
        <v>30</v>
      </c>
      <c r="Q433">
        <v>139</v>
      </c>
      <c r="R433">
        <v>657</v>
      </c>
      <c r="S433">
        <v>484</v>
      </c>
      <c r="T433">
        <v>32</v>
      </c>
      <c r="U433">
        <f t="shared" si="13"/>
        <v>4181</v>
      </c>
      <c r="V433">
        <v>1137</v>
      </c>
      <c r="W433">
        <v>36</v>
      </c>
      <c r="X433">
        <v>59</v>
      </c>
      <c r="Y433">
        <v>57</v>
      </c>
      <c r="Z433">
        <v>52</v>
      </c>
      <c r="AA433">
        <v>7</v>
      </c>
      <c r="AB433">
        <v>133</v>
      </c>
      <c r="AC433">
        <v>77</v>
      </c>
      <c r="AD433" s="1">
        <v>70</v>
      </c>
      <c r="AE433" s="1">
        <v>92</v>
      </c>
      <c r="AF433">
        <v>4.1100000000000003</v>
      </c>
    </row>
    <row r="434" spans="1:32" x14ac:dyDescent="0.2">
      <c r="A434" s="52">
        <v>2014</v>
      </c>
      <c r="B434" t="s">
        <v>164</v>
      </c>
      <c r="C434" t="s">
        <v>163</v>
      </c>
      <c r="D434">
        <v>613</v>
      </c>
      <c r="E434">
        <v>162</v>
      </c>
      <c r="F434">
        <v>3</v>
      </c>
      <c r="G434">
        <v>14</v>
      </c>
      <c r="H434">
        <v>159</v>
      </c>
      <c r="I434">
        <v>53</v>
      </c>
      <c r="J434">
        <v>1450.2</v>
      </c>
      <c r="K434">
        <v>6101</v>
      </c>
      <c r="L434">
        <v>1386</v>
      </c>
      <c r="M434" s="1">
        <v>624</v>
      </c>
      <c r="N434">
        <f t="shared" si="12"/>
        <v>973</v>
      </c>
      <c r="O434">
        <v>254</v>
      </c>
      <c r="P434">
        <v>31</v>
      </c>
      <c r="Q434">
        <v>128</v>
      </c>
      <c r="R434">
        <v>565</v>
      </c>
      <c r="S434">
        <v>440</v>
      </c>
      <c r="T434">
        <v>14</v>
      </c>
      <c r="U434">
        <f t="shared" si="13"/>
        <v>4219</v>
      </c>
      <c r="V434">
        <v>1168</v>
      </c>
      <c r="W434">
        <v>26</v>
      </c>
      <c r="X434">
        <v>45</v>
      </c>
      <c r="Y434">
        <v>58</v>
      </c>
      <c r="Z434">
        <v>56</v>
      </c>
      <c r="AA434">
        <v>6</v>
      </c>
      <c r="AB434">
        <v>107</v>
      </c>
      <c r="AC434">
        <v>61</v>
      </c>
      <c r="AD434" s="1">
        <v>89</v>
      </c>
      <c r="AE434" s="1">
        <v>73</v>
      </c>
      <c r="AF434">
        <v>3.51</v>
      </c>
    </row>
    <row r="435" spans="1:32" x14ac:dyDescent="0.2">
      <c r="A435" s="52">
        <v>2014</v>
      </c>
      <c r="B435" t="s">
        <v>159</v>
      </c>
      <c r="C435" t="s">
        <v>38</v>
      </c>
      <c r="D435">
        <v>658</v>
      </c>
      <c r="E435">
        <v>162</v>
      </c>
      <c r="F435">
        <v>7</v>
      </c>
      <c r="G435">
        <v>16</v>
      </c>
      <c r="H435">
        <v>155</v>
      </c>
      <c r="I435">
        <v>47</v>
      </c>
      <c r="J435">
        <v>1464.2</v>
      </c>
      <c r="K435">
        <v>6075</v>
      </c>
      <c r="L435">
        <v>1338</v>
      </c>
      <c r="M435" s="1">
        <v>617</v>
      </c>
      <c r="N435">
        <f t="shared" si="12"/>
        <v>910</v>
      </c>
      <c r="O435">
        <v>262</v>
      </c>
      <c r="P435">
        <v>24</v>
      </c>
      <c r="Q435">
        <v>142</v>
      </c>
      <c r="R435">
        <v>554</v>
      </c>
      <c r="S435">
        <v>429</v>
      </c>
      <c r="T435">
        <v>35</v>
      </c>
      <c r="U435">
        <f t="shared" si="13"/>
        <v>4267</v>
      </c>
      <c r="V435">
        <v>1373</v>
      </c>
      <c r="W435">
        <v>49</v>
      </c>
      <c r="X435">
        <v>34</v>
      </c>
      <c r="Y435">
        <v>64</v>
      </c>
      <c r="Z435">
        <v>41</v>
      </c>
      <c r="AA435">
        <v>4</v>
      </c>
      <c r="AB435">
        <v>124</v>
      </c>
      <c r="AC435">
        <v>82</v>
      </c>
      <c r="AD435" s="1">
        <v>94</v>
      </c>
      <c r="AE435" s="1">
        <v>68</v>
      </c>
      <c r="AF435">
        <v>3.4</v>
      </c>
    </row>
    <row r="436" spans="1:32" x14ac:dyDescent="0.2">
      <c r="A436" s="52">
        <v>2014</v>
      </c>
      <c r="B436" t="s">
        <v>104</v>
      </c>
      <c r="C436" t="s">
        <v>38</v>
      </c>
      <c r="D436">
        <v>649</v>
      </c>
      <c r="E436">
        <v>162</v>
      </c>
      <c r="F436">
        <v>3</v>
      </c>
      <c r="G436">
        <v>16</v>
      </c>
      <c r="H436">
        <v>159</v>
      </c>
      <c r="I436">
        <v>42</v>
      </c>
      <c r="J436">
        <v>1457.2</v>
      </c>
      <c r="K436">
        <v>6217</v>
      </c>
      <c r="L436">
        <v>1481</v>
      </c>
      <c r="M436" s="1">
        <v>674</v>
      </c>
      <c r="N436">
        <f t="shared" si="12"/>
        <v>1044</v>
      </c>
      <c r="O436">
        <v>283</v>
      </c>
      <c r="P436">
        <v>40</v>
      </c>
      <c r="Q436">
        <v>114</v>
      </c>
      <c r="R436">
        <v>613</v>
      </c>
      <c r="S436">
        <v>458</v>
      </c>
      <c r="T436">
        <v>35</v>
      </c>
      <c r="U436">
        <f t="shared" si="13"/>
        <v>4229</v>
      </c>
      <c r="V436">
        <v>1190</v>
      </c>
      <c r="W436">
        <v>66</v>
      </c>
      <c r="X436">
        <v>39</v>
      </c>
      <c r="Y436">
        <v>56</v>
      </c>
      <c r="Z436">
        <v>49</v>
      </c>
      <c r="AA436">
        <v>4</v>
      </c>
      <c r="AB436">
        <v>130</v>
      </c>
      <c r="AC436">
        <v>64</v>
      </c>
      <c r="AD436" s="1">
        <v>77</v>
      </c>
      <c r="AE436" s="1">
        <v>85</v>
      </c>
      <c r="AF436">
        <v>3.78</v>
      </c>
    </row>
    <row r="437" spans="1:32" x14ac:dyDescent="0.2">
      <c r="A437" s="52">
        <v>2014</v>
      </c>
      <c r="B437" t="s">
        <v>69</v>
      </c>
      <c r="C437" t="s">
        <v>38</v>
      </c>
      <c r="D437">
        <v>640</v>
      </c>
      <c r="E437">
        <v>162</v>
      </c>
      <c r="F437">
        <v>3</v>
      </c>
      <c r="G437">
        <v>9</v>
      </c>
      <c r="H437">
        <v>159</v>
      </c>
      <c r="I437">
        <v>45</v>
      </c>
      <c r="J437">
        <v>1457.2</v>
      </c>
      <c r="K437">
        <v>6106</v>
      </c>
      <c r="L437">
        <v>1386</v>
      </c>
      <c r="M437" s="1">
        <v>657</v>
      </c>
      <c r="N437">
        <f t="shared" si="12"/>
        <v>948</v>
      </c>
      <c r="O437">
        <v>249</v>
      </c>
      <c r="P437">
        <v>22</v>
      </c>
      <c r="Q437">
        <v>167</v>
      </c>
      <c r="R437">
        <v>594</v>
      </c>
      <c r="S437">
        <v>431</v>
      </c>
      <c r="T437">
        <v>20</v>
      </c>
      <c r="U437">
        <f t="shared" si="13"/>
        <v>4247</v>
      </c>
      <c r="V437">
        <v>1246</v>
      </c>
      <c r="W437">
        <v>54</v>
      </c>
      <c r="X437">
        <v>30</v>
      </c>
      <c r="Y437">
        <v>44</v>
      </c>
      <c r="Z437">
        <v>42</v>
      </c>
      <c r="AA437">
        <v>2</v>
      </c>
      <c r="AB437">
        <v>110</v>
      </c>
      <c r="AC437">
        <v>63</v>
      </c>
      <c r="AD437" s="1">
        <v>82</v>
      </c>
      <c r="AE437" s="1">
        <v>80</v>
      </c>
      <c r="AF437">
        <v>3.67</v>
      </c>
    </row>
    <row r="438" spans="1:32" x14ac:dyDescent="0.2">
      <c r="A438" s="52">
        <v>2014</v>
      </c>
      <c r="B438" t="s">
        <v>71</v>
      </c>
      <c r="C438" t="s">
        <v>163</v>
      </c>
      <c r="D438">
        <v>653</v>
      </c>
      <c r="E438">
        <v>162</v>
      </c>
      <c r="F438">
        <v>2</v>
      </c>
      <c r="G438">
        <v>7</v>
      </c>
      <c r="H438">
        <v>160</v>
      </c>
      <c r="I438">
        <v>38</v>
      </c>
      <c r="J438">
        <v>1435</v>
      </c>
      <c r="K438">
        <v>6212</v>
      </c>
      <c r="L438">
        <v>1588</v>
      </c>
      <c r="M438" s="1">
        <v>777</v>
      </c>
      <c r="N438">
        <f t="shared" si="12"/>
        <v>1084</v>
      </c>
      <c r="O438">
        <v>319</v>
      </c>
      <c r="P438">
        <v>38</v>
      </c>
      <c r="Q438">
        <v>147</v>
      </c>
      <c r="R438">
        <v>728</v>
      </c>
      <c r="S438">
        <v>408</v>
      </c>
      <c r="T438">
        <v>24</v>
      </c>
      <c r="U438">
        <f t="shared" si="13"/>
        <v>4171</v>
      </c>
      <c r="V438">
        <v>1031</v>
      </c>
      <c r="W438">
        <v>30</v>
      </c>
      <c r="X438">
        <v>63</v>
      </c>
      <c r="Y438">
        <v>50</v>
      </c>
      <c r="Z438">
        <v>45</v>
      </c>
      <c r="AA438">
        <v>6</v>
      </c>
      <c r="AB438">
        <v>120</v>
      </c>
      <c r="AC438">
        <v>60</v>
      </c>
      <c r="AD438" s="1">
        <v>70</v>
      </c>
      <c r="AE438" s="1">
        <v>92</v>
      </c>
      <c r="AF438">
        <v>4.57</v>
      </c>
    </row>
    <row r="439" spans="1:32" x14ac:dyDescent="0.2">
      <c r="A439" s="52">
        <v>2014</v>
      </c>
      <c r="B439" t="s">
        <v>158</v>
      </c>
      <c r="C439" t="s">
        <v>38</v>
      </c>
      <c r="D439">
        <v>651</v>
      </c>
      <c r="E439">
        <v>162</v>
      </c>
      <c r="F439">
        <v>1</v>
      </c>
      <c r="G439">
        <v>11</v>
      </c>
      <c r="H439">
        <v>161</v>
      </c>
      <c r="I439">
        <v>42</v>
      </c>
      <c r="J439">
        <v>1463.2</v>
      </c>
      <c r="K439">
        <v>6170</v>
      </c>
      <c r="L439">
        <v>1370</v>
      </c>
      <c r="M439" s="1">
        <v>618</v>
      </c>
      <c r="N439">
        <f t="shared" si="12"/>
        <v>937</v>
      </c>
      <c r="O439">
        <v>261</v>
      </c>
      <c r="P439">
        <v>31</v>
      </c>
      <c r="Q439">
        <v>141</v>
      </c>
      <c r="R439">
        <v>568</v>
      </c>
      <c r="S439">
        <v>509</v>
      </c>
      <c r="T439">
        <v>38</v>
      </c>
      <c r="U439">
        <f t="shared" si="13"/>
        <v>4241</v>
      </c>
      <c r="V439">
        <v>1303</v>
      </c>
      <c r="W439">
        <v>52</v>
      </c>
      <c r="X439">
        <v>25</v>
      </c>
      <c r="Y439">
        <v>56</v>
      </c>
      <c r="Z439">
        <v>50</v>
      </c>
      <c r="AA439">
        <v>1</v>
      </c>
      <c r="AB439">
        <v>139</v>
      </c>
      <c r="AC439">
        <v>69</v>
      </c>
      <c r="AD439" s="1">
        <v>79</v>
      </c>
      <c r="AE439" s="1">
        <v>83</v>
      </c>
      <c r="AF439">
        <v>3.49</v>
      </c>
    </row>
    <row r="440" spans="1:32" x14ac:dyDescent="0.2">
      <c r="A440" s="52">
        <v>2014</v>
      </c>
      <c r="B440" t="s">
        <v>158</v>
      </c>
      <c r="C440" t="s">
        <v>163</v>
      </c>
      <c r="D440">
        <v>637</v>
      </c>
      <c r="E440">
        <v>162</v>
      </c>
      <c r="F440">
        <v>5</v>
      </c>
      <c r="G440">
        <v>10</v>
      </c>
      <c r="H440">
        <v>157</v>
      </c>
      <c r="I440">
        <v>48</v>
      </c>
      <c r="J440">
        <v>1453</v>
      </c>
      <c r="K440">
        <v>6114</v>
      </c>
      <c r="L440">
        <v>1392</v>
      </c>
      <c r="M440" s="1">
        <v>664</v>
      </c>
      <c r="N440">
        <f t="shared" si="12"/>
        <v>941</v>
      </c>
      <c r="O440">
        <v>258</v>
      </c>
      <c r="P440">
        <v>29</v>
      </c>
      <c r="Q440">
        <v>164</v>
      </c>
      <c r="R440">
        <v>605</v>
      </c>
      <c r="S440">
        <v>398</v>
      </c>
      <c r="T440">
        <v>23</v>
      </c>
      <c r="U440">
        <f t="shared" si="13"/>
        <v>4259</v>
      </c>
      <c r="V440">
        <v>1370</v>
      </c>
      <c r="W440">
        <v>38</v>
      </c>
      <c r="X440">
        <v>45</v>
      </c>
      <c r="Y440">
        <v>49</v>
      </c>
      <c r="Z440">
        <v>65</v>
      </c>
      <c r="AA440">
        <v>6</v>
      </c>
      <c r="AB440">
        <v>87</v>
      </c>
      <c r="AC440">
        <v>70</v>
      </c>
      <c r="AD440" s="1">
        <v>84</v>
      </c>
      <c r="AE440" s="1">
        <v>78</v>
      </c>
      <c r="AF440">
        <v>3.75</v>
      </c>
    </row>
    <row r="441" spans="1:32" x14ac:dyDescent="0.2">
      <c r="A441" s="52">
        <v>2014</v>
      </c>
      <c r="B441" t="s">
        <v>79</v>
      </c>
      <c r="C441" t="s">
        <v>163</v>
      </c>
      <c r="D441">
        <v>603</v>
      </c>
      <c r="E441">
        <v>162</v>
      </c>
      <c r="F441">
        <v>7</v>
      </c>
      <c r="G441">
        <v>13</v>
      </c>
      <c r="H441">
        <v>155</v>
      </c>
      <c r="I441">
        <v>31</v>
      </c>
      <c r="J441">
        <v>1463.1</v>
      </c>
      <c r="K441">
        <v>5972</v>
      </c>
      <c r="L441">
        <v>1269</v>
      </c>
      <c r="M441" s="1">
        <v>572</v>
      </c>
      <c r="N441">
        <f t="shared" si="12"/>
        <v>901</v>
      </c>
      <c r="O441">
        <v>210</v>
      </c>
      <c r="P441">
        <v>11</v>
      </c>
      <c r="Q441">
        <v>147</v>
      </c>
      <c r="R441">
        <v>524</v>
      </c>
      <c r="S441">
        <v>406</v>
      </c>
      <c r="T441">
        <v>28</v>
      </c>
      <c r="U441">
        <f t="shared" si="13"/>
        <v>4249</v>
      </c>
      <c r="V441">
        <v>1244</v>
      </c>
      <c r="W441">
        <v>34</v>
      </c>
      <c r="X441">
        <v>32</v>
      </c>
      <c r="Y441">
        <v>59</v>
      </c>
      <c r="Z441">
        <v>48</v>
      </c>
      <c r="AA441">
        <v>1</v>
      </c>
      <c r="AB441">
        <v>130</v>
      </c>
      <c r="AC441">
        <v>68</v>
      </c>
      <c r="AD441" s="1">
        <v>88</v>
      </c>
      <c r="AE441" s="1">
        <v>74</v>
      </c>
      <c r="AF441">
        <v>3.22</v>
      </c>
    </row>
    <row r="442" spans="1:32" x14ac:dyDescent="0.2">
      <c r="A442" s="52">
        <v>2014</v>
      </c>
      <c r="B442" t="s">
        <v>81</v>
      </c>
      <c r="C442" t="s">
        <v>38</v>
      </c>
      <c r="D442">
        <v>623</v>
      </c>
      <c r="E442">
        <v>162</v>
      </c>
      <c r="F442">
        <v>2</v>
      </c>
      <c r="G442">
        <v>12</v>
      </c>
      <c r="H442">
        <v>160</v>
      </c>
      <c r="I442">
        <v>40</v>
      </c>
      <c r="J442">
        <v>1468.1</v>
      </c>
      <c r="K442">
        <v>6261</v>
      </c>
      <c r="L442">
        <v>1396</v>
      </c>
      <c r="M442" s="1">
        <v>687</v>
      </c>
      <c r="N442">
        <f t="shared" si="12"/>
        <v>946</v>
      </c>
      <c r="O442">
        <v>284</v>
      </c>
      <c r="P442">
        <v>32</v>
      </c>
      <c r="Q442">
        <v>134</v>
      </c>
      <c r="R442">
        <v>619</v>
      </c>
      <c r="S442">
        <v>521</v>
      </c>
      <c r="T442">
        <v>43</v>
      </c>
      <c r="U442">
        <f t="shared" si="13"/>
        <v>4275</v>
      </c>
      <c r="V442">
        <v>1255</v>
      </c>
      <c r="W442">
        <v>77</v>
      </c>
      <c r="X442">
        <v>48</v>
      </c>
      <c r="Y442">
        <v>49</v>
      </c>
      <c r="Z442">
        <v>69</v>
      </c>
      <c r="AA442">
        <v>1</v>
      </c>
      <c r="AB442">
        <v>110</v>
      </c>
      <c r="AC442">
        <v>62</v>
      </c>
      <c r="AD442" s="1">
        <v>73</v>
      </c>
      <c r="AE442" s="1">
        <v>89</v>
      </c>
      <c r="AF442">
        <v>3.79</v>
      </c>
    </row>
    <row r="443" spans="1:32" x14ac:dyDescent="0.2">
      <c r="A443" s="52">
        <v>2014</v>
      </c>
      <c r="B443" t="s">
        <v>83</v>
      </c>
      <c r="C443" t="s">
        <v>38</v>
      </c>
      <c r="D443">
        <v>614</v>
      </c>
      <c r="E443">
        <v>162</v>
      </c>
      <c r="F443">
        <v>2</v>
      </c>
      <c r="G443">
        <v>7</v>
      </c>
      <c r="H443">
        <v>160</v>
      </c>
      <c r="I443">
        <v>48</v>
      </c>
      <c r="J443">
        <v>1456.1</v>
      </c>
      <c r="K443">
        <v>6130</v>
      </c>
      <c r="L443">
        <v>1341</v>
      </c>
      <c r="M443" s="1">
        <v>631</v>
      </c>
      <c r="N443">
        <f t="shared" si="12"/>
        <v>952</v>
      </c>
      <c r="O443">
        <v>235</v>
      </c>
      <c r="P443">
        <v>26</v>
      </c>
      <c r="Q443">
        <v>128</v>
      </c>
      <c r="R443">
        <v>562</v>
      </c>
      <c r="S443">
        <v>499</v>
      </c>
      <c r="T443">
        <v>43</v>
      </c>
      <c r="U443">
        <f t="shared" si="13"/>
        <v>4202</v>
      </c>
      <c r="V443">
        <v>1228</v>
      </c>
      <c r="W443">
        <v>72</v>
      </c>
      <c r="X443">
        <v>42</v>
      </c>
      <c r="Y443">
        <v>71</v>
      </c>
      <c r="Z443">
        <v>88</v>
      </c>
      <c r="AA443">
        <v>3</v>
      </c>
      <c r="AB443">
        <v>131</v>
      </c>
      <c r="AC443">
        <v>68</v>
      </c>
      <c r="AD443" s="1">
        <v>88</v>
      </c>
      <c r="AE443" s="1">
        <v>74</v>
      </c>
      <c r="AF443">
        <v>3.47</v>
      </c>
    </row>
    <row r="444" spans="1:32" x14ac:dyDescent="0.2">
      <c r="A444" s="52">
        <v>2014</v>
      </c>
      <c r="B444" t="s">
        <v>161</v>
      </c>
      <c r="C444" t="s">
        <v>38</v>
      </c>
      <c r="D444">
        <v>643</v>
      </c>
      <c r="E444">
        <v>162</v>
      </c>
      <c r="F444">
        <v>4</v>
      </c>
      <c r="G444">
        <v>10</v>
      </c>
      <c r="H444">
        <v>158</v>
      </c>
      <c r="I444">
        <v>41</v>
      </c>
      <c r="J444">
        <v>1438.2</v>
      </c>
      <c r="K444">
        <v>6006</v>
      </c>
      <c r="L444">
        <v>1300</v>
      </c>
      <c r="M444" s="1">
        <v>577</v>
      </c>
      <c r="N444">
        <f t="shared" si="12"/>
        <v>904</v>
      </c>
      <c r="O444">
        <v>258</v>
      </c>
      <c r="P444">
        <v>21</v>
      </c>
      <c r="Q444">
        <v>117</v>
      </c>
      <c r="R444">
        <v>523</v>
      </c>
      <c r="S444">
        <v>462</v>
      </c>
      <c r="T444">
        <v>32</v>
      </c>
      <c r="U444">
        <f t="shared" si="13"/>
        <v>4198</v>
      </c>
      <c r="V444">
        <v>1284</v>
      </c>
      <c r="W444">
        <v>65</v>
      </c>
      <c r="X444">
        <v>40</v>
      </c>
      <c r="Y444">
        <v>57</v>
      </c>
      <c r="Z444">
        <v>46</v>
      </c>
      <c r="AA444">
        <v>4</v>
      </c>
      <c r="AB444">
        <v>100</v>
      </c>
      <c r="AC444">
        <v>65</v>
      </c>
      <c r="AD444" s="1">
        <v>77</v>
      </c>
      <c r="AE444" s="1">
        <v>85</v>
      </c>
      <c r="AF444">
        <v>3.27</v>
      </c>
    </row>
    <row r="445" spans="1:32" x14ac:dyDescent="0.2">
      <c r="A445" s="52">
        <v>2014</v>
      </c>
      <c r="B445" t="s">
        <v>87</v>
      </c>
      <c r="C445" t="s">
        <v>163</v>
      </c>
      <c r="D445">
        <v>660</v>
      </c>
      <c r="E445">
        <v>162</v>
      </c>
      <c r="F445">
        <v>2</v>
      </c>
      <c r="G445">
        <v>9</v>
      </c>
      <c r="H445">
        <v>160</v>
      </c>
      <c r="I445">
        <v>51</v>
      </c>
      <c r="J445">
        <v>1452</v>
      </c>
      <c r="K445">
        <v>5974</v>
      </c>
      <c r="L445">
        <v>1240</v>
      </c>
      <c r="M445" s="1">
        <v>554</v>
      </c>
      <c r="N445">
        <f t="shared" si="12"/>
        <v>855</v>
      </c>
      <c r="O445">
        <v>227</v>
      </c>
      <c r="P445">
        <v>21</v>
      </c>
      <c r="Q445">
        <v>137</v>
      </c>
      <c r="R445">
        <v>512</v>
      </c>
      <c r="S445">
        <v>463</v>
      </c>
      <c r="T445">
        <v>36</v>
      </c>
      <c r="U445">
        <f t="shared" si="13"/>
        <v>4219</v>
      </c>
      <c r="V445">
        <v>1317</v>
      </c>
      <c r="W445">
        <v>30</v>
      </c>
      <c r="X445">
        <v>40</v>
      </c>
      <c r="Y445">
        <v>80</v>
      </c>
      <c r="Z445">
        <v>52</v>
      </c>
      <c r="AA445">
        <v>8</v>
      </c>
      <c r="AB445">
        <v>116</v>
      </c>
      <c r="AC445">
        <v>51</v>
      </c>
      <c r="AD445" s="1">
        <v>87</v>
      </c>
      <c r="AE445" s="1">
        <v>75</v>
      </c>
      <c r="AF445">
        <v>3.17</v>
      </c>
    </row>
    <row r="446" spans="1:32" x14ac:dyDescent="0.2">
      <c r="A446" s="52">
        <v>2014</v>
      </c>
      <c r="B446" t="s">
        <v>21</v>
      </c>
      <c r="C446" t="s">
        <v>38</v>
      </c>
      <c r="D446">
        <v>637</v>
      </c>
      <c r="E446">
        <v>162</v>
      </c>
      <c r="F446">
        <v>8</v>
      </c>
      <c r="G446">
        <v>12</v>
      </c>
      <c r="H446">
        <v>154</v>
      </c>
      <c r="I446">
        <v>46</v>
      </c>
      <c r="J446">
        <v>1449</v>
      </c>
      <c r="K446">
        <v>5947</v>
      </c>
      <c r="L446">
        <v>1305</v>
      </c>
      <c r="M446" s="1">
        <v>614</v>
      </c>
      <c r="N446">
        <f t="shared" si="12"/>
        <v>858</v>
      </c>
      <c r="O446">
        <v>266</v>
      </c>
      <c r="P446">
        <v>48</v>
      </c>
      <c r="Q446">
        <v>133</v>
      </c>
      <c r="R446">
        <v>564</v>
      </c>
      <c r="S446">
        <v>389</v>
      </c>
      <c r="T446">
        <v>35</v>
      </c>
      <c r="U446">
        <f t="shared" si="13"/>
        <v>4196</v>
      </c>
      <c r="V446">
        <v>1211</v>
      </c>
      <c r="W446">
        <v>51</v>
      </c>
      <c r="X446">
        <v>38</v>
      </c>
      <c r="Y446">
        <v>49</v>
      </c>
      <c r="Z446">
        <v>57</v>
      </c>
      <c r="AA446">
        <v>6</v>
      </c>
      <c r="AB446">
        <v>132</v>
      </c>
      <c r="AC446">
        <v>74</v>
      </c>
      <c r="AD446" s="1">
        <v>88</v>
      </c>
      <c r="AE446" s="1">
        <v>74</v>
      </c>
      <c r="AF446">
        <v>3.5</v>
      </c>
    </row>
    <row r="447" spans="1:32" x14ac:dyDescent="0.2">
      <c r="A447" s="52">
        <v>2014</v>
      </c>
      <c r="B447" t="s">
        <v>156</v>
      </c>
      <c r="C447" t="s">
        <v>38</v>
      </c>
      <c r="D447">
        <v>647</v>
      </c>
      <c r="E447">
        <v>162</v>
      </c>
      <c r="F447">
        <v>8</v>
      </c>
      <c r="G447">
        <v>23</v>
      </c>
      <c r="H447">
        <v>154</v>
      </c>
      <c r="I447">
        <v>55</v>
      </c>
      <c r="J447">
        <v>1448.2</v>
      </c>
      <c r="K447">
        <v>6069</v>
      </c>
      <c r="L447">
        <v>1321</v>
      </c>
      <c r="M447" s="1">
        <v>603</v>
      </c>
      <c r="N447">
        <f t="shared" si="12"/>
        <v>919</v>
      </c>
      <c r="O447">
        <v>253</v>
      </c>
      <c r="P447">
        <v>26</v>
      </c>
      <c r="Q447">
        <v>123</v>
      </c>
      <c r="R447">
        <v>564</v>
      </c>
      <c r="S447">
        <v>470</v>
      </c>
      <c r="T447">
        <v>35</v>
      </c>
      <c r="U447">
        <f t="shared" si="13"/>
        <v>4217</v>
      </c>
      <c r="V447">
        <v>1221</v>
      </c>
      <c r="W447">
        <v>51</v>
      </c>
      <c r="X447">
        <v>34</v>
      </c>
      <c r="Y447">
        <v>44</v>
      </c>
      <c r="Z447">
        <v>61</v>
      </c>
      <c r="AA447">
        <v>5</v>
      </c>
      <c r="AB447">
        <v>130</v>
      </c>
      <c r="AC447">
        <v>63</v>
      </c>
      <c r="AD447" s="1">
        <v>90</v>
      </c>
      <c r="AE447" s="1">
        <v>72</v>
      </c>
      <c r="AF447">
        <v>3.5</v>
      </c>
    </row>
    <row r="448" spans="1:32" x14ac:dyDescent="0.2">
      <c r="A448" s="52">
        <v>2014</v>
      </c>
      <c r="B448" t="s">
        <v>165</v>
      </c>
      <c r="C448" t="s">
        <v>163</v>
      </c>
      <c r="D448">
        <v>656</v>
      </c>
      <c r="E448">
        <v>162</v>
      </c>
      <c r="F448">
        <v>3</v>
      </c>
      <c r="G448">
        <v>22</v>
      </c>
      <c r="H448">
        <v>159</v>
      </c>
      <c r="I448">
        <v>37</v>
      </c>
      <c r="J448">
        <v>1463.2</v>
      </c>
      <c r="K448">
        <v>6131</v>
      </c>
      <c r="L448">
        <v>1292</v>
      </c>
      <c r="M448" s="1">
        <v>625</v>
      </c>
      <c r="N448">
        <f t="shared" si="12"/>
        <v>893</v>
      </c>
      <c r="O448">
        <v>236</v>
      </c>
      <c r="P448">
        <v>18</v>
      </c>
      <c r="Q448">
        <v>145</v>
      </c>
      <c r="R448">
        <v>579</v>
      </c>
      <c r="S448">
        <v>482</v>
      </c>
      <c r="T448">
        <v>27</v>
      </c>
      <c r="U448">
        <f t="shared" si="13"/>
        <v>4299</v>
      </c>
      <c r="V448">
        <v>1437</v>
      </c>
      <c r="W448">
        <v>27</v>
      </c>
      <c r="X448">
        <v>45</v>
      </c>
      <c r="Y448">
        <v>65</v>
      </c>
      <c r="Z448">
        <v>58</v>
      </c>
      <c r="AA448">
        <v>3</v>
      </c>
      <c r="AB448">
        <v>79</v>
      </c>
      <c r="AC448">
        <v>54</v>
      </c>
      <c r="AD448" s="1">
        <v>77</v>
      </c>
      <c r="AE448" s="1">
        <v>85</v>
      </c>
      <c r="AF448">
        <v>3.56</v>
      </c>
    </row>
    <row r="449" spans="1:32" x14ac:dyDescent="0.2">
      <c r="A449" s="52">
        <v>2014</v>
      </c>
      <c r="B449" t="s">
        <v>95</v>
      </c>
      <c r="C449" t="s">
        <v>163</v>
      </c>
      <c r="D449">
        <v>638</v>
      </c>
      <c r="E449">
        <v>162</v>
      </c>
      <c r="F449">
        <v>6</v>
      </c>
      <c r="G449">
        <v>17</v>
      </c>
      <c r="H449">
        <v>156</v>
      </c>
      <c r="I449">
        <v>33</v>
      </c>
      <c r="J449">
        <v>1426.1</v>
      </c>
      <c r="K449">
        <v>6195</v>
      </c>
      <c r="L449">
        <v>1510</v>
      </c>
      <c r="M449" s="1">
        <v>773</v>
      </c>
      <c r="N449">
        <f t="shared" si="12"/>
        <v>992</v>
      </c>
      <c r="O449">
        <v>329</v>
      </c>
      <c r="P449">
        <v>29</v>
      </c>
      <c r="Q449">
        <v>160</v>
      </c>
      <c r="R449">
        <v>711</v>
      </c>
      <c r="S449">
        <v>505</v>
      </c>
      <c r="T449">
        <v>43</v>
      </c>
      <c r="U449">
        <f t="shared" si="13"/>
        <v>4119</v>
      </c>
      <c r="V449">
        <v>1110</v>
      </c>
      <c r="W449">
        <v>24</v>
      </c>
      <c r="X449">
        <v>49</v>
      </c>
      <c r="Y449">
        <v>61</v>
      </c>
      <c r="Z449">
        <v>61</v>
      </c>
      <c r="AA449">
        <v>7</v>
      </c>
      <c r="AB449">
        <v>129</v>
      </c>
      <c r="AC449">
        <v>65</v>
      </c>
      <c r="AD449" s="1">
        <v>67</v>
      </c>
      <c r="AE449" s="1">
        <v>95</v>
      </c>
      <c r="AF449">
        <v>4.49</v>
      </c>
    </row>
    <row r="450" spans="1:32" x14ac:dyDescent="0.2">
      <c r="A450" s="52">
        <v>2014</v>
      </c>
      <c r="B450" t="s">
        <v>97</v>
      </c>
      <c r="C450" t="s">
        <v>163</v>
      </c>
      <c r="D450">
        <v>611</v>
      </c>
      <c r="E450">
        <v>162</v>
      </c>
      <c r="F450">
        <v>3</v>
      </c>
      <c r="G450">
        <v>16</v>
      </c>
      <c r="H450">
        <v>159</v>
      </c>
      <c r="I450">
        <v>45</v>
      </c>
      <c r="J450">
        <v>1443</v>
      </c>
      <c r="K450">
        <v>6150</v>
      </c>
      <c r="L450">
        <v>1400</v>
      </c>
      <c r="M450" s="1">
        <v>686</v>
      </c>
      <c r="N450">
        <f t="shared" si="12"/>
        <v>886</v>
      </c>
      <c r="O450">
        <v>331</v>
      </c>
      <c r="P450">
        <v>32</v>
      </c>
      <c r="Q450">
        <v>151</v>
      </c>
      <c r="R450">
        <v>642</v>
      </c>
      <c r="S450">
        <v>490</v>
      </c>
      <c r="T450">
        <v>23</v>
      </c>
      <c r="U450">
        <f t="shared" si="13"/>
        <v>4203</v>
      </c>
      <c r="V450">
        <v>1199</v>
      </c>
      <c r="W450">
        <v>25</v>
      </c>
      <c r="X450">
        <v>48</v>
      </c>
      <c r="Y450">
        <v>43</v>
      </c>
      <c r="Z450">
        <v>57</v>
      </c>
      <c r="AA450">
        <v>5</v>
      </c>
      <c r="AB450">
        <v>113</v>
      </c>
      <c r="AC450">
        <v>58</v>
      </c>
      <c r="AD450" s="1">
        <v>83</v>
      </c>
      <c r="AE450" s="1">
        <v>79</v>
      </c>
      <c r="AF450">
        <v>4</v>
      </c>
    </row>
    <row r="451" spans="1:32" x14ac:dyDescent="0.2">
      <c r="A451" s="52">
        <v>2014</v>
      </c>
      <c r="B451" t="s">
        <v>101</v>
      </c>
      <c r="C451" t="s">
        <v>38</v>
      </c>
      <c r="D451">
        <v>620</v>
      </c>
      <c r="E451">
        <v>162</v>
      </c>
      <c r="F451">
        <v>5</v>
      </c>
      <c r="G451">
        <v>19</v>
      </c>
      <c r="H451">
        <v>157</v>
      </c>
      <c r="I451">
        <v>45</v>
      </c>
      <c r="J451">
        <v>1470.2</v>
      </c>
      <c r="K451">
        <v>6020</v>
      </c>
      <c r="L451">
        <v>1351</v>
      </c>
      <c r="M451" s="1">
        <v>555</v>
      </c>
      <c r="N451">
        <f t="shared" ref="N451:N514" si="14">L451-(O451+P451+Q451)</f>
        <v>971</v>
      </c>
      <c r="O451">
        <v>242</v>
      </c>
      <c r="P451">
        <v>28</v>
      </c>
      <c r="Q451">
        <v>110</v>
      </c>
      <c r="R451">
        <v>495</v>
      </c>
      <c r="S451">
        <v>352</v>
      </c>
      <c r="T451">
        <v>26</v>
      </c>
      <c r="U451">
        <f t="shared" ref="U451:U514" si="15">K451-(L451+S451+Z451)</f>
        <v>4266</v>
      </c>
      <c r="V451">
        <v>1288</v>
      </c>
      <c r="W451">
        <v>51</v>
      </c>
      <c r="X451">
        <v>32</v>
      </c>
      <c r="Y451">
        <v>37</v>
      </c>
      <c r="Z451">
        <v>51</v>
      </c>
      <c r="AA451">
        <v>2</v>
      </c>
      <c r="AB451">
        <v>116</v>
      </c>
      <c r="AC451">
        <v>59</v>
      </c>
      <c r="AD451" s="1">
        <v>96</v>
      </c>
      <c r="AE451" s="1">
        <v>66</v>
      </c>
      <c r="AF451">
        <v>3.03</v>
      </c>
    </row>
    <row r="452" spans="1:32" x14ac:dyDescent="0.2">
      <c r="A452" s="52">
        <v>2015</v>
      </c>
      <c r="B452" t="s">
        <v>37</v>
      </c>
      <c r="C452" t="s">
        <v>163</v>
      </c>
      <c r="D452">
        <v>680</v>
      </c>
      <c r="E452">
        <v>162</v>
      </c>
      <c r="F452">
        <v>2</v>
      </c>
      <c r="G452">
        <v>12</v>
      </c>
      <c r="H452">
        <v>160</v>
      </c>
      <c r="I452">
        <v>46</v>
      </c>
      <c r="J452">
        <v>1440.2</v>
      </c>
      <c r="K452">
        <v>6096</v>
      </c>
      <c r="L452">
        <v>1355</v>
      </c>
      <c r="M452" s="1">
        <v>675</v>
      </c>
      <c r="N452">
        <f t="shared" si="14"/>
        <v>897</v>
      </c>
      <c r="O452">
        <v>273</v>
      </c>
      <c r="P452">
        <v>19</v>
      </c>
      <c r="Q452">
        <v>166</v>
      </c>
      <c r="R452">
        <v>630</v>
      </c>
      <c r="S452">
        <v>466</v>
      </c>
      <c r="T452">
        <v>45</v>
      </c>
      <c r="U452">
        <f t="shared" si="15"/>
        <v>4204</v>
      </c>
      <c r="V452">
        <v>1221</v>
      </c>
      <c r="W452">
        <v>42</v>
      </c>
      <c r="X452">
        <v>50</v>
      </c>
      <c r="Y452">
        <v>61</v>
      </c>
      <c r="Z452">
        <v>71</v>
      </c>
      <c r="AA452">
        <v>4</v>
      </c>
      <c r="AB452">
        <v>91</v>
      </c>
      <c r="AC452">
        <v>71</v>
      </c>
      <c r="AD452" s="1">
        <v>85</v>
      </c>
      <c r="AE452" s="1">
        <v>77</v>
      </c>
      <c r="AF452">
        <v>3.94</v>
      </c>
    </row>
    <row r="453" spans="1:32" x14ac:dyDescent="0.2">
      <c r="A453" s="52">
        <v>2015</v>
      </c>
      <c r="B453" t="s">
        <v>40</v>
      </c>
      <c r="C453" t="s">
        <v>38</v>
      </c>
      <c r="D453">
        <v>712</v>
      </c>
      <c r="E453">
        <v>162</v>
      </c>
      <c r="F453">
        <v>1</v>
      </c>
      <c r="G453">
        <v>12</v>
      </c>
      <c r="H453">
        <v>161</v>
      </c>
      <c r="I453">
        <v>44</v>
      </c>
      <c r="J453">
        <v>1466.2</v>
      </c>
      <c r="K453">
        <v>6257</v>
      </c>
      <c r="L453">
        <v>1450</v>
      </c>
      <c r="M453" s="1">
        <v>713</v>
      </c>
      <c r="N453">
        <f t="shared" si="14"/>
        <v>920</v>
      </c>
      <c r="O453">
        <v>318</v>
      </c>
      <c r="P453">
        <v>30</v>
      </c>
      <c r="Q453">
        <v>182</v>
      </c>
      <c r="R453">
        <v>659</v>
      </c>
      <c r="S453">
        <v>500</v>
      </c>
      <c r="T453">
        <v>45</v>
      </c>
      <c r="U453">
        <f t="shared" si="15"/>
        <v>4259</v>
      </c>
      <c r="V453">
        <v>1215</v>
      </c>
      <c r="W453">
        <v>44</v>
      </c>
      <c r="X453">
        <v>46</v>
      </c>
      <c r="Y453">
        <v>51</v>
      </c>
      <c r="Z453">
        <v>48</v>
      </c>
      <c r="AA453">
        <v>3</v>
      </c>
      <c r="AB453">
        <v>125</v>
      </c>
      <c r="AC453">
        <v>64</v>
      </c>
      <c r="AD453" s="1">
        <v>79</v>
      </c>
      <c r="AE453" s="1">
        <v>83</v>
      </c>
      <c r="AF453">
        <v>4.04</v>
      </c>
    </row>
    <row r="454" spans="1:32" x14ac:dyDescent="0.2">
      <c r="A454" s="52">
        <v>2015</v>
      </c>
      <c r="B454" t="s">
        <v>42</v>
      </c>
      <c r="C454" t="s">
        <v>38</v>
      </c>
      <c r="D454">
        <v>694</v>
      </c>
      <c r="E454">
        <v>162</v>
      </c>
      <c r="F454">
        <v>3</v>
      </c>
      <c r="G454">
        <v>10</v>
      </c>
      <c r="H454">
        <v>159</v>
      </c>
      <c r="I454">
        <v>44</v>
      </c>
      <c r="J454">
        <v>1425.1</v>
      </c>
      <c r="K454">
        <v>6156</v>
      </c>
      <c r="L454">
        <v>1462</v>
      </c>
      <c r="M454" s="1">
        <v>760</v>
      </c>
      <c r="N454">
        <f t="shared" si="14"/>
        <v>974</v>
      </c>
      <c r="O454">
        <v>285</v>
      </c>
      <c r="P454">
        <v>33</v>
      </c>
      <c r="Q454">
        <v>170</v>
      </c>
      <c r="R454">
        <v>698</v>
      </c>
      <c r="S454">
        <v>550</v>
      </c>
      <c r="T454">
        <v>45</v>
      </c>
      <c r="U454">
        <f t="shared" si="15"/>
        <v>4091</v>
      </c>
      <c r="V454">
        <v>1148</v>
      </c>
      <c r="W454">
        <v>56</v>
      </c>
      <c r="X454">
        <v>46</v>
      </c>
      <c r="Y454">
        <v>53</v>
      </c>
      <c r="Z454">
        <v>53</v>
      </c>
      <c r="AA454">
        <v>9</v>
      </c>
      <c r="AB454">
        <v>165</v>
      </c>
      <c r="AC454">
        <v>68</v>
      </c>
      <c r="AD454" s="1">
        <v>67</v>
      </c>
      <c r="AE454" s="1">
        <v>95</v>
      </c>
      <c r="AF454">
        <v>4.41</v>
      </c>
    </row>
    <row r="455" spans="1:32" x14ac:dyDescent="0.2">
      <c r="A455" s="52">
        <v>2015</v>
      </c>
      <c r="B455" t="s">
        <v>45</v>
      </c>
      <c r="C455" t="s">
        <v>163</v>
      </c>
      <c r="D455">
        <v>615</v>
      </c>
      <c r="E455">
        <v>162</v>
      </c>
      <c r="F455">
        <v>0</v>
      </c>
      <c r="G455">
        <v>10</v>
      </c>
      <c r="H455">
        <v>162</v>
      </c>
      <c r="I455">
        <v>43</v>
      </c>
      <c r="J455">
        <v>1434.2</v>
      </c>
      <c r="K455">
        <v>6085</v>
      </c>
      <c r="L455">
        <v>1406</v>
      </c>
      <c r="M455" s="1">
        <v>693</v>
      </c>
      <c r="N455">
        <f t="shared" si="14"/>
        <v>892</v>
      </c>
      <c r="O455">
        <v>317</v>
      </c>
      <c r="P455">
        <v>23</v>
      </c>
      <c r="Q455">
        <v>174</v>
      </c>
      <c r="R455">
        <v>646</v>
      </c>
      <c r="S455">
        <v>483</v>
      </c>
      <c r="T455">
        <v>27</v>
      </c>
      <c r="U455">
        <f t="shared" si="15"/>
        <v>4142</v>
      </c>
      <c r="V455">
        <v>1233</v>
      </c>
      <c r="W455">
        <v>24</v>
      </c>
      <c r="X455">
        <v>44</v>
      </c>
      <c r="Y455">
        <v>46</v>
      </c>
      <c r="Z455">
        <v>54</v>
      </c>
      <c r="AA455">
        <v>0</v>
      </c>
      <c r="AB455">
        <v>116</v>
      </c>
      <c r="AC455">
        <v>56</v>
      </c>
      <c r="AD455" s="1">
        <v>81</v>
      </c>
      <c r="AE455" s="1">
        <v>81</v>
      </c>
      <c r="AF455">
        <v>4.05</v>
      </c>
    </row>
    <row r="456" spans="1:32" x14ac:dyDescent="0.2">
      <c r="A456" s="52">
        <v>2015</v>
      </c>
      <c r="B456" t="s">
        <v>47</v>
      </c>
      <c r="C456" t="s">
        <v>163</v>
      </c>
      <c r="D456">
        <v>637</v>
      </c>
      <c r="E456">
        <v>162</v>
      </c>
      <c r="F456">
        <v>3</v>
      </c>
      <c r="G456">
        <v>10</v>
      </c>
      <c r="H456">
        <v>159</v>
      </c>
      <c r="I456">
        <v>40</v>
      </c>
      <c r="J456">
        <v>1448.1</v>
      </c>
      <c r="K456">
        <v>6225</v>
      </c>
      <c r="L456">
        <v>1486</v>
      </c>
      <c r="M456" s="1">
        <v>753</v>
      </c>
      <c r="N456">
        <f t="shared" si="14"/>
        <v>977</v>
      </c>
      <c r="O456">
        <v>299</v>
      </c>
      <c r="P456">
        <v>32</v>
      </c>
      <c r="Q456">
        <v>178</v>
      </c>
      <c r="R456">
        <v>694</v>
      </c>
      <c r="S456">
        <v>478</v>
      </c>
      <c r="T456">
        <v>17</v>
      </c>
      <c r="U456">
        <f t="shared" si="15"/>
        <v>4199</v>
      </c>
      <c r="V456">
        <v>1218</v>
      </c>
      <c r="W456">
        <v>23</v>
      </c>
      <c r="X456">
        <v>37</v>
      </c>
      <c r="Y456">
        <v>79</v>
      </c>
      <c r="Z456">
        <v>62</v>
      </c>
      <c r="AA456">
        <v>10</v>
      </c>
      <c r="AB456">
        <v>126</v>
      </c>
      <c r="AC456">
        <v>66</v>
      </c>
      <c r="AD456" s="1">
        <v>78</v>
      </c>
      <c r="AE456" s="1">
        <v>84</v>
      </c>
      <c r="AF456">
        <v>4.3099999999999996</v>
      </c>
    </row>
    <row r="457" spans="1:32" x14ac:dyDescent="0.2">
      <c r="A457" s="52">
        <v>2015</v>
      </c>
      <c r="B457" t="s">
        <v>157</v>
      </c>
      <c r="C457" t="s">
        <v>38</v>
      </c>
      <c r="D457">
        <v>714</v>
      </c>
      <c r="E457">
        <v>162</v>
      </c>
      <c r="F457">
        <v>6</v>
      </c>
      <c r="G457">
        <v>21</v>
      </c>
      <c r="H457">
        <v>156</v>
      </c>
      <c r="I457">
        <v>48</v>
      </c>
      <c r="J457">
        <v>1461.1</v>
      </c>
      <c r="K457">
        <v>5997</v>
      </c>
      <c r="L457">
        <v>1276</v>
      </c>
      <c r="M457" s="1">
        <v>608</v>
      </c>
      <c r="N457">
        <f t="shared" si="14"/>
        <v>819</v>
      </c>
      <c r="O457">
        <v>286</v>
      </c>
      <c r="P457">
        <v>37</v>
      </c>
      <c r="Q457">
        <v>134</v>
      </c>
      <c r="R457">
        <v>546</v>
      </c>
      <c r="S457">
        <v>407</v>
      </c>
      <c r="T457">
        <v>38</v>
      </c>
      <c r="U457">
        <f t="shared" si="15"/>
        <v>4268</v>
      </c>
      <c r="V457">
        <v>1431</v>
      </c>
      <c r="W457">
        <v>36</v>
      </c>
      <c r="X457">
        <v>30</v>
      </c>
      <c r="Y457">
        <v>66</v>
      </c>
      <c r="Z457">
        <v>46</v>
      </c>
      <c r="AA457">
        <v>3</v>
      </c>
      <c r="AB457">
        <v>98</v>
      </c>
      <c r="AC457">
        <v>81</v>
      </c>
      <c r="AD457" s="1">
        <v>97</v>
      </c>
      <c r="AE457" s="1">
        <v>65</v>
      </c>
      <c r="AF457">
        <v>3.36</v>
      </c>
    </row>
    <row r="458" spans="1:32" x14ac:dyDescent="0.2">
      <c r="A458" s="52">
        <v>2015</v>
      </c>
      <c r="B458" t="s">
        <v>157</v>
      </c>
      <c r="C458" t="s">
        <v>163</v>
      </c>
      <c r="D458">
        <v>576</v>
      </c>
      <c r="E458">
        <v>162</v>
      </c>
      <c r="F458">
        <v>7</v>
      </c>
      <c r="G458">
        <v>9</v>
      </c>
      <c r="H458">
        <v>155</v>
      </c>
      <c r="I458">
        <v>37</v>
      </c>
      <c r="J458">
        <v>1452.2</v>
      </c>
      <c r="K458">
        <v>6181</v>
      </c>
      <c r="L458">
        <v>1443</v>
      </c>
      <c r="M458" s="1">
        <v>701</v>
      </c>
      <c r="N458">
        <f t="shared" si="14"/>
        <v>970</v>
      </c>
      <c r="O458">
        <v>272</v>
      </c>
      <c r="P458">
        <v>39</v>
      </c>
      <c r="Q458">
        <v>162</v>
      </c>
      <c r="R458">
        <v>643</v>
      </c>
      <c r="S458">
        <v>474</v>
      </c>
      <c r="T458">
        <v>34</v>
      </c>
      <c r="U458">
        <f t="shared" si="15"/>
        <v>4202</v>
      </c>
      <c r="V458">
        <v>1359</v>
      </c>
      <c r="W458">
        <v>42</v>
      </c>
      <c r="X458">
        <v>43</v>
      </c>
      <c r="Y458">
        <v>61</v>
      </c>
      <c r="Z458">
        <v>62</v>
      </c>
      <c r="AA458">
        <v>2</v>
      </c>
      <c r="AB458">
        <v>134</v>
      </c>
      <c r="AC458">
        <v>69</v>
      </c>
      <c r="AD458" s="1">
        <v>76</v>
      </c>
      <c r="AE458" s="1">
        <v>86</v>
      </c>
      <c r="AF458">
        <v>3.98</v>
      </c>
    </row>
    <row r="459" spans="1:32" x14ac:dyDescent="0.2">
      <c r="A459" s="52">
        <v>2015</v>
      </c>
      <c r="B459" t="s">
        <v>53</v>
      </c>
      <c r="C459" t="s">
        <v>38</v>
      </c>
      <c r="D459">
        <v>683</v>
      </c>
      <c r="E459">
        <v>162</v>
      </c>
      <c r="F459">
        <v>2</v>
      </c>
      <c r="G459">
        <v>8</v>
      </c>
      <c r="H459">
        <v>160</v>
      </c>
      <c r="I459">
        <v>35</v>
      </c>
      <c r="J459">
        <v>1453.1</v>
      </c>
      <c r="K459">
        <v>6271</v>
      </c>
      <c r="L459">
        <v>1436</v>
      </c>
      <c r="M459" s="1">
        <v>754</v>
      </c>
      <c r="N459">
        <f t="shared" si="14"/>
        <v>917</v>
      </c>
      <c r="O459">
        <v>317</v>
      </c>
      <c r="P459">
        <v>25</v>
      </c>
      <c r="Q459">
        <v>177</v>
      </c>
      <c r="R459">
        <v>700</v>
      </c>
      <c r="S459">
        <v>544</v>
      </c>
      <c r="T459">
        <v>42</v>
      </c>
      <c r="U459">
        <f t="shared" si="15"/>
        <v>4233</v>
      </c>
      <c r="V459">
        <v>1252</v>
      </c>
      <c r="W459">
        <v>62</v>
      </c>
      <c r="X459">
        <v>45</v>
      </c>
      <c r="Y459">
        <v>54</v>
      </c>
      <c r="Z459">
        <v>58</v>
      </c>
      <c r="AA459">
        <v>11</v>
      </c>
      <c r="AB459">
        <v>117</v>
      </c>
      <c r="AC459">
        <v>69</v>
      </c>
      <c r="AD459" s="1">
        <v>64</v>
      </c>
      <c r="AE459" s="1">
        <v>98</v>
      </c>
      <c r="AF459">
        <v>4.33</v>
      </c>
    </row>
    <row r="460" spans="1:32" x14ac:dyDescent="0.2">
      <c r="A460" s="52">
        <v>2015</v>
      </c>
      <c r="B460" t="s">
        <v>55</v>
      </c>
      <c r="C460" t="s">
        <v>163</v>
      </c>
      <c r="D460">
        <v>637</v>
      </c>
      <c r="E460">
        <v>161</v>
      </c>
      <c r="F460">
        <v>11</v>
      </c>
      <c r="G460">
        <v>10</v>
      </c>
      <c r="H460">
        <v>150</v>
      </c>
      <c r="I460">
        <v>38</v>
      </c>
      <c r="J460">
        <v>1432.2</v>
      </c>
      <c r="K460">
        <v>5904</v>
      </c>
      <c r="L460">
        <v>1274</v>
      </c>
      <c r="M460" s="1">
        <v>640</v>
      </c>
      <c r="N460">
        <f t="shared" si="14"/>
        <v>828</v>
      </c>
      <c r="O460">
        <v>254</v>
      </c>
      <c r="P460">
        <v>31</v>
      </c>
      <c r="Q460">
        <v>161</v>
      </c>
      <c r="R460">
        <v>584</v>
      </c>
      <c r="S460">
        <v>425</v>
      </c>
      <c r="T460">
        <v>27</v>
      </c>
      <c r="U460">
        <f t="shared" si="15"/>
        <v>4157</v>
      </c>
      <c r="V460">
        <v>1407</v>
      </c>
      <c r="W460">
        <v>26</v>
      </c>
      <c r="X460">
        <v>32</v>
      </c>
      <c r="Y460">
        <v>48</v>
      </c>
      <c r="Z460">
        <v>48</v>
      </c>
      <c r="AA460">
        <v>5</v>
      </c>
      <c r="AB460">
        <v>119</v>
      </c>
      <c r="AC460">
        <v>56</v>
      </c>
      <c r="AD460" s="1">
        <v>81</v>
      </c>
      <c r="AE460" s="1">
        <v>80</v>
      </c>
      <c r="AF460">
        <v>3.67</v>
      </c>
    </row>
    <row r="461" spans="1:32" x14ac:dyDescent="0.2">
      <c r="A461" s="52">
        <v>2015</v>
      </c>
      <c r="B461" t="s">
        <v>57</v>
      </c>
      <c r="C461" t="s">
        <v>38</v>
      </c>
      <c r="D461">
        <v>746</v>
      </c>
      <c r="E461">
        <v>162</v>
      </c>
      <c r="F461">
        <v>4</v>
      </c>
      <c r="G461">
        <v>4</v>
      </c>
      <c r="H461">
        <v>158</v>
      </c>
      <c r="I461">
        <v>36</v>
      </c>
      <c r="J461">
        <v>1426.1</v>
      </c>
      <c r="K461">
        <v>6308</v>
      </c>
      <c r="L461">
        <v>1579</v>
      </c>
      <c r="M461" s="1">
        <v>844</v>
      </c>
      <c r="N461">
        <f t="shared" si="14"/>
        <v>992</v>
      </c>
      <c r="O461">
        <v>363</v>
      </c>
      <c r="P461">
        <v>41</v>
      </c>
      <c r="Q461">
        <v>183</v>
      </c>
      <c r="R461">
        <v>799</v>
      </c>
      <c r="S461">
        <v>579</v>
      </c>
      <c r="T461">
        <v>42</v>
      </c>
      <c r="U461">
        <f t="shared" si="15"/>
        <v>4102</v>
      </c>
      <c r="V461">
        <v>1112</v>
      </c>
      <c r="W461">
        <v>57</v>
      </c>
      <c r="X461">
        <v>40</v>
      </c>
      <c r="Y461">
        <v>66</v>
      </c>
      <c r="Z461">
        <v>48</v>
      </c>
      <c r="AA461">
        <v>6</v>
      </c>
      <c r="AB461">
        <v>153</v>
      </c>
      <c r="AC461">
        <v>61</v>
      </c>
      <c r="AD461" s="1">
        <v>68</v>
      </c>
      <c r="AE461" s="1">
        <v>94</v>
      </c>
      <c r="AF461">
        <v>5.04</v>
      </c>
    </row>
    <row r="462" spans="1:32" x14ac:dyDescent="0.2">
      <c r="A462" s="52">
        <v>2015</v>
      </c>
      <c r="B462" t="s">
        <v>59</v>
      </c>
      <c r="C462" t="s">
        <v>163</v>
      </c>
      <c r="D462">
        <v>666</v>
      </c>
      <c r="E462">
        <v>161</v>
      </c>
      <c r="F462">
        <v>7</v>
      </c>
      <c r="G462">
        <v>12</v>
      </c>
      <c r="H462">
        <v>154</v>
      </c>
      <c r="I462">
        <v>35</v>
      </c>
      <c r="J462">
        <v>1447</v>
      </c>
      <c r="K462">
        <v>6188</v>
      </c>
      <c r="L462">
        <v>1491</v>
      </c>
      <c r="M462" s="1">
        <v>803</v>
      </c>
      <c r="N462">
        <f t="shared" si="14"/>
        <v>958</v>
      </c>
      <c r="O462">
        <v>280</v>
      </c>
      <c r="P462">
        <v>60</v>
      </c>
      <c r="Q462">
        <v>193</v>
      </c>
      <c r="R462">
        <v>746</v>
      </c>
      <c r="S462">
        <v>489</v>
      </c>
      <c r="T462">
        <v>32</v>
      </c>
      <c r="U462">
        <f t="shared" si="15"/>
        <v>4162</v>
      </c>
      <c r="V462">
        <v>1100</v>
      </c>
      <c r="W462">
        <v>44</v>
      </c>
      <c r="X462">
        <v>44</v>
      </c>
      <c r="Y462">
        <v>60</v>
      </c>
      <c r="Z462">
        <v>46</v>
      </c>
      <c r="AA462">
        <v>8</v>
      </c>
      <c r="AB462">
        <v>137</v>
      </c>
      <c r="AC462">
        <v>63</v>
      </c>
      <c r="AD462" s="1">
        <v>74</v>
      </c>
      <c r="AE462" s="1">
        <v>87</v>
      </c>
      <c r="AF462">
        <v>4.6399999999999997</v>
      </c>
    </row>
    <row r="463" spans="1:32" x14ac:dyDescent="0.2">
      <c r="A463" s="52">
        <v>2015</v>
      </c>
      <c r="B463" t="s">
        <v>63</v>
      </c>
      <c r="C463" t="s">
        <v>163</v>
      </c>
      <c r="D463">
        <v>644</v>
      </c>
      <c r="E463">
        <v>162</v>
      </c>
      <c r="F463">
        <v>5</v>
      </c>
      <c r="G463">
        <v>13</v>
      </c>
      <c r="H463">
        <v>157</v>
      </c>
      <c r="I463">
        <v>39</v>
      </c>
      <c r="J463">
        <v>1441</v>
      </c>
      <c r="K463">
        <v>5965</v>
      </c>
      <c r="L463">
        <v>1308</v>
      </c>
      <c r="M463" s="1">
        <v>618</v>
      </c>
      <c r="N463">
        <f t="shared" si="14"/>
        <v>871</v>
      </c>
      <c r="O463">
        <v>252</v>
      </c>
      <c r="P463">
        <v>37</v>
      </c>
      <c r="Q463">
        <v>148</v>
      </c>
      <c r="R463">
        <v>572</v>
      </c>
      <c r="S463">
        <v>423</v>
      </c>
      <c r="T463">
        <v>17</v>
      </c>
      <c r="U463">
        <f t="shared" si="15"/>
        <v>4191</v>
      </c>
      <c r="V463">
        <v>1280</v>
      </c>
      <c r="W463">
        <v>27</v>
      </c>
      <c r="X463">
        <v>38</v>
      </c>
      <c r="Y463">
        <v>61</v>
      </c>
      <c r="Z463">
        <v>43</v>
      </c>
      <c r="AA463">
        <v>2</v>
      </c>
      <c r="AB463">
        <v>108</v>
      </c>
      <c r="AC463">
        <v>53</v>
      </c>
      <c r="AD463" s="1">
        <v>86</v>
      </c>
      <c r="AE463" s="1">
        <v>76</v>
      </c>
      <c r="AF463">
        <v>3.57</v>
      </c>
    </row>
    <row r="464" spans="1:32" x14ac:dyDescent="0.2">
      <c r="A464" s="52">
        <v>2015</v>
      </c>
      <c r="B464" t="s">
        <v>164</v>
      </c>
      <c r="C464" t="s">
        <v>163</v>
      </c>
      <c r="D464">
        <v>655</v>
      </c>
      <c r="E464">
        <v>162</v>
      </c>
      <c r="F464">
        <v>2</v>
      </c>
      <c r="G464">
        <v>8</v>
      </c>
      <c r="H464">
        <v>160</v>
      </c>
      <c r="I464">
        <v>56</v>
      </c>
      <c r="J464">
        <v>1452</v>
      </c>
      <c r="K464">
        <v>6112</v>
      </c>
      <c r="L464">
        <v>1372</v>
      </c>
      <c r="M464" s="1">
        <v>641</v>
      </c>
      <c r="N464">
        <f t="shared" si="14"/>
        <v>916</v>
      </c>
      <c r="O464">
        <v>262</v>
      </c>
      <c r="P464">
        <v>39</v>
      </c>
      <c r="Q464">
        <v>155</v>
      </c>
      <c r="R464">
        <v>601</v>
      </c>
      <c r="S464">
        <v>489</v>
      </c>
      <c r="T464">
        <v>10</v>
      </c>
      <c r="U464">
        <f t="shared" si="15"/>
        <v>4199</v>
      </c>
      <c r="V464">
        <v>1160</v>
      </c>
      <c r="W464">
        <v>28</v>
      </c>
      <c r="X464">
        <v>44</v>
      </c>
      <c r="Y464">
        <v>62</v>
      </c>
      <c r="Z464">
        <v>52</v>
      </c>
      <c r="AA464">
        <v>2</v>
      </c>
      <c r="AB464">
        <v>114</v>
      </c>
      <c r="AC464">
        <v>50</v>
      </c>
      <c r="AD464" s="1">
        <v>95</v>
      </c>
      <c r="AE464" s="1">
        <v>67</v>
      </c>
      <c r="AF464">
        <v>3.73</v>
      </c>
    </row>
    <row r="465" spans="1:32" x14ac:dyDescent="0.2">
      <c r="A465" s="52">
        <v>2015</v>
      </c>
      <c r="B465" t="s">
        <v>159</v>
      </c>
      <c r="C465" t="s">
        <v>38</v>
      </c>
      <c r="D465">
        <v>677</v>
      </c>
      <c r="E465">
        <v>162</v>
      </c>
      <c r="F465">
        <v>6</v>
      </c>
      <c r="G465">
        <v>21</v>
      </c>
      <c r="H465">
        <v>156</v>
      </c>
      <c r="I465">
        <v>47</v>
      </c>
      <c r="J465">
        <v>1445.2</v>
      </c>
      <c r="K465">
        <v>5932</v>
      </c>
      <c r="L465">
        <v>1317</v>
      </c>
      <c r="M465" s="1">
        <v>595</v>
      </c>
      <c r="N465">
        <f t="shared" si="14"/>
        <v>923</v>
      </c>
      <c r="O465">
        <v>229</v>
      </c>
      <c r="P465">
        <v>20</v>
      </c>
      <c r="Q465">
        <v>145</v>
      </c>
      <c r="R465">
        <v>553</v>
      </c>
      <c r="S465">
        <v>395</v>
      </c>
      <c r="T465">
        <v>32</v>
      </c>
      <c r="U465">
        <f t="shared" si="15"/>
        <v>4182</v>
      </c>
      <c r="V465">
        <v>1396</v>
      </c>
      <c r="W465">
        <v>37</v>
      </c>
      <c r="X465">
        <v>29</v>
      </c>
      <c r="Y465">
        <v>52</v>
      </c>
      <c r="Z465">
        <v>38</v>
      </c>
      <c r="AA465">
        <v>10</v>
      </c>
      <c r="AB465">
        <v>114</v>
      </c>
      <c r="AC465">
        <v>58</v>
      </c>
      <c r="AD465" s="1">
        <v>92</v>
      </c>
      <c r="AE465" s="1">
        <v>70</v>
      </c>
      <c r="AF465">
        <v>3.44</v>
      </c>
    </row>
    <row r="466" spans="1:32" x14ac:dyDescent="0.2">
      <c r="A466" s="52">
        <v>2015</v>
      </c>
      <c r="B466" t="s">
        <v>104</v>
      </c>
      <c r="C466" t="s">
        <v>38</v>
      </c>
      <c r="D466">
        <v>648</v>
      </c>
      <c r="E466">
        <v>162</v>
      </c>
      <c r="F466">
        <v>0</v>
      </c>
      <c r="G466">
        <v>12</v>
      </c>
      <c r="H466">
        <v>162</v>
      </c>
      <c r="I466">
        <v>35</v>
      </c>
      <c r="J466">
        <v>1427</v>
      </c>
      <c r="K466">
        <v>6050</v>
      </c>
      <c r="L466">
        <v>1374</v>
      </c>
      <c r="M466" s="1">
        <v>678</v>
      </c>
      <c r="N466">
        <f t="shared" si="14"/>
        <v>926</v>
      </c>
      <c r="O466">
        <v>278</v>
      </c>
      <c r="P466">
        <v>29</v>
      </c>
      <c r="Q466">
        <v>141</v>
      </c>
      <c r="R466">
        <v>638</v>
      </c>
      <c r="S466">
        <v>508</v>
      </c>
      <c r="T466">
        <v>25</v>
      </c>
      <c r="U466">
        <f t="shared" si="15"/>
        <v>4116</v>
      </c>
      <c r="V466">
        <v>1152</v>
      </c>
      <c r="W466">
        <v>50</v>
      </c>
      <c r="X466">
        <v>55</v>
      </c>
      <c r="Y466">
        <v>53</v>
      </c>
      <c r="Z466">
        <v>52</v>
      </c>
      <c r="AA466">
        <v>3</v>
      </c>
      <c r="AB466">
        <v>145</v>
      </c>
      <c r="AC466">
        <v>44</v>
      </c>
      <c r="AD466" s="1">
        <v>71</v>
      </c>
      <c r="AE466" s="1">
        <v>91</v>
      </c>
      <c r="AF466">
        <v>4.0199999999999996</v>
      </c>
    </row>
    <row r="467" spans="1:32" x14ac:dyDescent="0.2">
      <c r="A467" s="52">
        <v>2015</v>
      </c>
      <c r="B467" t="s">
        <v>69</v>
      </c>
      <c r="C467" t="s">
        <v>38</v>
      </c>
      <c r="D467">
        <v>658</v>
      </c>
      <c r="E467">
        <v>162</v>
      </c>
      <c r="F467">
        <v>1</v>
      </c>
      <c r="G467">
        <v>7</v>
      </c>
      <c r="H467">
        <v>161</v>
      </c>
      <c r="I467">
        <v>40</v>
      </c>
      <c r="J467">
        <v>1435</v>
      </c>
      <c r="K467">
        <v>6148</v>
      </c>
      <c r="L467">
        <v>1432</v>
      </c>
      <c r="M467" s="1">
        <v>737</v>
      </c>
      <c r="N467">
        <f t="shared" si="14"/>
        <v>936</v>
      </c>
      <c r="O467">
        <v>287</v>
      </c>
      <c r="P467">
        <v>33</v>
      </c>
      <c r="Q467">
        <v>176</v>
      </c>
      <c r="R467">
        <v>682</v>
      </c>
      <c r="S467">
        <v>517</v>
      </c>
      <c r="T467">
        <v>36</v>
      </c>
      <c r="U467">
        <f t="shared" si="15"/>
        <v>4144</v>
      </c>
      <c r="V467">
        <v>1260</v>
      </c>
      <c r="W467">
        <v>48</v>
      </c>
      <c r="X467">
        <v>42</v>
      </c>
      <c r="Y467">
        <v>71</v>
      </c>
      <c r="Z467">
        <v>55</v>
      </c>
      <c r="AA467">
        <v>5</v>
      </c>
      <c r="AB467">
        <v>135</v>
      </c>
      <c r="AC467">
        <v>64</v>
      </c>
      <c r="AD467" s="1">
        <v>68</v>
      </c>
      <c r="AE467" s="1">
        <v>94</v>
      </c>
      <c r="AF467">
        <v>4.28</v>
      </c>
    </row>
    <row r="468" spans="1:32" x14ac:dyDescent="0.2">
      <c r="A468" s="52">
        <v>2015</v>
      </c>
      <c r="B468" t="s">
        <v>71</v>
      </c>
      <c r="C468" t="s">
        <v>163</v>
      </c>
      <c r="D468">
        <v>682</v>
      </c>
      <c r="E468">
        <v>162</v>
      </c>
      <c r="F468">
        <v>2</v>
      </c>
      <c r="G468">
        <v>12</v>
      </c>
      <c r="H468">
        <v>160</v>
      </c>
      <c r="I468">
        <v>45</v>
      </c>
      <c r="J468">
        <v>1443</v>
      </c>
      <c r="K468">
        <v>6139</v>
      </c>
      <c r="L468">
        <v>1506</v>
      </c>
      <c r="M468" s="1">
        <v>700</v>
      </c>
      <c r="N468">
        <f t="shared" si="14"/>
        <v>1023</v>
      </c>
      <c r="O468">
        <v>295</v>
      </c>
      <c r="P468">
        <v>25</v>
      </c>
      <c r="Q468">
        <v>163</v>
      </c>
      <c r="R468">
        <v>653</v>
      </c>
      <c r="S468">
        <v>413</v>
      </c>
      <c r="T468">
        <v>34</v>
      </c>
      <c r="U468">
        <f t="shared" si="15"/>
        <v>4179</v>
      </c>
      <c r="V468">
        <v>1046</v>
      </c>
      <c r="W468">
        <v>42</v>
      </c>
      <c r="X468">
        <v>43</v>
      </c>
      <c r="Y468">
        <v>54</v>
      </c>
      <c r="Z468">
        <v>41</v>
      </c>
      <c r="AA468">
        <v>2</v>
      </c>
      <c r="AB468">
        <v>131</v>
      </c>
      <c r="AC468">
        <v>59</v>
      </c>
      <c r="AD468" s="1">
        <v>83</v>
      </c>
      <c r="AE468" s="1">
        <v>79</v>
      </c>
      <c r="AF468">
        <v>4.07</v>
      </c>
    </row>
    <row r="469" spans="1:32" x14ac:dyDescent="0.2">
      <c r="A469" s="52">
        <v>2015</v>
      </c>
      <c r="B469" t="s">
        <v>158</v>
      </c>
      <c r="C469" t="s">
        <v>38</v>
      </c>
      <c r="D469">
        <v>647</v>
      </c>
      <c r="E469">
        <v>162</v>
      </c>
      <c r="F469">
        <v>1</v>
      </c>
      <c r="G469">
        <v>14</v>
      </c>
      <c r="H469">
        <v>161</v>
      </c>
      <c r="I469">
        <v>50</v>
      </c>
      <c r="J469">
        <v>1462.2</v>
      </c>
      <c r="K469">
        <v>6046</v>
      </c>
      <c r="L469">
        <v>1341</v>
      </c>
      <c r="M469" s="1">
        <v>613</v>
      </c>
      <c r="N469">
        <f t="shared" si="14"/>
        <v>931</v>
      </c>
      <c r="O469">
        <v>235</v>
      </c>
      <c r="P469">
        <v>23</v>
      </c>
      <c r="Q469">
        <v>152</v>
      </c>
      <c r="R469">
        <v>557</v>
      </c>
      <c r="S469">
        <v>383</v>
      </c>
      <c r="T469">
        <v>43</v>
      </c>
      <c r="U469">
        <f t="shared" si="15"/>
        <v>4278</v>
      </c>
      <c r="V469">
        <v>1337</v>
      </c>
      <c r="W469">
        <v>63</v>
      </c>
      <c r="X469">
        <v>40</v>
      </c>
      <c r="Y469">
        <v>46</v>
      </c>
      <c r="Z469">
        <v>44</v>
      </c>
      <c r="AA469">
        <v>2</v>
      </c>
      <c r="AB469">
        <v>114</v>
      </c>
      <c r="AC469">
        <v>74</v>
      </c>
      <c r="AD469" s="1">
        <v>90</v>
      </c>
      <c r="AE469" s="1">
        <v>72</v>
      </c>
      <c r="AF469">
        <v>3.43</v>
      </c>
    </row>
    <row r="470" spans="1:32" x14ac:dyDescent="0.2">
      <c r="A470" s="52">
        <v>2015</v>
      </c>
      <c r="B470" t="s">
        <v>158</v>
      </c>
      <c r="C470" t="s">
        <v>163</v>
      </c>
      <c r="D470">
        <v>659</v>
      </c>
      <c r="E470">
        <v>162</v>
      </c>
      <c r="F470">
        <v>3</v>
      </c>
      <c r="G470">
        <v>4</v>
      </c>
      <c r="H470">
        <v>159</v>
      </c>
      <c r="I470">
        <v>48</v>
      </c>
      <c r="J470">
        <v>1457.2</v>
      </c>
      <c r="K470">
        <v>6191</v>
      </c>
      <c r="L470">
        <v>1416</v>
      </c>
      <c r="M470" s="1">
        <v>698</v>
      </c>
      <c r="N470">
        <f t="shared" si="14"/>
        <v>949</v>
      </c>
      <c r="O470">
        <v>260</v>
      </c>
      <c r="P470">
        <v>25</v>
      </c>
      <c r="Q470">
        <v>182</v>
      </c>
      <c r="R470">
        <v>652</v>
      </c>
      <c r="S470">
        <v>474</v>
      </c>
      <c r="T470">
        <v>16</v>
      </c>
      <c r="U470">
        <f t="shared" si="15"/>
        <v>4245</v>
      </c>
      <c r="V470">
        <v>1370</v>
      </c>
      <c r="W470">
        <v>31</v>
      </c>
      <c r="X470">
        <v>39</v>
      </c>
      <c r="Y470">
        <v>78</v>
      </c>
      <c r="Z470">
        <v>56</v>
      </c>
      <c r="AA470">
        <v>4</v>
      </c>
      <c r="AB470">
        <v>113</v>
      </c>
      <c r="AC470">
        <v>71</v>
      </c>
      <c r="AD470" s="1">
        <v>87</v>
      </c>
      <c r="AE470" s="1">
        <v>75</v>
      </c>
      <c r="AF470">
        <v>4.03</v>
      </c>
    </row>
    <row r="471" spans="1:32" x14ac:dyDescent="0.2">
      <c r="A471" s="52">
        <v>2015</v>
      </c>
      <c r="B471" t="s">
        <v>79</v>
      </c>
      <c r="C471" t="s">
        <v>163</v>
      </c>
      <c r="D471">
        <v>649</v>
      </c>
      <c r="E471">
        <v>162</v>
      </c>
      <c r="F471">
        <v>5</v>
      </c>
      <c r="G471">
        <v>15</v>
      </c>
      <c r="H471">
        <v>157</v>
      </c>
      <c r="I471">
        <v>28</v>
      </c>
      <c r="J471">
        <v>1444.2</v>
      </c>
      <c r="K471">
        <v>6128</v>
      </c>
      <c r="L471">
        <v>1402</v>
      </c>
      <c r="M471" s="1">
        <v>729</v>
      </c>
      <c r="N471">
        <f t="shared" si="14"/>
        <v>951</v>
      </c>
      <c r="O471">
        <v>266</v>
      </c>
      <c r="P471">
        <v>13</v>
      </c>
      <c r="Q471">
        <v>172</v>
      </c>
      <c r="R471">
        <v>664</v>
      </c>
      <c r="S471">
        <v>474</v>
      </c>
      <c r="T471">
        <v>19</v>
      </c>
      <c r="U471">
        <f t="shared" si="15"/>
        <v>4205</v>
      </c>
      <c r="V471">
        <v>1179</v>
      </c>
      <c r="W471">
        <v>34</v>
      </c>
      <c r="X471">
        <v>53</v>
      </c>
      <c r="Y471">
        <v>62</v>
      </c>
      <c r="Z471">
        <v>47</v>
      </c>
      <c r="AA471">
        <v>4</v>
      </c>
      <c r="AB471">
        <v>130</v>
      </c>
      <c r="AC471">
        <v>88</v>
      </c>
      <c r="AD471" s="1">
        <v>68</v>
      </c>
      <c r="AE471" s="1">
        <v>94</v>
      </c>
      <c r="AF471">
        <v>4.1399999999999997</v>
      </c>
    </row>
    <row r="472" spans="1:32" x14ac:dyDescent="0.2">
      <c r="A472" s="52">
        <v>2015</v>
      </c>
      <c r="B472" t="s">
        <v>81</v>
      </c>
      <c r="C472" t="s">
        <v>38</v>
      </c>
      <c r="D472">
        <v>665</v>
      </c>
      <c r="E472">
        <v>162</v>
      </c>
      <c r="F472">
        <v>1</v>
      </c>
      <c r="G472">
        <v>7</v>
      </c>
      <c r="H472">
        <v>161</v>
      </c>
      <c r="I472">
        <v>35</v>
      </c>
      <c r="J472">
        <v>1436.1</v>
      </c>
      <c r="K472">
        <v>6332</v>
      </c>
      <c r="L472">
        <v>1592</v>
      </c>
      <c r="M472" s="1">
        <v>809</v>
      </c>
      <c r="N472">
        <f t="shared" si="14"/>
        <v>1068</v>
      </c>
      <c r="O472">
        <v>300</v>
      </c>
      <c r="P472">
        <v>33</v>
      </c>
      <c r="Q472">
        <v>191</v>
      </c>
      <c r="R472">
        <v>749</v>
      </c>
      <c r="S472">
        <v>488</v>
      </c>
      <c r="T472">
        <v>37</v>
      </c>
      <c r="U472">
        <f t="shared" si="15"/>
        <v>4191</v>
      </c>
      <c r="V472">
        <v>1153</v>
      </c>
      <c r="W472">
        <v>47</v>
      </c>
      <c r="X472">
        <v>42</v>
      </c>
      <c r="Y472">
        <v>60</v>
      </c>
      <c r="Z472">
        <v>61</v>
      </c>
      <c r="AA472">
        <v>7</v>
      </c>
      <c r="AB472">
        <v>123</v>
      </c>
      <c r="AC472">
        <v>85</v>
      </c>
      <c r="AD472" s="1">
        <v>63</v>
      </c>
      <c r="AE472" s="1">
        <v>99</v>
      </c>
      <c r="AF472">
        <v>4.6900000000000004</v>
      </c>
    </row>
    <row r="473" spans="1:32" x14ac:dyDescent="0.2">
      <c r="A473" s="52">
        <v>2015</v>
      </c>
      <c r="B473" t="s">
        <v>83</v>
      </c>
      <c r="C473" t="s">
        <v>38</v>
      </c>
      <c r="D473">
        <v>662</v>
      </c>
      <c r="E473">
        <v>162</v>
      </c>
      <c r="F473">
        <v>0</v>
      </c>
      <c r="G473">
        <v>13</v>
      </c>
      <c r="H473">
        <v>162</v>
      </c>
      <c r="I473">
        <v>54</v>
      </c>
      <c r="J473">
        <v>1489.2</v>
      </c>
      <c r="K473">
        <v>6215</v>
      </c>
      <c r="L473">
        <v>1392</v>
      </c>
      <c r="M473" s="1">
        <v>596</v>
      </c>
      <c r="N473">
        <f t="shared" si="14"/>
        <v>1001</v>
      </c>
      <c r="O473">
        <v>257</v>
      </c>
      <c r="P473">
        <v>24</v>
      </c>
      <c r="Q473">
        <v>110</v>
      </c>
      <c r="R473">
        <v>532</v>
      </c>
      <c r="S473">
        <v>453</v>
      </c>
      <c r="T473">
        <v>38</v>
      </c>
      <c r="U473">
        <f t="shared" si="15"/>
        <v>4295</v>
      </c>
      <c r="V473">
        <v>1338</v>
      </c>
      <c r="W473">
        <v>38</v>
      </c>
      <c r="X473">
        <v>33</v>
      </c>
      <c r="Y473">
        <v>67</v>
      </c>
      <c r="Z473">
        <v>75</v>
      </c>
      <c r="AA473">
        <v>4</v>
      </c>
      <c r="AB473">
        <v>154</v>
      </c>
      <c r="AC473">
        <v>80</v>
      </c>
      <c r="AD473" s="1">
        <v>98</v>
      </c>
      <c r="AE473" s="1">
        <v>64</v>
      </c>
      <c r="AF473">
        <v>3.21</v>
      </c>
    </row>
    <row r="474" spans="1:32" x14ac:dyDescent="0.2">
      <c r="A474" s="52">
        <v>2015</v>
      </c>
      <c r="B474" t="s">
        <v>161</v>
      </c>
      <c r="C474" t="s">
        <v>38</v>
      </c>
      <c r="D474">
        <v>678</v>
      </c>
      <c r="E474">
        <v>162</v>
      </c>
      <c r="F474">
        <v>1</v>
      </c>
      <c r="G474">
        <v>6</v>
      </c>
      <c r="H474">
        <v>161</v>
      </c>
      <c r="I474">
        <v>41</v>
      </c>
      <c r="J474">
        <v>1440.1</v>
      </c>
      <c r="K474">
        <v>6093</v>
      </c>
      <c r="L474">
        <v>1371</v>
      </c>
      <c r="M474" s="1">
        <v>731</v>
      </c>
      <c r="N474">
        <f t="shared" si="14"/>
        <v>882</v>
      </c>
      <c r="O474">
        <v>268</v>
      </c>
      <c r="P474">
        <v>50</v>
      </c>
      <c r="Q474">
        <v>171</v>
      </c>
      <c r="R474">
        <v>655</v>
      </c>
      <c r="S474">
        <v>516</v>
      </c>
      <c r="T474">
        <v>35</v>
      </c>
      <c r="U474">
        <f t="shared" si="15"/>
        <v>4152</v>
      </c>
      <c r="V474">
        <v>1393</v>
      </c>
      <c r="W474">
        <v>44</v>
      </c>
      <c r="X474">
        <v>38</v>
      </c>
      <c r="Y474">
        <v>54</v>
      </c>
      <c r="Z474">
        <v>54</v>
      </c>
      <c r="AA474">
        <v>3</v>
      </c>
      <c r="AB474">
        <v>119</v>
      </c>
      <c r="AC474">
        <v>59</v>
      </c>
      <c r="AD474" s="1">
        <v>74</v>
      </c>
      <c r="AE474" s="1">
        <v>88</v>
      </c>
      <c r="AF474">
        <v>4.09</v>
      </c>
    </row>
    <row r="475" spans="1:32" x14ac:dyDescent="0.2">
      <c r="A475" s="52">
        <v>2015</v>
      </c>
      <c r="B475" t="s">
        <v>87</v>
      </c>
      <c r="C475" t="s">
        <v>163</v>
      </c>
      <c r="D475">
        <v>671</v>
      </c>
      <c r="E475">
        <v>162</v>
      </c>
      <c r="F475">
        <v>6</v>
      </c>
      <c r="G475">
        <v>12</v>
      </c>
      <c r="H475">
        <v>156</v>
      </c>
      <c r="I475">
        <v>45</v>
      </c>
      <c r="J475">
        <v>1463</v>
      </c>
      <c r="K475">
        <v>6223</v>
      </c>
      <c r="L475">
        <v>1430</v>
      </c>
      <c r="M475" s="1">
        <v>726</v>
      </c>
      <c r="N475">
        <f t="shared" si="14"/>
        <v>941</v>
      </c>
      <c r="O475">
        <v>285</v>
      </c>
      <c r="P475">
        <v>23</v>
      </c>
      <c r="Q475">
        <v>181</v>
      </c>
      <c r="R475">
        <v>677</v>
      </c>
      <c r="S475">
        <v>491</v>
      </c>
      <c r="T475">
        <v>41</v>
      </c>
      <c r="U475">
        <f t="shared" si="15"/>
        <v>4232</v>
      </c>
      <c r="V475">
        <v>1283</v>
      </c>
      <c r="W475">
        <v>32</v>
      </c>
      <c r="X475">
        <v>37</v>
      </c>
      <c r="Y475">
        <v>72</v>
      </c>
      <c r="Z475">
        <v>70</v>
      </c>
      <c r="AA475">
        <v>5</v>
      </c>
      <c r="AB475">
        <v>127</v>
      </c>
      <c r="AC475">
        <v>66</v>
      </c>
      <c r="AD475" s="1">
        <v>76</v>
      </c>
      <c r="AE475" s="1">
        <v>86</v>
      </c>
      <c r="AF475">
        <v>4.16</v>
      </c>
    </row>
    <row r="476" spans="1:32" x14ac:dyDescent="0.2">
      <c r="A476" s="52">
        <v>2015</v>
      </c>
      <c r="B476" t="s">
        <v>21</v>
      </c>
      <c r="C476" t="s">
        <v>38</v>
      </c>
      <c r="D476">
        <v>719</v>
      </c>
      <c r="E476">
        <v>162</v>
      </c>
      <c r="F476">
        <v>7</v>
      </c>
      <c r="G476">
        <v>18</v>
      </c>
      <c r="H476">
        <v>155</v>
      </c>
      <c r="I476">
        <v>41</v>
      </c>
      <c r="J476">
        <v>1444.1</v>
      </c>
      <c r="K476">
        <v>6009</v>
      </c>
      <c r="L476">
        <v>1344</v>
      </c>
      <c r="M476" s="1">
        <v>627</v>
      </c>
      <c r="N476">
        <f t="shared" si="14"/>
        <v>892</v>
      </c>
      <c r="O476">
        <v>246</v>
      </c>
      <c r="P476">
        <v>51</v>
      </c>
      <c r="Q476">
        <v>155</v>
      </c>
      <c r="R476">
        <v>597</v>
      </c>
      <c r="S476">
        <v>431</v>
      </c>
      <c r="T476">
        <v>28</v>
      </c>
      <c r="U476">
        <f t="shared" si="15"/>
        <v>4184</v>
      </c>
      <c r="V476">
        <v>1165</v>
      </c>
      <c r="W476">
        <v>31</v>
      </c>
      <c r="X476">
        <v>34</v>
      </c>
      <c r="Y476">
        <v>40</v>
      </c>
      <c r="Z476">
        <v>50</v>
      </c>
      <c r="AA476">
        <v>4</v>
      </c>
      <c r="AB476">
        <v>130</v>
      </c>
      <c r="AC476">
        <v>44</v>
      </c>
      <c r="AD476" s="1">
        <v>84</v>
      </c>
      <c r="AE476" s="1">
        <v>78</v>
      </c>
      <c r="AF476">
        <v>3.72</v>
      </c>
    </row>
    <row r="477" spans="1:32" x14ac:dyDescent="0.2">
      <c r="A477" s="52">
        <v>2015</v>
      </c>
      <c r="B477" t="s">
        <v>156</v>
      </c>
      <c r="C477" t="s">
        <v>38</v>
      </c>
      <c r="D477">
        <v>677</v>
      </c>
      <c r="E477">
        <v>162</v>
      </c>
      <c r="F477">
        <v>1</v>
      </c>
      <c r="G477">
        <v>15</v>
      </c>
      <c r="H477">
        <v>161</v>
      </c>
      <c r="I477">
        <v>62</v>
      </c>
      <c r="J477">
        <v>1464.2</v>
      </c>
      <c r="K477">
        <v>6134</v>
      </c>
      <c r="L477">
        <v>1359</v>
      </c>
      <c r="M477" s="1">
        <v>525</v>
      </c>
      <c r="N477">
        <f t="shared" si="14"/>
        <v>970</v>
      </c>
      <c r="O477">
        <v>240</v>
      </c>
      <c r="P477">
        <v>26</v>
      </c>
      <c r="Q477">
        <v>123</v>
      </c>
      <c r="R477">
        <v>478</v>
      </c>
      <c r="S477">
        <v>477</v>
      </c>
      <c r="T477">
        <v>37</v>
      </c>
      <c r="U477">
        <f t="shared" si="15"/>
        <v>4253</v>
      </c>
      <c r="V477">
        <v>1329</v>
      </c>
      <c r="W477">
        <v>66</v>
      </c>
      <c r="X477">
        <v>29</v>
      </c>
      <c r="Y477">
        <v>48</v>
      </c>
      <c r="Z477">
        <v>45</v>
      </c>
      <c r="AA477">
        <v>5</v>
      </c>
      <c r="AB477">
        <v>134</v>
      </c>
      <c r="AC477">
        <v>64</v>
      </c>
      <c r="AD477" s="1">
        <v>100</v>
      </c>
      <c r="AE477" s="1">
        <v>62</v>
      </c>
      <c r="AF477">
        <v>2.94</v>
      </c>
    </row>
    <row r="478" spans="1:32" x14ac:dyDescent="0.2">
      <c r="A478" s="52">
        <v>2015</v>
      </c>
      <c r="B478" t="s">
        <v>165</v>
      </c>
      <c r="C478" t="s">
        <v>163</v>
      </c>
      <c r="D478">
        <v>692</v>
      </c>
      <c r="E478">
        <v>162</v>
      </c>
      <c r="F478">
        <v>1</v>
      </c>
      <c r="G478">
        <v>12</v>
      </c>
      <c r="H478">
        <v>161</v>
      </c>
      <c r="I478">
        <v>60</v>
      </c>
      <c r="J478">
        <v>1453.1</v>
      </c>
      <c r="K478">
        <v>6069</v>
      </c>
      <c r="L478">
        <v>1314</v>
      </c>
      <c r="M478" s="1">
        <v>642</v>
      </c>
      <c r="N478">
        <f t="shared" si="14"/>
        <v>888</v>
      </c>
      <c r="O478">
        <v>232</v>
      </c>
      <c r="P478">
        <v>19</v>
      </c>
      <c r="Q478">
        <v>175</v>
      </c>
      <c r="R478">
        <v>604</v>
      </c>
      <c r="S478">
        <v>477</v>
      </c>
      <c r="T478">
        <v>23</v>
      </c>
      <c r="U478">
        <f t="shared" si="15"/>
        <v>4232</v>
      </c>
      <c r="V478">
        <v>1355</v>
      </c>
      <c r="W478">
        <v>27</v>
      </c>
      <c r="X478">
        <v>40</v>
      </c>
      <c r="Y478">
        <v>81</v>
      </c>
      <c r="Z478">
        <v>46</v>
      </c>
      <c r="AA478">
        <v>5</v>
      </c>
      <c r="AB478">
        <v>94</v>
      </c>
      <c r="AC478">
        <v>66</v>
      </c>
      <c r="AD478" s="1">
        <v>80</v>
      </c>
      <c r="AE478" s="1">
        <v>82</v>
      </c>
      <c r="AF478">
        <v>3.74</v>
      </c>
    </row>
    <row r="479" spans="1:32" x14ac:dyDescent="0.2">
      <c r="A479" s="52">
        <v>2015</v>
      </c>
      <c r="B479" t="s">
        <v>95</v>
      </c>
      <c r="C479" t="s">
        <v>163</v>
      </c>
      <c r="D479">
        <v>660</v>
      </c>
      <c r="E479">
        <v>162</v>
      </c>
      <c r="F479">
        <v>5</v>
      </c>
      <c r="G479">
        <v>9</v>
      </c>
      <c r="H479">
        <v>157</v>
      </c>
      <c r="I479">
        <v>45</v>
      </c>
      <c r="J479">
        <v>1442.2</v>
      </c>
      <c r="K479">
        <v>6215</v>
      </c>
      <c r="L479">
        <v>1459</v>
      </c>
      <c r="M479" s="1">
        <v>733</v>
      </c>
      <c r="N479">
        <f t="shared" si="14"/>
        <v>968</v>
      </c>
      <c r="O479">
        <v>280</v>
      </c>
      <c r="P479">
        <v>40</v>
      </c>
      <c r="Q479">
        <v>171</v>
      </c>
      <c r="R479">
        <v>680</v>
      </c>
      <c r="S479">
        <v>508</v>
      </c>
      <c r="T479">
        <v>29</v>
      </c>
      <c r="U479">
        <f t="shared" si="15"/>
        <v>4185</v>
      </c>
      <c r="V479">
        <v>1095</v>
      </c>
      <c r="W479">
        <v>22</v>
      </c>
      <c r="X479">
        <v>51</v>
      </c>
      <c r="Y479">
        <v>51</v>
      </c>
      <c r="Z479">
        <v>63</v>
      </c>
      <c r="AA479">
        <v>5</v>
      </c>
      <c r="AB479">
        <v>143</v>
      </c>
      <c r="AC479">
        <v>84</v>
      </c>
      <c r="AD479" s="1">
        <v>88</v>
      </c>
      <c r="AE479" s="1">
        <v>74</v>
      </c>
      <c r="AF479">
        <v>4.24</v>
      </c>
    </row>
    <row r="480" spans="1:32" x14ac:dyDescent="0.2">
      <c r="A480" s="52">
        <v>2015</v>
      </c>
      <c r="B480" t="s">
        <v>97</v>
      </c>
      <c r="C480" t="s">
        <v>163</v>
      </c>
      <c r="D480">
        <v>631</v>
      </c>
      <c r="E480">
        <v>162</v>
      </c>
      <c r="F480">
        <v>7</v>
      </c>
      <c r="G480">
        <v>10</v>
      </c>
      <c r="H480">
        <v>155</v>
      </c>
      <c r="I480">
        <v>34</v>
      </c>
      <c r="J480">
        <v>1441</v>
      </c>
      <c r="K480">
        <v>5984</v>
      </c>
      <c r="L480">
        <v>1353</v>
      </c>
      <c r="M480" s="1">
        <v>670</v>
      </c>
      <c r="N480">
        <f t="shared" si="14"/>
        <v>883</v>
      </c>
      <c r="O480">
        <v>267</v>
      </c>
      <c r="P480">
        <v>30</v>
      </c>
      <c r="Q480">
        <v>173</v>
      </c>
      <c r="R480">
        <v>609</v>
      </c>
      <c r="S480">
        <v>397</v>
      </c>
      <c r="T480">
        <v>20</v>
      </c>
      <c r="U480">
        <f t="shared" si="15"/>
        <v>4175</v>
      </c>
      <c r="V480">
        <v>1117</v>
      </c>
      <c r="W480">
        <v>25</v>
      </c>
      <c r="X480">
        <v>49</v>
      </c>
      <c r="Y480">
        <v>62</v>
      </c>
      <c r="Z480">
        <v>59</v>
      </c>
      <c r="AA480">
        <v>4</v>
      </c>
      <c r="AB480">
        <v>128</v>
      </c>
      <c r="AC480">
        <v>62</v>
      </c>
      <c r="AD480" s="1">
        <v>93</v>
      </c>
      <c r="AE480" s="1">
        <v>69</v>
      </c>
      <c r="AF480">
        <v>3.8</v>
      </c>
    </row>
    <row r="481" spans="1:32" x14ac:dyDescent="0.2">
      <c r="A481" s="52">
        <v>2015</v>
      </c>
      <c r="B481" t="s">
        <v>101</v>
      </c>
      <c r="C481" t="s">
        <v>38</v>
      </c>
      <c r="D481">
        <v>630</v>
      </c>
      <c r="E481">
        <v>162</v>
      </c>
      <c r="F481">
        <v>4</v>
      </c>
      <c r="G481">
        <v>13</v>
      </c>
      <c r="H481">
        <v>158</v>
      </c>
      <c r="I481">
        <v>41</v>
      </c>
      <c r="J481">
        <v>1434.2</v>
      </c>
      <c r="K481">
        <v>5975</v>
      </c>
      <c r="L481">
        <v>1366</v>
      </c>
      <c r="M481" s="1">
        <v>635</v>
      </c>
      <c r="N481">
        <f t="shared" si="14"/>
        <v>953</v>
      </c>
      <c r="O481">
        <v>239</v>
      </c>
      <c r="P481">
        <v>29</v>
      </c>
      <c r="Q481">
        <v>145</v>
      </c>
      <c r="R481">
        <v>577</v>
      </c>
      <c r="S481">
        <v>364</v>
      </c>
      <c r="T481">
        <v>37</v>
      </c>
      <c r="U481">
        <f t="shared" si="15"/>
        <v>4190</v>
      </c>
      <c r="V481">
        <v>1342</v>
      </c>
      <c r="W481">
        <v>52</v>
      </c>
      <c r="X481">
        <v>39</v>
      </c>
      <c r="Y481">
        <v>39</v>
      </c>
      <c r="Z481">
        <v>55</v>
      </c>
      <c r="AA481">
        <v>4</v>
      </c>
      <c r="AB481">
        <v>102</v>
      </c>
      <c r="AC481">
        <v>62</v>
      </c>
      <c r="AD481" s="1">
        <v>83</v>
      </c>
      <c r="AE481" s="1">
        <v>79</v>
      </c>
      <c r="AF481">
        <v>3.62</v>
      </c>
    </row>
    <row r="482" spans="1:32" x14ac:dyDescent="0.2">
      <c r="A482" s="52">
        <v>2016</v>
      </c>
      <c r="B482" t="s">
        <v>37</v>
      </c>
      <c r="C482" t="s">
        <v>163</v>
      </c>
      <c r="D482">
        <v>689</v>
      </c>
      <c r="E482">
        <v>162</v>
      </c>
      <c r="F482">
        <v>4</v>
      </c>
      <c r="G482">
        <v>12</v>
      </c>
      <c r="H482">
        <v>158</v>
      </c>
      <c r="I482">
        <v>29</v>
      </c>
      <c r="J482">
        <v>1421.1</v>
      </c>
      <c r="K482">
        <v>6120</v>
      </c>
      <c r="L482">
        <v>1480</v>
      </c>
      <c r="M482" s="1">
        <v>727</v>
      </c>
      <c r="N482">
        <f t="shared" si="14"/>
        <v>977</v>
      </c>
      <c r="O482">
        <v>275</v>
      </c>
      <c r="P482">
        <v>20</v>
      </c>
      <c r="Q482">
        <v>208</v>
      </c>
      <c r="R482">
        <v>676</v>
      </c>
      <c r="S482">
        <v>498</v>
      </c>
      <c r="T482">
        <v>27</v>
      </c>
      <c r="U482">
        <f t="shared" si="15"/>
        <v>4086</v>
      </c>
      <c r="V482">
        <v>1136</v>
      </c>
      <c r="W482">
        <v>22</v>
      </c>
      <c r="X482">
        <v>48</v>
      </c>
      <c r="Y482">
        <v>47</v>
      </c>
      <c r="Z482">
        <v>56</v>
      </c>
      <c r="AA482">
        <v>10</v>
      </c>
      <c r="AB482">
        <v>126</v>
      </c>
      <c r="AC482">
        <v>57</v>
      </c>
      <c r="AD482" s="1">
        <v>74</v>
      </c>
      <c r="AE482" s="1">
        <v>88</v>
      </c>
      <c r="AF482">
        <v>4.28</v>
      </c>
    </row>
    <row r="483" spans="1:32" x14ac:dyDescent="0.2">
      <c r="A483" s="52">
        <v>2016</v>
      </c>
      <c r="B483" t="s">
        <v>40</v>
      </c>
      <c r="C483" t="s">
        <v>38</v>
      </c>
      <c r="D483">
        <v>737</v>
      </c>
      <c r="E483">
        <v>162</v>
      </c>
      <c r="F483">
        <v>2</v>
      </c>
      <c r="G483">
        <v>7</v>
      </c>
      <c r="H483">
        <v>160</v>
      </c>
      <c r="I483">
        <v>31</v>
      </c>
      <c r="J483">
        <v>1451.1</v>
      </c>
      <c r="K483">
        <v>6437</v>
      </c>
      <c r="L483">
        <v>1563</v>
      </c>
      <c r="M483" s="1">
        <v>890</v>
      </c>
      <c r="N483">
        <f t="shared" si="14"/>
        <v>986</v>
      </c>
      <c r="O483">
        <v>337</v>
      </c>
      <c r="P483">
        <v>38</v>
      </c>
      <c r="Q483">
        <v>202</v>
      </c>
      <c r="R483">
        <v>821</v>
      </c>
      <c r="S483">
        <v>603</v>
      </c>
      <c r="T483">
        <v>57</v>
      </c>
      <c r="U483">
        <f t="shared" si="15"/>
        <v>4214</v>
      </c>
      <c r="V483">
        <v>1318</v>
      </c>
      <c r="W483">
        <v>42</v>
      </c>
      <c r="X483">
        <v>42</v>
      </c>
      <c r="Y483">
        <v>69</v>
      </c>
      <c r="Z483">
        <v>57</v>
      </c>
      <c r="AA483">
        <v>7</v>
      </c>
      <c r="AB483">
        <v>125</v>
      </c>
      <c r="AC483">
        <v>61</v>
      </c>
      <c r="AD483" s="1">
        <v>69</v>
      </c>
      <c r="AE483" s="1">
        <v>93</v>
      </c>
      <c r="AF483">
        <v>5.09</v>
      </c>
    </row>
    <row r="484" spans="1:32" x14ac:dyDescent="0.2">
      <c r="A484" s="52">
        <v>2016</v>
      </c>
      <c r="B484" t="s">
        <v>42</v>
      </c>
      <c r="C484" t="s">
        <v>38</v>
      </c>
      <c r="D484">
        <v>748</v>
      </c>
      <c r="E484">
        <v>161</v>
      </c>
      <c r="F484">
        <v>1</v>
      </c>
      <c r="G484">
        <v>9</v>
      </c>
      <c r="H484">
        <v>160</v>
      </c>
      <c r="I484">
        <v>39</v>
      </c>
      <c r="J484">
        <v>1447.2</v>
      </c>
      <c r="K484">
        <v>6250</v>
      </c>
      <c r="L484">
        <v>1414</v>
      </c>
      <c r="M484" s="1">
        <v>779</v>
      </c>
      <c r="N484">
        <f t="shared" si="14"/>
        <v>927</v>
      </c>
      <c r="O484">
        <v>263</v>
      </c>
      <c r="P484">
        <v>47</v>
      </c>
      <c r="Q484">
        <v>177</v>
      </c>
      <c r="R484">
        <v>725</v>
      </c>
      <c r="S484">
        <v>547</v>
      </c>
      <c r="T484">
        <v>55</v>
      </c>
      <c r="U484">
        <f t="shared" si="15"/>
        <v>4219</v>
      </c>
      <c r="V484">
        <v>1227</v>
      </c>
      <c r="W484">
        <v>52</v>
      </c>
      <c r="X484">
        <v>50</v>
      </c>
      <c r="Y484">
        <v>83</v>
      </c>
      <c r="Z484">
        <v>70</v>
      </c>
      <c r="AA484">
        <v>4</v>
      </c>
      <c r="AB484">
        <v>106</v>
      </c>
      <c r="AC484">
        <v>69</v>
      </c>
      <c r="AD484" s="1">
        <v>68</v>
      </c>
      <c r="AE484" s="1">
        <v>93</v>
      </c>
      <c r="AF484">
        <v>4.51</v>
      </c>
    </row>
    <row r="485" spans="1:32" x14ac:dyDescent="0.2">
      <c r="A485" s="52">
        <v>2016</v>
      </c>
      <c r="B485" t="s">
        <v>45</v>
      </c>
      <c r="C485" t="s">
        <v>163</v>
      </c>
      <c r="D485">
        <v>605</v>
      </c>
      <c r="E485">
        <v>162</v>
      </c>
      <c r="F485">
        <v>1</v>
      </c>
      <c r="G485">
        <v>9</v>
      </c>
      <c r="H485">
        <v>161</v>
      </c>
      <c r="I485">
        <v>54</v>
      </c>
      <c r="J485">
        <v>1432</v>
      </c>
      <c r="K485">
        <v>6122</v>
      </c>
      <c r="L485">
        <v>1408</v>
      </c>
      <c r="M485" s="1">
        <v>715</v>
      </c>
      <c r="N485">
        <f t="shared" si="14"/>
        <v>898</v>
      </c>
      <c r="O485">
        <v>309</v>
      </c>
      <c r="P485">
        <v>18</v>
      </c>
      <c r="Q485">
        <v>183</v>
      </c>
      <c r="R485">
        <v>671</v>
      </c>
      <c r="S485">
        <v>545</v>
      </c>
      <c r="T485">
        <v>23</v>
      </c>
      <c r="U485">
        <f t="shared" si="15"/>
        <v>4118</v>
      </c>
      <c r="V485">
        <v>1248</v>
      </c>
      <c r="W485">
        <v>17</v>
      </c>
      <c r="X485">
        <v>38</v>
      </c>
      <c r="Y485">
        <v>59</v>
      </c>
      <c r="Z485">
        <v>51</v>
      </c>
      <c r="AA485">
        <v>3</v>
      </c>
      <c r="AB485">
        <v>145</v>
      </c>
      <c r="AC485">
        <v>54</v>
      </c>
      <c r="AD485" s="1">
        <v>89</v>
      </c>
      <c r="AE485" s="1">
        <v>73</v>
      </c>
      <c r="AF485">
        <v>4.22</v>
      </c>
    </row>
    <row r="486" spans="1:32" x14ac:dyDescent="0.2">
      <c r="A486" s="52">
        <v>2016</v>
      </c>
      <c r="B486" t="s">
        <v>47</v>
      </c>
      <c r="C486" t="s">
        <v>163</v>
      </c>
      <c r="D486">
        <v>625</v>
      </c>
      <c r="E486">
        <v>162</v>
      </c>
      <c r="F486">
        <v>9</v>
      </c>
      <c r="G486">
        <v>5</v>
      </c>
      <c r="H486">
        <v>153</v>
      </c>
      <c r="I486">
        <v>43</v>
      </c>
      <c r="J486">
        <v>1439.2</v>
      </c>
      <c r="K486">
        <v>6073</v>
      </c>
      <c r="L486">
        <v>1342</v>
      </c>
      <c r="M486" s="1">
        <v>694</v>
      </c>
      <c r="N486">
        <f t="shared" si="14"/>
        <v>892</v>
      </c>
      <c r="O486">
        <v>251</v>
      </c>
      <c r="P486">
        <v>23</v>
      </c>
      <c r="Q486">
        <v>176</v>
      </c>
      <c r="R486">
        <v>640</v>
      </c>
      <c r="S486">
        <v>490</v>
      </c>
      <c r="T486">
        <v>16</v>
      </c>
      <c r="U486">
        <f t="shared" si="15"/>
        <v>4176</v>
      </c>
      <c r="V486">
        <v>1362</v>
      </c>
      <c r="W486">
        <v>24</v>
      </c>
      <c r="X486">
        <v>35</v>
      </c>
      <c r="Y486">
        <v>52</v>
      </c>
      <c r="Z486">
        <v>65</v>
      </c>
      <c r="AA486">
        <v>0</v>
      </c>
      <c r="AB486">
        <v>117</v>
      </c>
      <c r="AC486">
        <v>57</v>
      </c>
      <c r="AD486" s="1">
        <v>93</v>
      </c>
      <c r="AE486" s="1">
        <v>69</v>
      </c>
      <c r="AF486">
        <v>4</v>
      </c>
    </row>
    <row r="487" spans="1:32" x14ac:dyDescent="0.2">
      <c r="A487" s="52">
        <v>2016</v>
      </c>
      <c r="B487" t="s">
        <v>157</v>
      </c>
      <c r="C487" t="s">
        <v>38</v>
      </c>
      <c r="D487">
        <v>665</v>
      </c>
      <c r="E487">
        <v>162</v>
      </c>
      <c r="F487">
        <v>5</v>
      </c>
      <c r="G487">
        <v>15</v>
      </c>
      <c r="H487">
        <v>157</v>
      </c>
      <c r="I487">
        <v>38</v>
      </c>
      <c r="J487">
        <v>1459.2</v>
      </c>
      <c r="K487">
        <v>5933</v>
      </c>
      <c r="L487">
        <v>1125</v>
      </c>
      <c r="M487" s="1">
        <v>556</v>
      </c>
      <c r="N487">
        <f t="shared" si="14"/>
        <v>742</v>
      </c>
      <c r="O487">
        <v>205</v>
      </c>
      <c r="P487">
        <v>15</v>
      </c>
      <c r="Q487">
        <v>163</v>
      </c>
      <c r="R487">
        <v>511</v>
      </c>
      <c r="S487">
        <v>495</v>
      </c>
      <c r="T487">
        <v>24</v>
      </c>
      <c r="U487">
        <f t="shared" si="15"/>
        <v>4250</v>
      </c>
      <c r="V487">
        <v>1441</v>
      </c>
      <c r="W487">
        <v>31</v>
      </c>
      <c r="X487">
        <v>35</v>
      </c>
      <c r="Y487">
        <v>80</v>
      </c>
      <c r="Z487">
        <v>63</v>
      </c>
      <c r="AA487">
        <v>0</v>
      </c>
      <c r="AB487">
        <v>98</v>
      </c>
      <c r="AC487">
        <v>69</v>
      </c>
      <c r="AD487" s="1">
        <v>103</v>
      </c>
      <c r="AE487" s="1">
        <v>58</v>
      </c>
      <c r="AF487">
        <v>3.15</v>
      </c>
    </row>
    <row r="488" spans="1:32" x14ac:dyDescent="0.2">
      <c r="A488" s="52">
        <v>2016</v>
      </c>
      <c r="B488" t="s">
        <v>157</v>
      </c>
      <c r="C488" t="s">
        <v>163</v>
      </c>
      <c r="D488">
        <v>643</v>
      </c>
      <c r="E488">
        <v>162</v>
      </c>
      <c r="F488">
        <v>7</v>
      </c>
      <c r="G488">
        <v>10</v>
      </c>
      <c r="H488">
        <v>155</v>
      </c>
      <c r="I488">
        <v>43</v>
      </c>
      <c r="J488">
        <v>1446.2</v>
      </c>
      <c r="K488">
        <v>6196</v>
      </c>
      <c r="L488">
        <v>1422</v>
      </c>
      <c r="M488" s="1">
        <v>715</v>
      </c>
      <c r="N488">
        <f t="shared" si="14"/>
        <v>922</v>
      </c>
      <c r="O488">
        <v>290</v>
      </c>
      <c r="P488">
        <v>25</v>
      </c>
      <c r="Q488">
        <v>185</v>
      </c>
      <c r="R488">
        <v>659</v>
      </c>
      <c r="S488">
        <v>521</v>
      </c>
      <c r="T488">
        <v>30</v>
      </c>
      <c r="U488">
        <f t="shared" si="15"/>
        <v>4185</v>
      </c>
      <c r="V488">
        <v>1270</v>
      </c>
      <c r="W488">
        <v>29</v>
      </c>
      <c r="X488">
        <v>49</v>
      </c>
      <c r="Y488">
        <v>72</v>
      </c>
      <c r="Z488">
        <v>68</v>
      </c>
      <c r="AA488">
        <v>2</v>
      </c>
      <c r="AB488">
        <v>123</v>
      </c>
      <c r="AC488">
        <v>61</v>
      </c>
      <c r="AD488" s="1">
        <v>78</v>
      </c>
      <c r="AE488" s="1">
        <v>84</v>
      </c>
      <c r="AF488">
        <v>4.0999999999999996</v>
      </c>
    </row>
    <row r="489" spans="1:32" x14ac:dyDescent="0.2">
      <c r="A489" s="52">
        <v>2016</v>
      </c>
      <c r="B489" t="s">
        <v>53</v>
      </c>
      <c r="C489" t="s">
        <v>38</v>
      </c>
      <c r="D489">
        <v>646</v>
      </c>
      <c r="E489">
        <v>162</v>
      </c>
      <c r="F489">
        <v>2</v>
      </c>
      <c r="G489">
        <v>8</v>
      </c>
      <c r="H489">
        <v>160</v>
      </c>
      <c r="I489">
        <v>28</v>
      </c>
      <c r="J489">
        <v>1442</v>
      </c>
      <c r="K489">
        <v>6348</v>
      </c>
      <c r="L489">
        <v>1457</v>
      </c>
      <c r="M489" s="1">
        <v>854</v>
      </c>
      <c r="N489">
        <f t="shared" si="14"/>
        <v>920</v>
      </c>
      <c r="O489">
        <v>261</v>
      </c>
      <c r="P489">
        <v>18</v>
      </c>
      <c r="Q489">
        <v>258</v>
      </c>
      <c r="R489">
        <v>786</v>
      </c>
      <c r="S489">
        <v>636</v>
      </c>
      <c r="T489">
        <v>31</v>
      </c>
      <c r="U489">
        <f t="shared" si="15"/>
        <v>4177</v>
      </c>
      <c r="V489">
        <v>1241</v>
      </c>
      <c r="W489">
        <v>54</v>
      </c>
      <c r="X489">
        <v>35</v>
      </c>
      <c r="Y489">
        <v>61</v>
      </c>
      <c r="Z489">
        <v>78</v>
      </c>
      <c r="AA489">
        <v>12</v>
      </c>
      <c r="AB489">
        <v>118</v>
      </c>
      <c r="AC489">
        <v>70</v>
      </c>
      <c r="AD489" s="1">
        <v>68</v>
      </c>
      <c r="AE489" s="1">
        <v>94</v>
      </c>
      <c r="AF489">
        <v>4.91</v>
      </c>
    </row>
    <row r="490" spans="1:32" x14ac:dyDescent="0.2">
      <c r="A490" s="52">
        <v>2016</v>
      </c>
      <c r="B490" t="s">
        <v>55</v>
      </c>
      <c r="C490" t="s">
        <v>163</v>
      </c>
      <c r="D490">
        <v>665</v>
      </c>
      <c r="E490">
        <v>161</v>
      </c>
      <c r="F490">
        <v>5</v>
      </c>
      <c r="G490">
        <v>11</v>
      </c>
      <c r="H490">
        <v>156</v>
      </c>
      <c r="I490">
        <v>37</v>
      </c>
      <c r="J490">
        <v>1445</v>
      </c>
      <c r="K490">
        <v>6033</v>
      </c>
      <c r="L490">
        <v>1330</v>
      </c>
      <c r="M490" s="1">
        <v>676</v>
      </c>
      <c r="N490">
        <f t="shared" si="14"/>
        <v>830</v>
      </c>
      <c r="O490">
        <v>287</v>
      </c>
      <c r="P490">
        <v>27</v>
      </c>
      <c r="Q490">
        <v>186</v>
      </c>
      <c r="R490">
        <v>617</v>
      </c>
      <c r="S490">
        <v>461</v>
      </c>
      <c r="T490">
        <v>34</v>
      </c>
      <c r="U490">
        <f t="shared" si="15"/>
        <v>4208</v>
      </c>
      <c r="V490">
        <v>1398</v>
      </c>
      <c r="W490">
        <v>27</v>
      </c>
      <c r="X490">
        <v>31</v>
      </c>
      <c r="Y490">
        <v>49</v>
      </c>
      <c r="Z490">
        <v>34</v>
      </c>
      <c r="AA490">
        <v>7</v>
      </c>
      <c r="AB490">
        <v>103</v>
      </c>
      <c r="AC490">
        <v>64</v>
      </c>
      <c r="AD490" s="1">
        <v>94</v>
      </c>
      <c r="AE490" s="1">
        <v>67</v>
      </c>
      <c r="AF490">
        <v>3.84</v>
      </c>
    </row>
    <row r="491" spans="1:32" x14ac:dyDescent="0.2">
      <c r="A491" s="52">
        <v>2016</v>
      </c>
      <c r="B491" t="s">
        <v>57</v>
      </c>
      <c r="C491" t="s">
        <v>38</v>
      </c>
      <c r="D491">
        <v>695</v>
      </c>
      <c r="E491">
        <v>162</v>
      </c>
      <c r="F491">
        <v>2</v>
      </c>
      <c r="G491">
        <v>9</v>
      </c>
      <c r="H491">
        <v>160</v>
      </c>
      <c r="I491">
        <v>37</v>
      </c>
      <c r="J491">
        <v>1429.1</v>
      </c>
      <c r="K491">
        <v>6289</v>
      </c>
      <c r="L491">
        <v>1532</v>
      </c>
      <c r="M491" s="1">
        <v>860</v>
      </c>
      <c r="N491">
        <f t="shared" si="14"/>
        <v>988</v>
      </c>
      <c r="O491">
        <v>312</v>
      </c>
      <c r="P491">
        <v>51</v>
      </c>
      <c r="Q491">
        <v>181</v>
      </c>
      <c r="R491">
        <v>779</v>
      </c>
      <c r="S491">
        <v>547</v>
      </c>
      <c r="T491">
        <v>38</v>
      </c>
      <c r="U491">
        <f t="shared" si="15"/>
        <v>4140</v>
      </c>
      <c r="V491">
        <v>1223</v>
      </c>
      <c r="W491">
        <v>49</v>
      </c>
      <c r="X491">
        <v>36</v>
      </c>
      <c r="Y491">
        <v>72</v>
      </c>
      <c r="Z491">
        <v>70</v>
      </c>
      <c r="AA491">
        <v>5</v>
      </c>
      <c r="AB491">
        <v>128</v>
      </c>
      <c r="AC491">
        <v>70</v>
      </c>
      <c r="AD491" s="1">
        <v>75</v>
      </c>
      <c r="AE491" s="1">
        <v>87</v>
      </c>
      <c r="AF491">
        <v>4.91</v>
      </c>
    </row>
    <row r="492" spans="1:32" x14ac:dyDescent="0.2">
      <c r="A492" s="52">
        <v>2016</v>
      </c>
      <c r="B492" t="s">
        <v>59</v>
      </c>
      <c r="C492" t="s">
        <v>163</v>
      </c>
      <c r="D492">
        <v>637</v>
      </c>
      <c r="E492">
        <v>161</v>
      </c>
      <c r="F492">
        <v>3</v>
      </c>
      <c r="G492">
        <v>8</v>
      </c>
      <c r="H492">
        <v>158</v>
      </c>
      <c r="I492">
        <v>47</v>
      </c>
      <c r="J492">
        <v>1428</v>
      </c>
      <c r="K492">
        <v>6048</v>
      </c>
      <c r="L492">
        <v>1417</v>
      </c>
      <c r="M492" s="1">
        <v>721</v>
      </c>
      <c r="N492">
        <f t="shared" si="14"/>
        <v>943</v>
      </c>
      <c r="O492">
        <v>250</v>
      </c>
      <c r="P492">
        <v>42</v>
      </c>
      <c r="Q492">
        <v>182</v>
      </c>
      <c r="R492">
        <v>672</v>
      </c>
      <c r="S492">
        <v>462</v>
      </c>
      <c r="T492">
        <v>25</v>
      </c>
      <c r="U492">
        <f t="shared" si="15"/>
        <v>4118</v>
      </c>
      <c r="V492">
        <v>1232</v>
      </c>
      <c r="W492">
        <v>25</v>
      </c>
      <c r="X492">
        <v>53</v>
      </c>
      <c r="Y492">
        <v>44</v>
      </c>
      <c r="Z492">
        <v>51</v>
      </c>
      <c r="AA492">
        <v>4</v>
      </c>
      <c r="AB492">
        <v>129</v>
      </c>
      <c r="AC492">
        <v>39</v>
      </c>
      <c r="AD492" s="1">
        <v>86</v>
      </c>
      <c r="AE492" s="1">
        <v>75</v>
      </c>
      <c r="AF492">
        <v>4.24</v>
      </c>
    </row>
    <row r="493" spans="1:32" x14ac:dyDescent="0.2">
      <c r="A493" s="52">
        <v>2016</v>
      </c>
      <c r="B493" t="s">
        <v>63</v>
      </c>
      <c r="C493" t="s">
        <v>163</v>
      </c>
      <c r="D493">
        <v>662</v>
      </c>
      <c r="E493">
        <v>162</v>
      </c>
      <c r="F493">
        <v>2</v>
      </c>
      <c r="G493">
        <v>8</v>
      </c>
      <c r="H493">
        <v>160</v>
      </c>
      <c r="I493">
        <v>44</v>
      </c>
      <c r="J493">
        <v>1468</v>
      </c>
      <c r="K493">
        <v>6180</v>
      </c>
      <c r="L493">
        <v>1441</v>
      </c>
      <c r="M493" s="1">
        <v>701</v>
      </c>
      <c r="N493">
        <f t="shared" si="14"/>
        <v>898</v>
      </c>
      <c r="O493">
        <v>320</v>
      </c>
      <c r="P493">
        <v>42</v>
      </c>
      <c r="Q493">
        <v>181</v>
      </c>
      <c r="R493">
        <v>663</v>
      </c>
      <c r="S493">
        <v>453</v>
      </c>
      <c r="T493">
        <v>19</v>
      </c>
      <c r="U493">
        <f t="shared" si="15"/>
        <v>4247</v>
      </c>
      <c r="V493">
        <v>1396</v>
      </c>
      <c r="W493">
        <v>18</v>
      </c>
      <c r="X493">
        <v>31</v>
      </c>
      <c r="Y493">
        <v>98</v>
      </c>
      <c r="Z493">
        <v>39</v>
      </c>
      <c r="AA493">
        <v>2</v>
      </c>
      <c r="AB493">
        <v>113</v>
      </c>
      <c r="AC493">
        <v>58</v>
      </c>
      <c r="AD493" s="1">
        <v>84</v>
      </c>
      <c r="AE493" s="1">
        <v>78</v>
      </c>
      <c r="AF493">
        <v>4.0599999999999996</v>
      </c>
    </row>
    <row r="494" spans="1:32" x14ac:dyDescent="0.2">
      <c r="A494" s="52">
        <v>2016</v>
      </c>
      <c r="B494" t="s">
        <v>164</v>
      </c>
      <c r="C494" t="s">
        <v>163</v>
      </c>
      <c r="D494">
        <v>634</v>
      </c>
      <c r="E494">
        <v>162</v>
      </c>
      <c r="F494">
        <v>3</v>
      </c>
      <c r="G494">
        <v>7</v>
      </c>
      <c r="H494">
        <v>159</v>
      </c>
      <c r="I494">
        <v>41</v>
      </c>
      <c r="J494">
        <v>1440</v>
      </c>
      <c r="K494">
        <v>6182</v>
      </c>
      <c r="L494">
        <v>1433</v>
      </c>
      <c r="M494" s="1">
        <v>712</v>
      </c>
      <c r="N494">
        <f t="shared" si="14"/>
        <v>958</v>
      </c>
      <c r="O494">
        <v>248</v>
      </c>
      <c r="P494">
        <v>21</v>
      </c>
      <c r="Q494">
        <v>206</v>
      </c>
      <c r="R494">
        <v>674</v>
      </c>
      <c r="S494">
        <v>517</v>
      </c>
      <c r="T494">
        <v>8</v>
      </c>
      <c r="U494">
        <f t="shared" si="15"/>
        <v>4172</v>
      </c>
      <c r="V494">
        <v>1287</v>
      </c>
      <c r="W494">
        <v>30</v>
      </c>
      <c r="X494">
        <v>39</v>
      </c>
      <c r="Y494">
        <v>55</v>
      </c>
      <c r="Z494">
        <v>60</v>
      </c>
      <c r="AA494">
        <v>7</v>
      </c>
      <c r="AB494">
        <v>117</v>
      </c>
      <c r="AC494">
        <v>60</v>
      </c>
      <c r="AD494" s="1">
        <v>81</v>
      </c>
      <c r="AE494" s="1">
        <v>81</v>
      </c>
      <c r="AF494">
        <v>4.21</v>
      </c>
    </row>
    <row r="495" spans="1:32" x14ac:dyDescent="0.2">
      <c r="A495" s="52">
        <v>2016</v>
      </c>
      <c r="B495" t="s">
        <v>159</v>
      </c>
      <c r="C495" t="s">
        <v>38</v>
      </c>
      <c r="D495">
        <v>768</v>
      </c>
      <c r="E495">
        <v>162</v>
      </c>
      <c r="F495">
        <v>3</v>
      </c>
      <c r="G495">
        <v>15</v>
      </c>
      <c r="H495">
        <v>159</v>
      </c>
      <c r="I495">
        <v>47</v>
      </c>
      <c r="J495">
        <v>1453</v>
      </c>
      <c r="K495">
        <v>6014</v>
      </c>
      <c r="L495">
        <v>1266</v>
      </c>
      <c r="M495" s="1">
        <v>638</v>
      </c>
      <c r="N495">
        <f t="shared" si="14"/>
        <v>850</v>
      </c>
      <c r="O495">
        <v>225</v>
      </c>
      <c r="P495">
        <v>26</v>
      </c>
      <c r="Q495">
        <v>165</v>
      </c>
      <c r="R495">
        <v>598</v>
      </c>
      <c r="S495">
        <v>464</v>
      </c>
      <c r="T495">
        <v>51</v>
      </c>
      <c r="U495">
        <f t="shared" si="15"/>
        <v>4231</v>
      </c>
      <c r="V495">
        <v>1510</v>
      </c>
      <c r="W495">
        <v>35</v>
      </c>
      <c r="X495">
        <v>30</v>
      </c>
      <c r="Y495">
        <v>58</v>
      </c>
      <c r="Z495">
        <v>53</v>
      </c>
      <c r="AA495">
        <v>5</v>
      </c>
      <c r="AB495">
        <v>84</v>
      </c>
      <c r="AC495">
        <v>43</v>
      </c>
      <c r="AD495" s="1">
        <v>91</v>
      </c>
      <c r="AE495" s="1">
        <v>71</v>
      </c>
      <c r="AF495">
        <v>3.7</v>
      </c>
    </row>
    <row r="496" spans="1:32" x14ac:dyDescent="0.2">
      <c r="A496" s="52">
        <v>2016</v>
      </c>
      <c r="B496" t="s">
        <v>104</v>
      </c>
      <c r="C496" t="s">
        <v>38</v>
      </c>
      <c r="D496">
        <v>720</v>
      </c>
      <c r="E496">
        <v>161</v>
      </c>
      <c r="F496">
        <v>0</v>
      </c>
      <c r="G496">
        <v>12</v>
      </c>
      <c r="H496">
        <v>161</v>
      </c>
      <c r="I496">
        <v>55</v>
      </c>
      <c r="J496">
        <v>1435</v>
      </c>
      <c r="K496">
        <v>6164</v>
      </c>
      <c r="L496">
        <v>1358</v>
      </c>
      <c r="M496" s="1">
        <v>682</v>
      </c>
      <c r="N496">
        <f t="shared" si="14"/>
        <v>919</v>
      </c>
      <c r="O496">
        <v>256</v>
      </c>
      <c r="P496">
        <v>31</v>
      </c>
      <c r="Q496">
        <v>152</v>
      </c>
      <c r="R496">
        <v>646</v>
      </c>
      <c r="S496">
        <v>595</v>
      </c>
      <c r="T496">
        <v>62</v>
      </c>
      <c r="U496">
        <f t="shared" si="15"/>
        <v>4150</v>
      </c>
      <c r="V496">
        <v>1379</v>
      </c>
      <c r="W496">
        <v>48</v>
      </c>
      <c r="X496">
        <v>50</v>
      </c>
      <c r="Y496">
        <v>66</v>
      </c>
      <c r="Z496">
        <v>61</v>
      </c>
      <c r="AA496">
        <v>3</v>
      </c>
      <c r="AB496">
        <v>119</v>
      </c>
      <c r="AC496">
        <v>54</v>
      </c>
      <c r="AD496" s="1">
        <v>79</v>
      </c>
      <c r="AE496" s="1">
        <v>82</v>
      </c>
      <c r="AF496">
        <v>4.05</v>
      </c>
    </row>
    <row r="497" spans="1:32" x14ac:dyDescent="0.2">
      <c r="A497" s="52">
        <v>2016</v>
      </c>
      <c r="B497" t="s">
        <v>69</v>
      </c>
      <c r="C497" t="s">
        <v>38</v>
      </c>
      <c r="D497">
        <v>675</v>
      </c>
      <c r="E497">
        <v>162</v>
      </c>
      <c r="F497">
        <v>0</v>
      </c>
      <c r="G497">
        <v>7</v>
      </c>
      <c r="H497">
        <v>162</v>
      </c>
      <c r="I497">
        <v>46</v>
      </c>
      <c r="J497">
        <v>1434.1</v>
      </c>
      <c r="K497">
        <v>6188</v>
      </c>
      <c r="L497">
        <v>1450</v>
      </c>
      <c r="M497" s="1">
        <v>733</v>
      </c>
      <c r="N497">
        <f t="shared" si="14"/>
        <v>943</v>
      </c>
      <c r="O497">
        <v>293</v>
      </c>
      <c r="P497">
        <v>36</v>
      </c>
      <c r="Q497">
        <v>178</v>
      </c>
      <c r="R497">
        <v>650</v>
      </c>
      <c r="S497">
        <v>532</v>
      </c>
      <c r="T497">
        <v>33</v>
      </c>
      <c r="U497">
        <f t="shared" si="15"/>
        <v>4140</v>
      </c>
      <c r="V497">
        <v>1175</v>
      </c>
      <c r="W497">
        <v>40</v>
      </c>
      <c r="X497">
        <v>41</v>
      </c>
      <c r="Y497">
        <v>48</v>
      </c>
      <c r="Z497">
        <v>66</v>
      </c>
      <c r="AA497">
        <v>2</v>
      </c>
      <c r="AB497">
        <v>122</v>
      </c>
      <c r="AC497">
        <v>80</v>
      </c>
      <c r="AD497" s="1">
        <v>73</v>
      </c>
      <c r="AE497" s="1">
        <v>89</v>
      </c>
      <c r="AF497">
        <v>4.08</v>
      </c>
    </row>
    <row r="498" spans="1:32" x14ac:dyDescent="0.2">
      <c r="A498" s="52">
        <v>2016</v>
      </c>
      <c r="B498" t="s">
        <v>71</v>
      </c>
      <c r="C498" t="s">
        <v>163</v>
      </c>
      <c r="D498">
        <v>695</v>
      </c>
      <c r="E498">
        <v>162</v>
      </c>
      <c r="F498">
        <v>4</v>
      </c>
      <c r="G498">
        <v>3</v>
      </c>
      <c r="H498">
        <v>158</v>
      </c>
      <c r="I498">
        <v>26</v>
      </c>
      <c r="J498">
        <v>1443</v>
      </c>
      <c r="K498">
        <v>6314</v>
      </c>
      <c r="L498">
        <v>1617</v>
      </c>
      <c r="M498" s="1">
        <v>889</v>
      </c>
      <c r="N498">
        <f t="shared" si="14"/>
        <v>1040</v>
      </c>
      <c r="O498">
        <v>326</v>
      </c>
      <c r="P498">
        <v>30</v>
      </c>
      <c r="Q498">
        <v>221</v>
      </c>
      <c r="R498">
        <v>814</v>
      </c>
      <c r="S498">
        <v>479</v>
      </c>
      <c r="T498">
        <v>26</v>
      </c>
      <c r="U498">
        <f t="shared" si="15"/>
        <v>4177</v>
      </c>
      <c r="V498">
        <v>1191</v>
      </c>
      <c r="W498">
        <v>26</v>
      </c>
      <c r="X498">
        <v>46</v>
      </c>
      <c r="Y498">
        <v>83</v>
      </c>
      <c r="Z498">
        <v>41</v>
      </c>
      <c r="AA498">
        <v>7</v>
      </c>
      <c r="AB498">
        <v>155</v>
      </c>
      <c r="AC498">
        <v>79</v>
      </c>
      <c r="AD498" s="1">
        <v>59</v>
      </c>
      <c r="AE498" s="1">
        <v>103</v>
      </c>
      <c r="AF498">
        <v>5.08</v>
      </c>
    </row>
    <row r="499" spans="1:32" x14ac:dyDescent="0.2">
      <c r="A499" s="52">
        <v>2016</v>
      </c>
      <c r="B499" t="s">
        <v>158</v>
      </c>
      <c r="C499" t="s">
        <v>38</v>
      </c>
      <c r="D499">
        <v>700</v>
      </c>
      <c r="E499">
        <v>162</v>
      </c>
      <c r="F499">
        <v>1</v>
      </c>
      <c r="G499">
        <v>13</v>
      </c>
      <c r="H499">
        <v>161</v>
      </c>
      <c r="I499">
        <v>55</v>
      </c>
      <c r="J499">
        <v>1447</v>
      </c>
      <c r="K499">
        <v>6067</v>
      </c>
      <c r="L499">
        <v>1397</v>
      </c>
      <c r="M499" s="1">
        <v>617</v>
      </c>
      <c r="N499">
        <f t="shared" si="14"/>
        <v>958</v>
      </c>
      <c r="O499">
        <v>258</v>
      </c>
      <c r="P499">
        <v>29</v>
      </c>
      <c r="Q499">
        <v>152</v>
      </c>
      <c r="R499">
        <v>574</v>
      </c>
      <c r="S499">
        <v>439</v>
      </c>
      <c r="T499">
        <v>39</v>
      </c>
      <c r="U499">
        <f t="shared" si="15"/>
        <v>4196</v>
      </c>
      <c r="V499">
        <v>1396</v>
      </c>
      <c r="W499">
        <v>55</v>
      </c>
      <c r="X499">
        <v>44</v>
      </c>
      <c r="Y499">
        <v>50</v>
      </c>
      <c r="Z499">
        <v>35</v>
      </c>
      <c r="AA499">
        <v>7</v>
      </c>
      <c r="AB499">
        <v>117</v>
      </c>
      <c r="AC499">
        <v>64</v>
      </c>
      <c r="AD499" s="1">
        <v>87</v>
      </c>
      <c r="AE499" s="1">
        <v>75</v>
      </c>
      <c r="AF499">
        <v>3.57</v>
      </c>
    </row>
    <row r="500" spans="1:32" x14ac:dyDescent="0.2">
      <c r="A500" s="52">
        <v>2016</v>
      </c>
      <c r="B500" t="s">
        <v>158</v>
      </c>
      <c r="C500" t="s">
        <v>163</v>
      </c>
      <c r="D500">
        <v>645</v>
      </c>
      <c r="E500">
        <v>162</v>
      </c>
      <c r="F500">
        <v>0</v>
      </c>
      <c r="G500">
        <v>10</v>
      </c>
      <c r="H500">
        <v>162</v>
      </c>
      <c r="I500">
        <v>48</v>
      </c>
      <c r="J500">
        <v>1428.1</v>
      </c>
      <c r="K500">
        <v>6023</v>
      </c>
      <c r="L500">
        <v>1358</v>
      </c>
      <c r="M500" s="1">
        <v>702</v>
      </c>
      <c r="N500">
        <f t="shared" si="14"/>
        <v>843</v>
      </c>
      <c r="O500">
        <v>279</v>
      </c>
      <c r="P500">
        <v>22</v>
      </c>
      <c r="Q500">
        <v>214</v>
      </c>
      <c r="R500">
        <v>660</v>
      </c>
      <c r="S500">
        <v>444</v>
      </c>
      <c r="T500">
        <v>15</v>
      </c>
      <c r="U500">
        <f t="shared" si="15"/>
        <v>4164</v>
      </c>
      <c r="V500">
        <v>1393</v>
      </c>
      <c r="W500">
        <v>21</v>
      </c>
      <c r="X500">
        <v>22</v>
      </c>
      <c r="Y500">
        <v>52</v>
      </c>
      <c r="Z500">
        <v>57</v>
      </c>
      <c r="AA500">
        <v>2</v>
      </c>
      <c r="AB500">
        <v>100</v>
      </c>
      <c r="AC500">
        <v>56</v>
      </c>
      <c r="AD500" s="1">
        <v>84</v>
      </c>
      <c r="AE500" s="1">
        <v>78</v>
      </c>
      <c r="AF500">
        <v>4.16</v>
      </c>
    </row>
    <row r="501" spans="1:32" x14ac:dyDescent="0.2">
      <c r="A501" s="52">
        <v>2016</v>
      </c>
      <c r="B501" t="s">
        <v>79</v>
      </c>
      <c r="C501" t="s">
        <v>163</v>
      </c>
      <c r="D501">
        <v>654</v>
      </c>
      <c r="E501">
        <v>162</v>
      </c>
      <c r="F501">
        <v>2</v>
      </c>
      <c r="G501">
        <v>7</v>
      </c>
      <c r="H501">
        <v>160</v>
      </c>
      <c r="I501">
        <v>42</v>
      </c>
      <c r="J501">
        <v>1433.1</v>
      </c>
      <c r="K501">
        <v>6144</v>
      </c>
      <c r="L501">
        <v>1459</v>
      </c>
      <c r="M501" s="1">
        <v>761</v>
      </c>
      <c r="N501">
        <f t="shared" si="14"/>
        <v>971</v>
      </c>
      <c r="O501">
        <v>277</v>
      </c>
      <c r="P501">
        <v>26</v>
      </c>
      <c r="Q501">
        <v>185</v>
      </c>
      <c r="R501">
        <v>718</v>
      </c>
      <c r="S501">
        <v>464</v>
      </c>
      <c r="T501">
        <v>28</v>
      </c>
      <c r="U501">
        <f t="shared" si="15"/>
        <v>4171</v>
      </c>
      <c r="V501">
        <v>1188</v>
      </c>
      <c r="W501">
        <v>21</v>
      </c>
      <c r="X501">
        <v>49</v>
      </c>
      <c r="Y501">
        <v>70</v>
      </c>
      <c r="Z501">
        <v>50</v>
      </c>
      <c r="AA501">
        <v>3</v>
      </c>
      <c r="AB501">
        <v>125</v>
      </c>
      <c r="AC501">
        <v>72</v>
      </c>
      <c r="AD501" s="1">
        <v>69</v>
      </c>
      <c r="AE501" s="1">
        <v>93</v>
      </c>
      <c r="AF501">
        <v>4.51</v>
      </c>
    </row>
    <row r="502" spans="1:32" x14ac:dyDescent="0.2">
      <c r="A502" s="52">
        <v>2016</v>
      </c>
      <c r="B502" t="s">
        <v>81</v>
      </c>
      <c r="C502" t="s">
        <v>38</v>
      </c>
      <c r="D502">
        <v>667</v>
      </c>
      <c r="E502">
        <v>162</v>
      </c>
      <c r="F502">
        <v>4</v>
      </c>
      <c r="G502">
        <v>12</v>
      </c>
      <c r="H502">
        <v>158</v>
      </c>
      <c r="I502">
        <v>43</v>
      </c>
      <c r="J502">
        <v>1437</v>
      </c>
      <c r="K502">
        <v>6164</v>
      </c>
      <c r="L502">
        <v>1468</v>
      </c>
      <c r="M502" s="1">
        <v>796</v>
      </c>
      <c r="N502">
        <f t="shared" si="14"/>
        <v>914</v>
      </c>
      <c r="O502">
        <v>308</v>
      </c>
      <c r="P502">
        <v>33</v>
      </c>
      <c r="Q502">
        <v>213</v>
      </c>
      <c r="R502">
        <v>739</v>
      </c>
      <c r="S502">
        <v>466</v>
      </c>
      <c r="T502">
        <v>30</v>
      </c>
      <c r="U502">
        <f t="shared" si="15"/>
        <v>4179</v>
      </c>
      <c r="V502">
        <v>1299</v>
      </c>
      <c r="W502">
        <v>49</v>
      </c>
      <c r="X502">
        <v>55</v>
      </c>
      <c r="Y502">
        <v>57</v>
      </c>
      <c r="Z502">
        <v>51</v>
      </c>
      <c r="AA502">
        <v>9</v>
      </c>
      <c r="AB502">
        <v>120</v>
      </c>
      <c r="AC502">
        <v>68</v>
      </c>
      <c r="AD502" s="1">
        <v>71</v>
      </c>
      <c r="AE502" s="1">
        <v>91</v>
      </c>
      <c r="AF502">
        <v>4.63</v>
      </c>
    </row>
    <row r="503" spans="1:32" x14ac:dyDescent="0.2">
      <c r="A503" s="52">
        <v>2016</v>
      </c>
      <c r="B503" t="s">
        <v>83</v>
      </c>
      <c r="C503" t="s">
        <v>38</v>
      </c>
      <c r="D503">
        <v>687</v>
      </c>
      <c r="E503">
        <v>162</v>
      </c>
      <c r="F503">
        <v>5</v>
      </c>
      <c r="G503">
        <v>5</v>
      </c>
      <c r="H503">
        <v>157</v>
      </c>
      <c r="I503">
        <v>51</v>
      </c>
      <c r="J503">
        <v>1450.2</v>
      </c>
      <c r="K503">
        <v>6292</v>
      </c>
      <c r="L503">
        <v>1490</v>
      </c>
      <c r="M503" s="1">
        <v>758</v>
      </c>
      <c r="N503">
        <f t="shared" si="14"/>
        <v>948</v>
      </c>
      <c r="O503">
        <v>322</v>
      </c>
      <c r="P503">
        <v>40</v>
      </c>
      <c r="Q503">
        <v>180</v>
      </c>
      <c r="R503">
        <v>679</v>
      </c>
      <c r="S503">
        <v>533</v>
      </c>
      <c r="T503">
        <v>28</v>
      </c>
      <c r="U503">
        <f t="shared" si="15"/>
        <v>4201</v>
      </c>
      <c r="V503">
        <v>1232</v>
      </c>
      <c r="W503">
        <v>64</v>
      </c>
      <c r="X503">
        <v>46</v>
      </c>
      <c r="Y503">
        <v>71</v>
      </c>
      <c r="Z503">
        <v>68</v>
      </c>
      <c r="AA503">
        <v>7</v>
      </c>
      <c r="AB503">
        <v>150</v>
      </c>
      <c r="AC503">
        <v>84</v>
      </c>
      <c r="AD503" s="1">
        <v>78</v>
      </c>
      <c r="AE503" s="1">
        <v>83</v>
      </c>
      <c r="AF503">
        <v>4.21</v>
      </c>
    </row>
    <row r="504" spans="1:32" x14ac:dyDescent="0.2">
      <c r="A504" s="52">
        <v>2016</v>
      </c>
      <c r="B504" t="s">
        <v>161</v>
      </c>
      <c r="C504" t="s">
        <v>38</v>
      </c>
      <c r="D504">
        <v>672</v>
      </c>
      <c r="E504">
        <v>162</v>
      </c>
      <c r="F504">
        <v>1</v>
      </c>
      <c r="G504">
        <v>9</v>
      </c>
      <c r="H504">
        <v>161</v>
      </c>
      <c r="I504">
        <v>35</v>
      </c>
      <c r="J504">
        <v>1440</v>
      </c>
      <c r="K504">
        <v>6228</v>
      </c>
      <c r="L504">
        <v>1425</v>
      </c>
      <c r="M504" s="1">
        <v>770</v>
      </c>
      <c r="N504">
        <f t="shared" si="14"/>
        <v>923</v>
      </c>
      <c r="O504">
        <v>275</v>
      </c>
      <c r="P504">
        <v>44</v>
      </c>
      <c r="Q504">
        <v>183</v>
      </c>
      <c r="R504">
        <v>708</v>
      </c>
      <c r="S504">
        <v>569</v>
      </c>
      <c r="T504">
        <v>44</v>
      </c>
      <c r="U504">
        <f t="shared" si="15"/>
        <v>4181</v>
      </c>
      <c r="V504">
        <v>1222</v>
      </c>
      <c r="W504">
        <v>27</v>
      </c>
      <c r="X504">
        <v>42</v>
      </c>
      <c r="Y504">
        <v>67</v>
      </c>
      <c r="Z504">
        <v>53</v>
      </c>
      <c r="AA504">
        <v>3</v>
      </c>
      <c r="AB504">
        <v>147</v>
      </c>
      <c r="AC504">
        <v>79</v>
      </c>
      <c r="AD504" s="1">
        <v>68</v>
      </c>
      <c r="AE504" s="1">
        <v>94</v>
      </c>
      <c r="AF504">
        <v>4.43</v>
      </c>
    </row>
    <row r="505" spans="1:32" x14ac:dyDescent="0.2">
      <c r="A505" s="52">
        <v>2016</v>
      </c>
      <c r="B505" t="s">
        <v>87</v>
      </c>
      <c r="C505" t="s">
        <v>163</v>
      </c>
      <c r="D505">
        <v>638</v>
      </c>
      <c r="E505">
        <v>162</v>
      </c>
      <c r="F505">
        <v>2</v>
      </c>
      <c r="G505">
        <v>8</v>
      </c>
      <c r="H505">
        <v>160</v>
      </c>
      <c r="I505">
        <v>49</v>
      </c>
      <c r="J505">
        <v>1457</v>
      </c>
      <c r="K505">
        <v>6147</v>
      </c>
      <c r="L505">
        <v>1410</v>
      </c>
      <c r="M505" s="1">
        <v>707</v>
      </c>
      <c r="N505">
        <f t="shared" si="14"/>
        <v>901</v>
      </c>
      <c r="O505">
        <v>273</v>
      </c>
      <c r="P505">
        <v>23</v>
      </c>
      <c r="Q505">
        <v>213</v>
      </c>
      <c r="R505">
        <v>647</v>
      </c>
      <c r="S505">
        <v>460</v>
      </c>
      <c r="T505">
        <v>30</v>
      </c>
      <c r="U505">
        <f t="shared" si="15"/>
        <v>4222</v>
      </c>
      <c r="V505">
        <v>1318</v>
      </c>
      <c r="W505">
        <v>23</v>
      </c>
      <c r="X505">
        <v>36</v>
      </c>
      <c r="Y505">
        <v>52</v>
      </c>
      <c r="Z505">
        <v>55</v>
      </c>
      <c r="AA505">
        <v>7</v>
      </c>
      <c r="AB505">
        <v>135</v>
      </c>
      <c r="AC505">
        <v>67</v>
      </c>
      <c r="AD505" s="1">
        <v>86</v>
      </c>
      <c r="AE505" s="1">
        <v>76</v>
      </c>
      <c r="AF505">
        <v>4</v>
      </c>
    </row>
    <row r="506" spans="1:32" x14ac:dyDescent="0.2">
      <c r="A506" s="52">
        <v>2016</v>
      </c>
      <c r="B506" t="s">
        <v>21</v>
      </c>
      <c r="C506" t="s">
        <v>38</v>
      </c>
      <c r="D506">
        <v>737</v>
      </c>
      <c r="E506">
        <v>162</v>
      </c>
      <c r="F506">
        <v>10</v>
      </c>
      <c r="G506">
        <v>11</v>
      </c>
      <c r="H506">
        <v>152</v>
      </c>
      <c r="I506">
        <v>43</v>
      </c>
      <c r="J506">
        <v>1460.1</v>
      </c>
      <c r="K506">
        <v>6049</v>
      </c>
      <c r="L506">
        <v>1334</v>
      </c>
      <c r="M506" s="1">
        <v>631</v>
      </c>
      <c r="N506">
        <f t="shared" si="14"/>
        <v>872</v>
      </c>
      <c r="O506">
        <v>262</v>
      </c>
      <c r="P506">
        <v>42</v>
      </c>
      <c r="Q506">
        <v>158</v>
      </c>
      <c r="R506">
        <v>593</v>
      </c>
      <c r="S506">
        <v>439</v>
      </c>
      <c r="T506">
        <v>30</v>
      </c>
      <c r="U506">
        <f t="shared" si="15"/>
        <v>4230</v>
      </c>
      <c r="V506">
        <v>1309</v>
      </c>
      <c r="W506">
        <v>41</v>
      </c>
      <c r="X506">
        <v>34</v>
      </c>
      <c r="Y506">
        <v>40</v>
      </c>
      <c r="Z506">
        <v>46</v>
      </c>
      <c r="AA506">
        <v>6</v>
      </c>
      <c r="AB506">
        <v>120</v>
      </c>
      <c r="AC506">
        <v>51</v>
      </c>
      <c r="AD506" s="1">
        <v>87</v>
      </c>
      <c r="AE506" s="1">
        <v>75</v>
      </c>
      <c r="AF506">
        <v>3.65</v>
      </c>
    </row>
    <row r="507" spans="1:32" x14ac:dyDescent="0.2">
      <c r="A507" s="52">
        <v>2016</v>
      </c>
      <c r="B507" t="s">
        <v>156</v>
      </c>
      <c r="C507" t="s">
        <v>38</v>
      </c>
      <c r="D507">
        <v>643</v>
      </c>
      <c r="E507">
        <v>162</v>
      </c>
      <c r="F507">
        <v>2</v>
      </c>
      <c r="G507">
        <v>10</v>
      </c>
      <c r="H507">
        <v>160</v>
      </c>
      <c r="I507">
        <v>38</v>
      </c>
      <c r="J507">
        <v>1448.1</v>
      </c>
      <c r="K507">
        <v>6164</v>
      </c>
      <c r="L507">
        <v>1432</v>
      </c>
      <c r="M507" s="1">
        <v>712</v>
      </c>
      <c r="N507">
        <f t="shared" si="14"/>
        <v>973</v>
      </c>
      <c r="O507">
        <v>278</v>
      </c>
      <c r="P507">
        <v>22</v>
      </c>
      <c r="Q507">
        <v>159</v>
      </c>
      <c r="R507">
        <v>656</v>
      </c>
      <c r="S507">
        <v>475</v>
      </c>
      <c r="T507">
        <v>35</v>
      </c>
      <c r="U507">
        <f t="shared" si="15"/>
        <v>4205</v>
      </c>
      <c r="V507">
        <v>1290</v>
      </c>
      <c r="W507">
        <v>38</v>
      </c>
      <c r="X507">
        <v>46</v>
      </c>
      <c r="Y507">
        <v>50</v>
      </c>
      <c r="Z507">
        <v>52</v>
      </c>
      <c r="AA507">
        <v>1</v>
      </c>
      <c r="AB507">
        <v>149</v>
      </c>
      <c r="AC507">
        <v>75</v>
      </c>
      <c r="AD507" s="1">
        <v>86</v>
      </c>
      <c r="AE507" s="1">
        <v>76</v>
      </c>
      <c r="AF507">
        <v>4.08</v>
      </c>
    </row>
    <row r="508" spans="1:32" x14ac:dyDescent="0.2">
      <c r="A508" s="52">
        <v>2016</v>
      </c>
      <c r="B508" t="s">
        <v>165</v>
      </c>
      <c r="C508" t="s">
        <v>163</v>
      </c>
      <c r="D508">
        <v>647</v>
      </c>
      <c r="E508">
        <v>162</v>
      </c>
      <c r="F508">
        <v>1</v>
      </c>
      <c r="G508">
        <v>8</v>
      </c>
      <c r="H508">
        <v>161</v>
      </c>
      <c r="I508">
        <v>42</v>
      </c>
      <c r="J508">
        <v>1426.1</v>
      </c>
      <c r="K508">
        <v>6076</v>
      </c>
      <c r="L508">
        <v>1395</v>
      </c>
      <c r="M508" s="1">
        <v>713</v>
      </c>
      <c r="N508">
        <f t="shared" si="14"/>
        <v>943</v>
      </c>
      <c r="O508">
        <v>233</v>
      </c>
      <c r="P508">
        <v>9</v>
      </c>
      <c r="Q508">
        <v>210</v>
      </c>
      <c r="R508">
        <v>665</v>
      </c>
      <c r="S508">
        <v>491</v>
      </c>
      <c r="T508">
        <v>25</v>
      </c>
      <c r="U508">
        <f t="shared" si="15"/>
        <v>4158</v>
      </c>
      <c r="V508">
        <v>1357</v>
      </c>
      <c r="W508">
        <v>33</v>
      </c>
      <c r="X508">
        <v>47</v>
      </c>
      <c r="Y508">
        <v>61</v>
      </c>
      <c r="Z508">
        <v>32</v>
      </c>
      <c r="AA508">
        <v>7</v>
      </c>
      <c r="AB508">
        <v>109</v>
      </c>
      <c r="AC508">
        <v>61</v>
      </c>
      <c r="AD508" s="1">
        <v>68</v>
      </c>
      <c r="AE508" s="1">
        <v>94</v>
      </c>
      <c r="AF508">
        <v>4.2</v>
      </c>
    </row>
    <row r="509" spans="1:32" x14ac:dyDescent="0.2">
      <c r="A509" s="52">
        <v>2016</v>
      </c>
      <c r="B509" t="s">
        <v>95</v>
      </c>
      <c r="C509" t="s">
        <v>163</v>
      </c>
      <c r="D509">
        <v>641</v>
      </c>
      <c r="E509">
        <v>162</v>
      </c>
      <c r="F509">
        <v>1</v>
      </c>
      <c r="G509">
        <v>6</v>
      </c>
      <c r="H509">
        <v>161</v>
      </c>
      <c r="I509">
        <v>56</v>
      </c>
      <c r="J509">
        <v>1443</v>
      </c>
      <c r="K509">
        <v>6186</v>
      </c>
      <c r="L509">
        <v>1441</v>
      </c>
      <c r="M509" s="1">
        <v>757</v>
      </c>
      <c r="N509">
        <f t="shared" si="14"/>
        <v>958</v>
      </c>
      <c r="O509">
        <v>260</v>
      </c>
      <c r="P509">
        <v>22</v>
      </c>
      <c r="Q509">
        <v>201</v>
      </c>
      <c r="R509">
        <v>700</v>
      </c>
      <c r="S509">
        <v>534</v>
      </c>
      <c r="T509">
        <v>16</v>
      </c>
      <c r="U509">
        <f t="shared" si="15"/>
        <v>4158</v>
      </c>
      <c r="V509">
        <v>1154</v>
      </c>
      <c r="W509">
        <v>19</v>
      </c>
      <c r="X509">
        <v>43</v>
      </c>
      <c r="Y509">
        <v>45</v>
      </c>
      <c r="Z509">
        <v>53</v>
      </c>
      <c r="AA509">
        <v>5</v>
      </c>
      <c r="AB509">
        <v>168</v>
      </c>
      <c r="AC509">
        <v>73</v>
      </c>
      <c r="AD509" s="1">
        <v>95</v>
      </c>
      <c r="AE509" s="1">
        <v>67</v>
      </c>
      <c r="AF509">
        <v>4.37</v>
      </c>
    </row>
    <row r="510" spans="1:32" x14ac:dyDescent="0.2">
      <c r="A510" s="52">
        <v>2016</v>
      </c>
      <c r="B510" t="s">
        <v>97</v>
      </c>
      <c r="C510" t="s">
        <v>163</v>
      </c>
      <c r="D510">
        <v>649</v>
      </c>
      <c r="E510">
        <v>162</v>
      </c>
      <c r="F510">
        <v>0</v>
      </c>
      <c r="G510">
        <v>10</v>
      </c>
      <c r="H510">
        <v>162</v>
      </c>
      <c r="I510">
        <v>43</v>
      </c>
      <c r="J510">
        <v>1459.1</v>
      </c>
      <c r="K510">
        <v>6113</v>
      </c>
      <c r="L510">
        <v>1340</v>
      </c>
      <c r="M510" s="1">
        <v>666</v>
      </c>
      <c r="N510">
        <f t="shared" si="14"/>
        <v>864</v>
      </c>
      <c r="O510">
        <v>269</v>
      </c>
      <c r="P510">
        <v>24</v>
      </c>
      <c r="Q510">
        <v>183</v>
      </c>
      <c r="R510">
        <v>613</v>
      </c>
      <c r="S510">
        <v>461</v>
      </c>
      <c r="T510">
        <v>10</v>
      </c>
      <c r="U510">
        <f t="shared" si="15"/>
        <v>4253</v>
      </c>
      <c r="V510">
        <v>1314</v>
      </c>
      <c r="W510">
        <v>13</v>
      </c>
      <c r="X510">
        <v>33</v>
      </c>
      <c r="Y510">
        <v>50</v>
      </c>
      <c r="Z510">
        <v>59</v>
      </c>
      <c r="AA510">
        <v>7</v>
      </c>
      <c r="AB510">
        <v>127</v>
      </c>
      <c r="AC510">
        <v>63</v>
      </c>
      <c r="AD510" s="1">
        <v>89</v>
      </c>
      <c r="AE510" s="1">
        <v>73</v>
      </c>
      <c r="AF510">
        <v>3.78</v>
      </c>
    </row>
    <row r="511" spans="1:32" x14ac:dyDescent="0.2">
      <c r="A511" s="52">
        <v>2016</v>
      </c>
      <c r="B511" t="s">
        <v>101</v>
      </c>
      <c r="C511" t="s">
        <v>38</v>
      </c>
      <c r="D511">
        <v>670</v>
      </c>
      <c r="E511">
        <v>162</v>
      </c>
      <c r="F511">
        <v>1</v>
      </c>
      <c r="G511">
        <v>12</v>
      </c>
      <c r="H511">
        <v>161</v>
      </c>
      <c r="I511">
        <v>46</v>
      </c>
      <c r="J511">
        <v>1459.2</v>
      </c>
      <c r="K511">
        <v>6036</v>
      </c>
      <c r="L511">
        <v>1272</v>
      </c>
      <c r="M511" s="1">
        <v>612</v>
      </c>
      <c r="N511">
        <f t="shared" si="14"/>
        <v>838</v>
      </c>
      <c r="O511">
        <v>252</v>
      </c>
      <c r="P511">
        <v>27</v>
      </c>
      <c r="Q511">
        <v>155</v>
      </c>
      <c r="R511">
        <v>570</v>
      </c>
      <c r="S511">
        <v>468</v>
      </c>
      <c r="T511">
        <v>43</v>
      </c>
      <c r="U511">
        <f t="shared" si="15"/>
        <v>4239</v>
      </c>
      <c r="V511">
        <v>1476</v>
      </c>
      <c r="W511">
        <v>52</v>
      </c>
      <c r="X511">
        <v>28</v>
      </c>
      <c r="Y511">
        <v>47</v>
      </c>
      <c r="Z511">
        <v>57</v>
      </c>
      <c r="AA511">
        <v>4</v>
      </c>
      <c r="AB511">
        <v>124</v>
      </c>
      <c r="AC511">
        <v>50</v>
      </c>
      <c r="AD511" s="1">
        <v>95</v>
      </c>
      <c r="AE511" s="1">
        <v>67</v>
      </c>
      <c r="AF511">
        <v>3.51</v>
      </c>
    </row>
    <row r="512" spans="1:32" x14ac:dyDescent="0.2">
      <c r="A512" s="52">
        <v>2017</v>
      </c>
      <c r="B512" t="s">
        <v>37</v>
      </c>
      <c r="C512" t="s">
        <v>163</v>
      </c>
      <c r="D512">
        <v>705</v>
      </c>
      <c r="E512">
        <v>162</v>
      </c>
      <c r="F512">
        <v>1</v>
      </c>
      <c r="G512">
        <v>10</v>
      </c>
      <c r="H512">
        <v>161</v>
      </c>
      <c r="I512">
        <v>43</v>
      </c>
      <c r="J512">
        <v>1440.2</v>
      </c>
      <c r="K512">
        <v>6030</v>
      </c>
      <c r="L512">
        <v>1373</v>
      </c>
      <c r="M512" s="1">
        <v>709</v>
      </c>
      <c r="N512">
        <f t="shared" si="14"/>
        <v>867</v>
      </c>
      <c r="O512">
        <v>265</v>
      </c>
      <c r="P512">
        <v>17</v>
      </c>
      <c r="Q512">
        <v>224</v>
      </c>
      <c r="R512">
        <v>672</v>
      </c>
      <c r="S512">
        <v>470</v>
      </c>
      <c r="T512">
        <v>25</v>
      </c>
      <c r="U512">
        <f t="shared" si="15"/>
        <v>4143</v>
      </c>
      <c r="V512">
        <v>1312</v>
      </c>
      <c r="W512">
        <v>24</v>
      </c>
      <c r="X512">
        <v>30</v>
      </c>
      <c r="Y512">
        <v>57</v>
      </c>
      <c r="Z512">
        <v>44</v>
      </c>
      <c r="AA512">
        <v>6</v>
      </c>
      <c r="AB512">
        <v>114</v>
      </c>
      <c r="AC512">
        <v>46</v>
      </c>
      <c r="AD512" s="1">
        <v>80</v>
      </c>
      <c r="AE512" s="1">
        <v>82</v>
      </c>
      <c r="AF512">
        <v>4.2</v>
      </c>
    </row>
    <row r="513" spans="1:32" x14ac:dyDescent="0.2">
      <c r="A513" s="52">
        <v>2017</v>
      </c>
      <c r="B513" t="s">
        <v>40</v>
      </c>
      <c r="C513" t="s">
        <v>38</v>
      </c>
      <c r="D513">
        <v>675</v>
      </c>
      <c r="E513">
        <v>162</v>
      </c>
      <c r="F513">
        <v>2</v>
      </c>
      <c r="G513">
        <v>11</v>
      </c>
      <c r="H513">
        <v>160</v>
      </c>
      <c r="I513">
        <v>43</v>
      </c>
      <c r="J513">
        <v>1441</v>
      </c>
      <c r="K513">
        <v>6072</v>
      </c>
      <c r="L513">
        <v>1309</v>
      </c>
      <c r="M513" s="1">
        <v>659</v>
      </c>
      <c r="N513">
        <f t="shared" si="14"/>
        <v>828</v>
      </c>
      <c r="O513">
        <v>276</v>
      </c>
      <c r="P513">
        <v>34</v>
      </c>
      <c r="Q513">
        <v>171</v>
      </c>
      <c r="R513">
        <v>586</v>
      </c>
      <c r="S513">
        <v>516</v>
      </c>
      <c r="T513">
        <v>45</v>
      </c>
      <c r="U513">
        <f t="shared" si="15"/>
        <v>4209</v>
      </c>
      <c r="V513">
        <v>1482</v>
      </c>
      <c r="W513">
        <v>36</v>
      </c>
      <c r="X513">
        <v>37</v>
      </c>
      <c r="Y513">
        <v>82</v>
      </c>
      <c r="Z513">
        <v>38</v>
      </c>
      <c r="AA513">
        <v>5</v>
      </c>
      <c r="AB513">
        <v>125</v>
      </c>
      <c r="AC513">
        <v>78</v>
      </c>
      <c r="AD513" s="1">
        <v>93</v>
      </c>
      <c r="AE513" s="1">
        <v>69</v>
      </c>
      <c r="AF513">
        <v>3.66</v>
      </c>
    </row>
    <row r="514" spans="1:32" x14ac:dyDescent="0.2">
      <c r="A514" s="52">
        <v>2017</v>
      </c>
      <c r="B514" t="s">
        <v>42</v>
      </c>
      <c r="C514" t="s">
        <v>38</v>
      </c>
      <c r="D514">
        <v>692</v>
      </c>
      <c r="E514">
        <v>162</v>
      </c>
      <c r="F514">
        <v>0</v>
      </c>
      <c r="G514">
        <v>6</v>
      </c>
      <c r="H514">
        <v>162</v>
      </c>
      <c r="I514">
        <v>36</v>
      </c>
      <c r="J514">
        <v>1441.1</v>
      </c>
      <c r="K514">
        <v>6306</v>
      </c>
      <c r="L514">
        <v>1463</v>
      </c>
      <c r="M514" s="1">
        <v>821</v>
      </c>
      <c r="N514">
        <f t="shared" si="14"/>
        <v>909</v>
      </c>
      <c r="O514">
        <v>326</v>
      </c>
      <c r="P514">
        <v>36</v>
      </c>
      <c r="Q514">
        <v>192</v>
      </c>
      <c r="R514">
        <v>756</v>
      </c>
      <c r="S514">
        <v>584</v>
      </c>
      <c r="T514">
        <v>39</v>
      </c>
      <c r="U514">
        <f t="shared" si="15"/>
        <v>4189</v>
      </c>
      <c r="V514">
        <v>1258</v>
      </c>
      <c r="W514">
        <v>53</v>
      </c>
      <c r="X514">
        <v>36</v>
      </c>
      <c r="Y514">
        <v>58</v>
      </c>
      <c r="Z514">
        <v>70</v>
      </c>
      <c r="AA514">
        <v>5</v>
      </c>
      <c r="AB514">
        <v>118</v>
      </c>
      <c r="AC514">
        <v>58</v>
      </c>
      <c r="AD514" s="1">
        <v>72</v>
      </c>
      <c r="AE514" s="1">
        <v>90</v>
      </c>
      <c r="AF514">
        <v>4.72</v>
      </c>
    </row>
    <row r="515" spans="1:32" x14ac:dyDescent="0.2">
      <c r="A515" s="52">
        <v>2017</v>
      </c>
      <c r="B515" t="s">
        <v>45</v>
      </c>
      <c r="C515" t="s">
        <v>163</v>
      </c>
      <c r="D515">
        <v>654</v>
      </c>
      <c r="E515">
        <v>162</v>
      </c>
      <c r="F515">
        <v>1</v>
      </c>
      <c r="G515">
        <v>10</v>
      </c>
      <c r="H515">
        <v>161</v>
      </c>
      <c r="I515">
        <v>35</v>
      </c>
      <c r="J515">
        <v>1441</v>
      </c>
      <c r="K515">
        <v>6293</v>
      </c>
      <c r="L515">
        <v>1505</v>
      </c>
      <c r="M515" s="1">
        <v>841</v>
      </c>
      <c r="N515">
        <f t="shared" ref="N515:N571" si="16">L515-(O515+P515+Q515)</f>
        <v>953</v>
      </c>
      <c r="O515">
        <v>293</v>
      </c>
      <c r="P515">
        <v>17</v>
      </c>
      <c r="Q515">
        <v>242</v>
      </c>
      <c r="R515">
        <v>795</v>
      </c>
      <c r="S515">
        <v>579</v>
      </c>
      <c r="T515">
        <v>21</v>
      </c>
      <c r="U515">
        <f t="shared" ref="U515:U571" si="17">K515-(L515+S515+Z515)</f>
        <v>4149</v>
      </c>
      <c r="V515">
        <v>1233</v>
      </c>
      <c r="W515">
        <v>17</v>
      </c>
      <c r="X515">
        <v>48</v>
      </c>
      <c r="Y515">
        <v>53</v>
      </c>
      <c r="Z515">
        <v>60</v>
      </c>
      <c r="AA515">
        <v>6</v>
      </c>
      <c r="AB515">
        <v>150</v>
      </c>
      <c r="AC515">
        <v>61</v>
      </c>
      <c r="AD515" s="1">
        <v>75</v>
      </c>
      <c r="AE515" s="1">
        <v>87</v>
      </c>
      <c r="AF515">
        <v>4.97</v>
      </c>
    </row>
    <row r="516" spans="1:32" x14ac:dyDescent="0.2">
      <c r="A516" s="52">
        <v>2017</v>
      </c>
      <c r="B516" t="s">
        <v>47</v>
      </c>
      <c r="C516" t="s">
        <v>163</v>
      </c>
      <c r="D516">
        <v>677</v>
      </c>
      <c r="E516">
        <v>162</v>
      </c>
      <c r="F516">
        <v>5</v>
      </c>
      <c r="G516">
        <v>11</v>
      </c>
      <c r="H516">
        <v>157</v>
      </c>
      <c r="I516">
        <v>39</v>
      </c>
      <c r="J516">
        <v>1482.1</v>
      </c>
      <c r="K516">
        <v>6217</v>
      </c>
      <c r="L516">
        <v>1384</v>
      </c>
      <c r="M516" s="1">
        <v>668</v>
      </c>
      <c r="N516">
        <f t="shared" si="16"/>
        <v>888</v>
      </c>
      <c r="O516">
        <v>278</v>
      </c>
      <c r="P516">
        <v>23</v>
      </c>
      <c r="Q516">
        <v>195</v>
      </c>
      <c r="R516">
        <v>610</v>
      </c>
      <c r="S516">
        <v>465</v>
      </c>
      <c r="T516">
        <v>18</v>
      </c>
      <c r="U516">
        <f t="shared" si="17"/>
        <v>4319</v>
      </c>
      <c r="V516">
        <v>1580</v>
      </c>
      <c r="W516">
        <v>16</v>
      </c>
      <c r="X516">
        <v>40</v>
      </c>
      <c r="Y516">
        <v>43</v>
      </c>
      <c r="Z516">
        <v>49</v>
      </c>
      <c r="AA516">
        <v>3</v>
      </c>
      <c r="AB516">
        <v>116</v>
      </c>
      <c r="AC516">
        <v>64</v>
      </c>
      <c r="AD516" s="1">
        <v>93</v>
      </c>
      <c r="AE516" s="1">
        <v>69</v>
      </c>
      <c r="AF516">
        <v>3.7</v>
      </c>
    </row>
    <row r="517" spans="1:32" x14ac:dyDescent="0.2">
      <c r="A517" s="52">
        <v>2017</v>
      </c>
      <c r="B517" t="s">
        <v>157</v>
      </c>
      <c r="C517" t="s">
        <v>38</v>
      </c>
      <c r="D517">
        <v>693</v>
      </c>
      <c r="E517">
        <v>162</v>
      </c>
      <c r="F517">
        <v>2</v>
      </c>
      <c r="G517">
        <v>8</v>
      </c>
      <c r="H517">
        <v>160</v>
      </c>
      <c r="I517">
        <v>38</v>
      </c>
      <c r="J517">
        <v>1447.1</v>
      </c>
      <c r="K517">
        <v>6108</v>
      </c>
      <c r="L517">
        <v>1294</v>
      </c>
      <c r="M517" s="1">
        <v>695</v>
      </c>
      <c r="N517">
        <f t="shared" si="16"/>
        <v>833</v>
      </c>
      <c r="O517">
        <v>250</v>
      </c>
      <c r="P517">
        <v>17</v>
      </c>
      <c r="Q517">
        <v>194</v>
      </c>
      <c r="R517">
        <v>636</v>
      </c>
      <c r="S517">
        <v>554</v>
      </c>
      <c r="T517">
        <v>29</v>
      </c>
      <c r="U517">
        <f t="shared" si="17"/>
        <v>4194</v>
      </c>
      <c r="V517">
        <v>1439</v>
      </c>
      <c r="W517">
        <v>28</v>
      </c>
      <c r="X517">
        <v>29</v>
      </c>
      <c r="Y517">
        <v>73</v>
      </c>
      <c r="Z517">
        <v>66</v>
      </c>
      <c r="AA517">
        <v>4</v>
      </c>
      <c r="AB517">
        <v>119</v>
      </c>
      <c r="AC517">
        <v>66</v>
      </c>
      <c r="AD517" s="1">
        <v>92</v>
      </c>
      <c r="AE517" s="1">
        <v>70</v>
      </c>
      <c r="AF517">
        <v>3.95</v>
      </c>
    </row>
    <row r="518" spans="1:32" x14ac:dyDescent="0.2">
      <c r="A518" s="52">
        <v>2017</v>
      </c>
      <c r="B518" t="s">
        <v>157</v>
      </c>
      <c r="C518" t="s">
        <v>163</v>
      </c>
      <c r="D518">
        <v>682</v>
      </c>
      <c r="E518">
        <v>162</v>
      </c>
      <c r="F518">
        <v>0</v>
      </c>
      <c r="G518">
        <v>3</v>
      </c>
      <c r="H518">
        <v>162</v>
      </c>
      <c r="I518">
        <v>25</v>
      </c>
      <c r="J518">
        <v>1421.2</v>
      </c>
      <c r="K518">
        <v>6200</v>
      </c>
      <c r="L518">
        <v>1384</v>
      </c>
      <c r="M518" s="1">
        <v>820</v>
      </c>
      <c r="N518">
        <f t="shared" si="16"/>
        <v>835</v>
      </c>
      <c r="O518">
        <v>275</v>
      </c>
      <c r="P518">
        <v>32</v>
      </c>
      <c r="Q518">
        <v>242</v>
      </c>
      <c r="R518">
        <v>755</v>
      </c>
      <c r="S518">
        <v>632</v>
      </c>
      <c r="T518">
        <v>36</v>
      </c>
      <c r="U518">
        <f t="shared" si="17"/>
        <v>4116</v>
      </c>
      <c r="V518">
        <v>1193</v>
      </c>
      <c r="W518">
        <v>14</v>
      </c>
      <c r="X518">
        <v>39</v>
      </c>
      <c r="Y518">
        <v>67</v>
      </c>
      <c r="Z518">
        <v>68</v>
      </c>
      <c r="AA518">
        <v>5</v>
      </c>
      <c r="AB518">
        <v>139</v>
      </c>
      <c r="AC518">
        <v>82</v>
      </c>
      <c r="AD518" s="1">
        <v>67</v>
      </c>
      <c r="AE518" s="1">
        <v>95</v>
      </c>
      <c r="AF518">
        <v>4.78</v>
      </c>
    </row>
    <row r="519" spans="1:32" x14ac:dyDescent="0.2">
      <c r="A519" s="52">
        <v>2017</v>
      </c>
      <c r="B519" t="s">
        <v>53</v>
      </c>
      <c r="C519" t="s">
        <v>38</v>
      </c>
      <c r="D519">
        <v>666</v>
      </c>
      <c r="E519">
        <v>162</v>
      </c>
      <c r="F519">
        <v>2</v>
      </c>
      <c r="G519">
        <v>8</v>
      </c>
      <c r="H519">
        <v>160</v>
      </c>
      <c r="I519">
        <v>33</v>
      </c>
      <c r="J519">
        <v>1430</v>
      </c>
      <c r="K519">
        <v>6286</v>
      </c>
      <c r="L519">
        <v>1442</v>
      </c>
      <c r="M519" s="1">
        <v>869</v>
      </c>
      <c r="N519">
        <f t="shared" si="16"/>
        <v>857</v>
      </c>
      <c r="O519">
        <v>315</v>
      </c>
      <c r="P519">
        <v>22</v>
      </c>
      <c r="Q519">
        <v>248</v>
      </c>
      <c r="R519">
        <v>821</v>
      </c>
      <c r="S519">
        <v>631</v>
      </c>
      <c r="T519">
        <v>37</v>
      </c>
      <c r="U519">
        <f t="shared" si="17"/>
        <v>4136</v>
      </c>
      <c r="V519">
        <v>1300</v>
      </c>
      <c r="W519">
        <v>52</v>
      </c>
      <c r="X519">
        <v>49</v>
      </c>
      <c r="Y519">
        <v>62</v>
      </c>
      <c r="Z519">
        <v>77</v>
      </c>
      <c r="AA519">
        <v>7</v>
      </c>
      <c r="AB519">
        <v>107</v>
      </c>
      <c r="AC519">
        <v>60</v>
      </c>
      <c r="AD519" s="1">
        <v>68</v>
      </c>
      <c r="AE519" s="1">
        <v>94</v>
      </c>
      <c r="AF519">
        <v>5.17</v>
      </c>
    </row>
    <row r="520" spans="1:32" x14ac:dyDescent="0.2">
      <c r="A520" s="52">
        <v>2017</v>
      </c>
      <c r="B520" t="s">
        <v>55</v>
      </c>
      <c r="C520" t="s">
        <v>163</v>
      </c>
      <c r="D520">
        <v>659</v>
      </c>
      <c r="E520">
        <v>162</v>
      </c>
      <c r="F520">
        <v>7</v>
      </c>
      <c r="G520">
        <v>19</v>
      </c>
      <c r="H520">
        <v>155</v>
      </c>
      <c r="I520">
        <v>37</v>
      </c>
      <c r="J520">
        <v>1440.2</v>
      </c>
      <c r="K520">
        <v>5866</v>
      </c>
      <c r="L520">
        <v>1267</v>
      </c>
      <c r="M520" s="1">
        <v>564</v>
      </c>
      <c r="N520">
        <f t="shared" si="16"/>
        <v>830</v>
      </c>
      <c r="O520">
        <v>262</v>
      </c>
      <c r="P520">
        <v>12</v>
      </c>
      <c r="Q520">
        <v>163</v>
      </c>
      <c r="R520">
        <v>529</v>
      </c>
      <c r="S520">
        <v>406</v>
      </c>
      <c r="T520">
        <v>15</v>
      </c>
      <c r="U520">
        <f t="shared" si="17"/>
        <v>4148</v>
      </c>
      <c r="V520">
        <v>1614</v>
      </c>
      <c r="W520">
        <v>16</v>
      </c>
      <c r="X520">
        <v>20</v>
      </c>
      <c r="Y520">
        <v>48</v>
      </c>
      <c r="Z520">
        <v>45</v>
      </c>
      <c r="AA520">
        <v>1</v>
      </c>
      <c r="AB520">
        <v>139</v>
      </c>
      <c r="AC520">
        <v>53</v>
      </c>
      <c r="AD520" s="1">
        <v>102</v>
      </c>
      <c r="AE520" s="1">
        <v>60</v>
      </c>
      <c r="AF520">
        <v>3.3</v>
      </c>
    </row>
    <row r="521" spans="1:32" x14ac:dyDescent="0.2">
      <c r="A521" s="52">
        <v>2017</v>
      </c>
      <c r="B521" t="s">
        <v>57</v>
      </c>
      <c r="C521" t="s">
        <v>38</v>
      </c>
      <c r="D521">
        <v>711</v>
      </c>
      <c r="E521">
        <v>162</v>
      </c>
      <c r="F521">
        <v>1</v>
      </c>
      <c r="G521">
        <v>9</v>
      </c>
      <c r="H521">
        <v>161</v>
      </c>
      <c r="I521">
        <v>47</v>
      </c>
      <c r="J521">
        <v>1437.2</v>
      </c>
      <c r="K521">
        <v>6177</v>
      </c>
      <c r="L521">
        <v>1453</v>
      </c>
      <c r="M521" s="1">
        <v>757</v>
      </c>
      <c r="N521">
        <f t="shared" si="16"/>
        <v>923</v>
      </c>
      <c r="O521">
        <v>290</v>
      </c>
      <c r="P521">
        <v>50</v>
      </c>
      <c r="Q521">
        <v>190</v>
      </c>
      <c r="R521">
        <v>721</v>
      </c>
      <c r="S521">
        <v>532</v>
      </c>
      <c r="T521">
        <v>20</v>
      </c>
      <c r="U521">
        <f t="shared" si="17"/>
        <v>4142</v>
      </c>
      <c r="V521">
        <v>1270</v>
      </c>
      <c r="W521">
        <v>49</v>
      </c>
      <c r="X521">
        <v>44</v>
      </c>
      <c r="Y521">
        <v>69</v>
      </c>
      <c r="Z521">
        <v>50</v>
      </c>
      <c r="AA521">
        <v>10</v>
      </c>
      <c r="AB521">
        <v>143</v>
      </c>
      <c r="AC521">
        <v>45</v>
      </c>
      <c r="AD521" s="1">
        <v>87</v>
      </c>
      <c r="AE521" s="1">
        <v>75</v>
      </c>
      <c r="AF521">
        <v>4.51</v>
      </c>
    </row>
    <row r="522" spans="1:32" x14ac:dyDescent="0.2">
      <c r="A522" s="52">
        <v>2017</v>
      </c>
      <c r="B522" t="s">
        <v>59</v>
      </c>
      <c r="C522" t="s">
        <v>163</v>
      </c>
      <c r="D522">
        <v>672</v>
      </c>
      <c r="E522">
        <v>162</v>
      </c>
      <c r="F522">
        <v>2</v>
      </c>
      <c r="G522">
        <v>4</v>
      </c>
      <c r="H522">
        <v>160</v>
      </c>
      <c r="I522">
        <v>32</v>
      </c>
      <c r="J522">
        <v>1420.1</v>
      </c>
      <c r="K522">
        <v>6298</v>
      </c>
      <c r="L522">
        <v>1587</v>
      </c>
      <c r="M522" s="1">
        <v>894</v>
      </c>
      <c r="N522">
        <f t="shared" si="16"/>
        <v>1044</v>
      </c>
      <c r="O522">
        <v>290</v>
      </c>
      <c r="P522">
        <v>35</v>
      </c>
      <c r="Q522">
        <v>218</v>
      </c>
      <c r="R522">
        <v>846</v>
      </c>
      <c r="S522">
        <v>538</v>
      </c>
      <c r="T522">
        <v>42</v>
      </c>
      <c r="U522">
        <f t="shared" si="17"/>
        <v>4112</v>
      </c>
      <c r="V522">
        <v>1202</v>
      </c>
      <c r="W522">
        <v>15</v>
      </c>
      <c r="X522">
        <v>62</v>
      </c>
      <c r="Y522">
        <v>53</v>
      </c>
      <c r="Z522">
        <v>61</v>
      </c>
      <c r="AA522">
        <v>4</v>
      </c>
      <c r="AB522">
        <v>129</v>
      </c>
      <c r="AC522">
        <v>54</v>
      </c>
      <c r="AD522" s="1">
        <v>64</v>
      </c>
      <c r="AE522" s="1">
        <v>98</v>
      </c>
      <c r="AF522">
        <v>5.36</v>
      </c>
    </row>
    <row r="523" spans="1:32" x14ac:dyDescent="0.2">
      <c r="A523" s="52">
        <v>2017</v>
      </c>
      <c r="B523" t="s">
        <v>63</v>
      </c>
      <c r="C523" t="s">
        <v>163</v>
      </c>
      <c r="D523">
        <v>681</v>
      </c>
      <c r="E523">
        <v>162</v>
      </c>
      <c r="F523">
        <v>1</v>
      </c>
      <c r="G523">
        <v>9</v>
      </c>
      <c r="H523">
        <v>161</v>
      </c>
      <c r="I523">
        <v>45</v>
      </c>
      <c r="J523">
        <v>1446</v>
      </c>
      <c r="K523">
        <v>6111</v>
      </c>
      <c r="L523">
        <v>1314</v>
      </c>
      <c r="M523" s="1">
        <v>700</v>
      </c>
      <c r="N523">
        <f t="shared" si="16"/>
        <v>806</v>
      </c>
      <c r="O523">
        <v>293</v>
      </c>
      <c r="P523">
        <v>23</v>
      </c>
      <c r="Q523">
        <v>192</v>
      </c>
      <c r="R523">
        <v>662</v>
      </c>
      <c r="S523">
        <v>522</v>
      </c>
      <c r="T523">
        <v>17</v>
      </c>
      <c r="U523">
        <f t="shared" si="17"/>
        <v>4205</v>
      </c>
      <c r="V523">
        <v>1593</v>
      </c>
      <c r="W523">
        <v>17</v>
      </c>
      <c r="X523">
        <v>20</v>
      </c>
      <c r="Y523">
        <v>86</v>
      </c>
      <c r="Z523">
        <v>70</v>
      </c>
      <c r="AA523">
        <v>4</v>
      </c>
      <c r="AB523">
        <v>133</v>
      </c>
      <c r="AC523">
        <v>70</v>
      </c>
      <c r="AD523" s="1">
        <v>101</v>
      </c>
      <c r="AE523" s="1">
        <v>61</v>
      </c>
      <c r="AF523">
        <v>4.12</v>
      </c>
    </row>
    <row r="524" spans="1:32" x14ac:dyDescent="0.2">
      <c r="A524" s="52">
        <v>2017</v>
      </c>
      <c r="B524" t="s">
        <v>164</v>
      </c>
      <c r="C524" t="s">
        <v>163</v>
      </c>
      <c r="D524">
        <v>700</v>
      </c>
      <c r="E524">
        <v>162</v>
      </c>
      <c r="F524">
        <v>1</v>
      </c>
      <c r="G524">
        <v>6</v>
      </c>
      <c r="H524">
        <v>161</v>
      </c>
      <c r="I524">
        <v>39</v>
      </c>
      <c r="J524">
        <v>1437.2</v>
      </c>
      <c r="K524">
        <v>6218</v>
      </c>
      <c r="L524">
        <v>1480</v>
      </c>
      <c r="M524" s="1">
        <v>791</v>
      </c>
      <c r="N524">
        <f t="shared" si="16"/>
        <v>970</v>
      </c>
      <c r="O524">
        <v>274</v>
      </c>
      <c r="P524">
        <v>40</v>
      </c>
      <c r="Q524">
        <v>196</v>
      </c>
      <c r="R524">
        <v>737</v>
      </c>
      <c r="S524">
        <v>519</v>
      </c>
      <c r="T524">
        <v>24</v>
      </c>
      <c r="U524">
        <f t="shared" si="17"/>
        <v>4167</v>
      </c>
      <c r="V524">
        <v>1216</v>
      </c>
      <c r="W524">
        <v>21</v>
      </c>
      <c r="X524">
        <v>46</v>
      </c>
      <c r="Y524">
        <v>48</v>
      </c>
      <c r="Z524">
        <v>52</v>
      </c>
      <c r="AA524">
        <v>6</v>
      </c>
      <c r="AB524">
        <v>127</v>
      </c>
      <c r="AC524">
        <v>61</v>
      </c>
      <c r="AD524" s="1">
        <v>80</v>
      </c>
      <c r="AE524" s="1">
        <v>82</v>
      </c>
      <c r="AF524">
        <v>4.6100000000000003</v>
      </c>
    </row>
    <row r="525" spans="1:32" x14ac:dyDescent="0.2">
      <c r="A525" s="52">
        <v>2017</v>
      </c>
      <c r="B525" t="s">
        <v>159</v>
      </c>
      <c r="C525" t="s">
        <v>38</v>
      </c>
      <c r="D525">
        <v>698</v>
      </c>
      <c r="E525">
        <v>162</v>
      </c>
      <c r="F525">
        <v>2</v>
      </c>
      <c r="G525">
        <v>16</v>
      </c>
      <c r="H525">
        <v>160</v>
      </c>
      <c r="I525">
        <v>51</v>
      </c>
      <c r="J525">
        <v>1444.2</v>
      </c>
      <c r="K525">
        <v>5925</v>
      </c>
      <c r="L525">
        <v>1226</v>
      </c>
      <c r="M525" s="1">
        <v>580</v>
      </c>
      <c r="N525">
        <f t="shared" si="16"/>
        <v>793</v>
      </c>
      <c r="O525">
        <v>229</v>
      </c>
      <c r="P525">
        <v>20</v>
      </c>
      <c r="Q525">
        <v>184</v>
      </c>
      <c r="R525">
        <v>543</v>
      </c>
      <c r="S525">
        <v>442</v>
      </c>
      <c r="T525">
        <v>33</v>
      </c>
      <c r="U525">
        <f t="shared" si="17"/>
        <v>4217</v>
      </c>
      <c r="V525">
        <v>1549</v>
      </c>
      <c r="W525">
        <v>39</v>
      </c>
      <c r="X525">
        <v>22</v>
      </c>
      <c r="Y525">
        <v>40</v>
      </c>
      <c r="Z525">
        <v>40</v>
      </c>
      <c r="AA525">
        <v>10</v>
      </c>
      <c r="AB525">
        <v>109</v>
      </c>
      <c r="AC525">
        <v>67</v>
      </c>
      <c r="AD525" s="1">
        <v>104</v>
      </c>
      <c r="AE525" s="1">
        <v>58</v>
      </c>
      <c r="AF525">
        <v>3.38</v>
      </c>
    </row>
    <row r="526" spans="1:32" x14ac:dyDescent="0.2">
      <c r="A526" s="52">
        <v>2017</v>
      </c>
      <c r="B526" t="s">
        <v>104</v>
      </c>
      <c r="C526" t="s">
        <v>38</v>
      </c>
      <c r="D526">
        <v>742</v>
      </c>
      <c r="E526">
        <v>162</v>
      </c>
      <c r="F526">
        <v>1</v>
      </c>
      <c r="G526">
        <v>7</v>
      </c>
      <c r="H526">
        <v>161</v>
      </c>
      <c r="I526">
        <v>34</v>
      </c>
      <c r="J526">
        <v>1442.2</v>
      </c>
      <c r="K526">
        <v>6318</v>
      </c>
      <c r="L526">
        <v>1450</v>
      </c>
      <c r="M526" s="1">
        <v>822</v>
      </c>
      <c r="N526">
        <f t="shared" si="16"/>
        <v>940</v>
      </c>
      <c r="O526">
        <v>280</v>
      </c>
      <c r="P526">
        <v>37</v>
      </c>
      <c r="Q526">
        <v>193</v>
      </c>
      <c r="R526">
        <v>772</v>
      </c>
      <c r="S526">
        <v>627</v>
      </c>
      <c r="T526">
        <v>59</v>
      </c>
      <c r="U526">
        <f t="shared" si="17"/>
        <v>4166</v>
      </c>
      <c r="V526">
        <v>1202</v>
      </c>
      <c r="W526">
        <v>59</v>
      </c>
      <c r="X526">
        <v>43</v>
      </c>
      <c r="Y526">
        <v>57</v>
      </c>
      <c r="Z526">
        <v>75</v>
      </c>
      <c r="AA526">
        <v>3</v>
      </c>
      <c r="AB526">
        <v>132</v>
      </c>
      <c r="AC526">
        <v>47</v>
      </c>
      <c r="AD526" s="1">
        <v>77</v>
      </c>
      <c r="AE526" s="1">
        <v>85</v>
      </c>
      <c r="AF526">
        <v>4.82</v>
      </c>
    </row>
    <row r="527" spans="1:32" x14ac:dyDescent="0.2">
      <c r="A527" s="52">
        <v>2017</v>
      </c>
      <c r="B527" t="s">
        <v>69</v>
      </c>
      <c r="C527" t="s">
        <v>38</v>
      </c>
      <c r="D527">
        <v>712</v>
      </c>
      <c r="E527">
        <v>162</v>
      </c>
      <c r="F527">
        <v>1</v>
      </c>
      <c r="G527">
        <v>12</v>
      </c>
      <c r="H527">
        <v>161</v>
      </c>
      <c r="I527">
        <v>54</v>
      </c>
      <c r="J527">
        <v>1445.2</v>
      </c>
      <c r="K527">
        <v>6164</v>
      </c>
      <c r="L527">
        <v>1381</v>
      </c>
      <c r="M527" s="1">
        <v>697</v>
      </c>
      <c r="N527">
        <f t="shared" si="16"/>
        <v>891</v>
      </c>
      <c r="O527">
        <v>276</v>
      </c>
      <c r="P527">
        <v>29</v>
      </c>
      <c r="Q527">
        <v>185</v>
      </c>
      <c r="R527">
        <v>642</v>
      </c>
      <c r="S527">
        <v>553</v>
      </c>
      <c r="T527">
        <v>45</v>
      </c>
      <c r="U527">
        <f t="shared" si="17"/>
        <v>4166</v>
      </c>
      <c r="V527">
        <v>1346</v>
      </c>
      <c r="W527">
        <v>39</v>
      </c>
      <c r="X527">
        <v>29</v>
      </c>
      <c r="Y527">
        <v>50</v>
      </c>
      <c r="Z527">
        <v>64</v>
      </c>
      <c r="AA527">
        <v>2</v>
      </c>
      <c r="AB527">
        <v>145</v>
      </c>
      <c r="AC527">
        <v>73</v>
      </c>
      <c r="AD527" s="1">
        <v>86</v>
      </c>
      <c r="AE527" s="1">
        <v>76</v>
      </c>
      <c r="AF527">
        <v>4</v>
      </c>
    </row>
    <row r="528" spans="1:32" x14ac:dyDescent="0.2">
      <c r="A528" s="52">
        <v>2017</v>
      </c>
      <c r="B528" t="s">
        <v>71</v>
      </c>
      <c r="C528" t="s">
        <v>163</v>
      </c>
      <c r="D528">
        <v>682</v>
      </c>
      <c r="E528">
        <v>162</v>
      </c>
      <c r="F528">
        <v>6</v>
      </c>
      <c r="G528">
        <v>11</v>
      </c>
      <c r="H528">
        <v>156</v>
      </c>
      <c r="I528">
        <v>42</v>
      </c>
      <c r="J528">
        <v>1436</v>
      </c>
      <c r="K528">
        <v>6205</v>
      </c>
      <c r="L528">
        <v>1487</v>
      </c>
      <c r="M528" s="1">
        <v>788</v>
      </c>
      <c r="N528">
        <f t="shared" si="16"/>
        <v>955</v>
      </c>
      <c r="O528">
        <v>282</v>
      </c>
      <c r="P528">
        <v>26</v>
      </c>
      <c r="Q528">
        <v>224</v>
      </c>
      <c r="R528">
        <v>732</v>
      </c>
      <c r="S528">
        <v>483</v>
      </c>
      <c r="T528">
        <v>37</v>
      </c>
      <c r="U528">
        <f t="shared" si="17"/>
        <v>4166</v>
      </c>
      <c r="V528">
        <v>1166</v>
      </c>
      <c r="W528">
        <v>23</v>
      </c>
      <c r="X528">
        <v>42</v>
      </c>
      <c r="Y528">
        <v>52</v>
      </c>
      <c r="Z528">
        <v>69</v>
      </c>
      <c r="AA528">
        <v>8</v>
      </c>
      <c r="AB528">
        <v>126</v>
      </c>
      <c r="AC528">
        <v>49</v>
      </c>
      <c r="AD528" s="1">
        <v>85</v>
      </c>
      <c r="AE528" s="1">
        <v>77</v>
      </c>
      <c r="AF528">
        <v>4.59</v>
      </c>
    </row>
    <row r="529" spans="1:32" x14ac:dyDescent="0.2">
      <c r="A529" s="52">
        <v>2017</v>
      </c>
      <c r="B529" t="s">
        <v>158</v>
      </c>
      <c r="C529" t="s">
        <v>38</v>
      </c>
      <c r="D529">
        <v>730</v>
      </c>
      <c r="E529">
        <v>162</v>
      </c>
      <c r="F529">
        <v>2</v>
      </c>
      <c r="G529">
        <v>5</v>
      </c>
      <c r="H529">
        <v>160</v>
      </c>
      <c r="I529">
        <v>34</v>
      </c>
      <c r="J529">
        <v>1434.2</v>
      </c>
      <c r="K529">
        <v>6378</v>
      </c>
      <c r="L529">
        <v>1538</v>
      </c>
      <c r="M529" s="1">
        <v>863</v>
      </c>
      <c r="N529">
        <f t="shared" si="16"/>
        <v>1017</v>
      </c>
      <c r="O529">
        <v>278</v>
      </c>
      <c r="P529">
        <v>23</v>
      </c>
      <c r="Q529">
        <v>220</v>
      </c>
      <c r="R529">
        <v>799</v>
      </c>
      <c r="S529">
        <v>593</v>
      </c>
      <c r="T529">
        <v>51</v>
      </c>
      <c r="U529">
        <f t="shared" si="17"/>
        <v>4192</v>
      </c>
      <c r="V529">
        <v>1374</v>
      </c>
      <c r="W529">
        <v>49</v>
      </c>
      <c r="X529">
        <v>53</v>
      </c>
      <c r="Y529">
        <v>55</v>
      </c>
      <c r="Z529">
        <v>55</v>
      </c>
      <c r="AA529">
        <v>5</v>
      </c>
      <c r="AB529">
        <v>112</v>
      </c>
      <c r="AC529">
        <v>66</v>
      </c>
      <c r="AD529" s="1">
        <v>70</v>
      </c>
      <c r="AE529" s="1">
        <v>92</v>
      </c>
      <c r="AF529">
        <v>5.01</v>
      </c>
    </row>
    <row r="530" spans="1:32" x14ac:dyDescent="0.2">
      <c r="A530" s="52">
        <v>2017</v>
      </c>
      <c r="B530" t="s">
        <v>158</v>
      </c>
      <c r="C530" t="s">
        <v>163</v>
      </c>
      <c r="D530">
        <v>639</v>
      </c>
      <c r="E530">
        <v>162</v>
      </c>
      <c r="F530">
        <v>2</v>
      </c>
      <c r="G530">
        <v>7</v>
      </c>
      <c r="H530">
        <v>160</v>
      </c>
      <c r="I530">
        <v>36</v>
      </c>
      <c r="J530">
        <v>1448.2</v>
      </c>
      <c r="K530">
        <v>6078</v>
      </c>
      <c r="L530">
        <v>1248</v>
      </c>
      <c r="M530" s="1">
        <v>660</v>
      </c>
      <c r="N530">
        <f t="shared" si="16"/>
        <v>801</v>
      </c>
      <c r="O530">
        <v>243</v>
      </c>
      <c r="P530">
        <v>12</v>
      </c>
      <c r="Q530">
        <v>192</v>
      </c>
      <c r="R530">
        <v>599</v>
      </c>
      <c r="S530">
        <v>504</v>
      </c>
      <c r="T530">
        <v>18</v>
      </c>
      <c r="U530">
        <f t="shared" si="17"/>
        <v>4273</v>
      </c>
      <c r="V530">
        <v>1560</v>
      </c>
      <c r="W530">
        <v>18</v>
      </c>
      <c r="X530">
        <v>31</v>
      </c>
      <c r="Y530">
        <v>83</v>
      </c>
      <c r="Z530">
        <v>53</v>
      </c>
      <c r="AA530">
        <v>4</v>
      </c>
      <c r="AB530">
        <v>85</v>
      </c>
      <c r="AC530">
        <v>73</v>
      </c>
      <c r="AD530" s="1">
        <v>91</v>
      </c>
      <c r="AE530" s="1">
        <v>71</v>
      </c>
      <c r="AF530">
        <v>3.72</v>
      </c>
    </row>
    <row r="531" spans="1:32" x14ac:dyDescent="0.2">
      <c r="A531" s="52">
        <v>2017</v>
      </c>
      <c r="B531" t="s">
        <v>79</v>
      </c>
      <c r="C531" t="s">
        <v>163</v>
      </c>
      <c r="D531">
        <v>687</v>
      </c>
      <c r="E531">
        <v>162</v>
      </c>
      <c r="F531">
        <v>1</v>
      </c>
      <c r="G531">
        <v>6</v>
      </c>
      <c r="H531">
        <v>161</v>
      </c>
      <c r="I531">
        <v>35</v>
      </c>
      <c r="J531">
        <v>1431</v>
      </c>
      <c r="K531">
        <v>6167</v>
      </c>
      <c r="L531">
        <v>1444</v>
      </c>
      <c r="M531" s="1">
        <v>826</v>
      </c>
      <c r="N531">
        <f t="shared" si="16"/>
        <v>906</v>
      </c>
      <c r="O531">
        <v>300</v>
      </c>
      <c r="P531">
        <v>28</v>
      </c>
      <c r="Q531">
        <v>210</v>
      </c>
      <c r="R531">
        <v>743</v>
      </c>
      <c r="S531">
        <v>502</v>
      </c>
      <c r="T531">
        <v>17</v>
      </c>
      <c r="U531">
        <f t="shared" si="17"/>
        <v>4160</v>
      </c>
      <c r="V531">
        <v>1202</v>
      </c>
      <c r="W531">
        <v>17</v>
      </c>
      <c r="X531">
        <v>46</v>
      </c>
      <c r="Y531">
        <v>84</v>
      </c>
      <c r="Z531">
        <v>61</v>
      </c>
      <c r="AA531">
        <v>3</v>
      </c>
      <c r="AB531">
        <v>126</v>
      </c>
      <c r="AC531">
        <v>91</v>
      </c>
      <c r="AD531" s="1">
        <v>75</v>
      </c>
      <c r="AE531" s="1">
        <v>87</v>
      </c>
      <c r="AF531">
        <v>4.67</v>
      </c>
    </row>
    <row r="532" spans="1:32" x14ac:dyDescent="0.2">
      <c r="A532" s="52">
        <v>2017</v>
      </c>
      <c r="B532" t="s">
        <v>81</v>
      </c>
      <c r="C532" t="s">
        <v>38</v>
      </c>
      <c r="D532">
        <v>668</v>
      </c>
      <c r="E532">
        <v>162</v>
      </c>
      <c r="F532">
        <v>1</v>
      </c>
      <c r="G532">
        <v>7</v>
      </c>
      <c r="H532">
        <v>161</v>
      </c>
      <c r="I532">
        <v>33</v>
      </c>
      <c r="J532">
        <v>1441</v>
      </c>
      <c r="K532">
        <v>6235</v>
      </c>
      <c r="L532">
        <v>1471</v>
      </c>
      <c r="M532" s="1">
        <v>782</v>
      </c>
      <c r="N532">
        <f t="shared" si="16"/>
        <v>926</v>
      </c>
      <c r="O532">
        <v>296</v>
      </c>
      <c r="P532">
        <v>28</v>
      </c>
      <c r="Q532">
        <v>221</v>
      </c>
      <c r="R532">
        <v>729</v>
      </c>
      <c r="S532">
        <v>527</v>
      </c>
      <c r="T532">
        <v>39</v>
      </c>
      <c r="U532">
        <f t="shared" si="17"/>
        <v>4174</v>
      </c>
      <c r="V532">
        <v>1309</v>
      </c>
      <c r="W532">
        <v>37</v>
      </c>
      <c r="X532">
        <v>47</v>
      </c>
      <c r="Y532">
        <v>50</v>
      </c>
      <c r="Z532">
        <v>63</v>
      </c>
      <c r="AA532">
        <v>11</v>
      </c>
      <c r="AB532">
        <v>119</v>
      </c>
      <c r="AC532">
        <v>50</v>
      </c>
      <c r="AD532" s="1">
        <v>66</v>
      </c>
      <c r="AE532" s="1">
        <v>96</v>
      </c>
      <c r="AF532">
        <v>4.55</v>
      </c>
    </row>
    <row r="533" spans="1:32" x14ac:dyDescent="0.2">
      <c r="A533" s="52">
        <v>2017</v>
      </c>
      <c r="B533" t="s">
        <v>83</v>
      </c>
      <c r="C533" t="s">
        <v>38</v>
      </c>
      <c r="D533">
        <v>664</v>
      </c>
      <c r="E533">
        <v>162</v>
      </c>
      <c r="F533">
        <v>2</v>
      </c>
      <c r="G533">
        <v>12</v>
      </c>
      <c r="H533">
        <v>160</v>
      </c>
      <c r="I533">
        <v>36</v>
      </c>
      <c r="J533">
        <v>1440.2</v>
      </c>
      <c r="K533">
        <v>6208</v>
      </c>
      <c r="L533">
        <v>1464</v>
      </c>
      <c r="M533" s="1">
        <v>731</v>
      </c>
      <c r="N533">
        <f t="shared" si="16"/>
        <v>931</v>
      </c>
      <c r="O533">
        <v>320</v>
      </c>
      <c r="P533">
        <v>31</v>
      </c>
      <c r="Q533">
        <v>182</v>
      </c>
      <c r="R533">
        <v>676</v>
      </c>
      <c r="S533">
        <v>511</v>
      </c>
      <c r="T533">
        <v>32</v>
      </c>
      <c r="U533">
        <f t="shared" si="17"/>
        <v>4175</v>
      </c>
      <c r="V533">
        <v>1262</v>
      </c>
      <c r="W533">
        <v>53</v>
      </c>
      <c r="X533">
        <v>29</v>
      </c>
      <c r="Y533">
        <v>58</v>
      </c>
      <c r="Z533">
        <v>58</v>
      </c>
      <c r="AA533">
        <v>2</v>
      </c>
      <c r="AB533">
        <v>133</v>
      </c>
      <c r="AC533">
        <v>69</v>
      </c>
      <c r="AD533" s="1">
        <v>75</v>
      </c>
      <c r="AE533" s="1">
        <v>87</v>
      </c>
      <c r="AF533">
        <v>4.22</v>
      </c>
    </row>
    <row r="534" spans="1:32" x14ac:dyDescent="0.2">
      <c r="A534" s="52">
        <v>2017</v>
      </c>
      <c r="B534" t="s">
        <v>161</v>
      </c>
      <c r="C534" t="s">
        <v>38</v>
      </c>
      <c r="D534">
        <v>679</v>
      </c>
      <c r="E534">
        <v>162</v>
      </c>
      <c r="F534">
        <v>2</v>
      </c>
      <c r="G534">
        <v>12</v>
      </c>
      <c r="H534">
        <v>160</v>
      </c>
      <c r="I534">
        <v>45</v>
      </c>
      <c r="J534">
        <v>1430.2</v>
      </c>
      <c r="K534">
        <v>6169</v>
      </c>
      <c r="L534">
        <v>1417</v>
      </c>
      <c r="M534" s="1">
        <v>816</v>
      </c>
      <c r="N534">
        <f t="shared" si="16"/>
        <v>893</v>
      </c>
      <c r="O534">
        <v>275</v>
      </c>
      <c r="P534">
        <v>23</v>
      </c>
      <c r="Q534">
        <v>226</v>
      </c>
      <c r="R534">
        <v>742</v>
      </c>
      <c r="S534">
        <v>554</v>
      </c>
      <c r="T534">
        <v>28</v>
      </c>
      <c r="U534">
        <f t="shared" si="17"/>
        <v>4123</v>
      </c>
      <c r="V534">
        <v>1325</v>
      </c>
      <c r="W534">
        <v>32</v>
      </c>
      <c r="X534">
        <v>35</v>
      </c>
      <c r="Y534">
        <v>73</v>
      </c>
      <c r="Z534">
        <v>75</v>
      </c>
      <c r="AA534">
        <v>11</v>
      </c>
      <c r="AB534">
        <v>156</v>
      </c>
      <c r="AC534">
        <v>69</v>
      </c>
      <c r="AD534" s="1">
        <v>71</v>
      </c>
      <c r="AE534" s="1">
        <v>91</v>
      </c>
      <c r="AF534">
        <v>4.67</v>
      </c>
    </row>
    <row r="535" spans="1:32" x14ac:dyDescent="0.2">
      <c r="A535" s="52">
        <v>2017</v>
      </c>
      <c r="B535" t="s">
        <v>87</v>
      </c>
      <c r="C535" t="s">
        <v>163</v>
      </c>
      <c r="D535">
        <v>689</v>
      </c>
      <c r="E535">
        <v>162</v>
      </c>
      <c r="F535">
        <v>1</v>
      </c>
      <c r="G535">
        <v>9</v>
      </c>
      <c r="H535">
        <v>161</v>
      </c>
      <c r="I535">
        <v>39</v>
      </c>
      <c r="J535">
        <v>1440.1</v>
      </c>
      <c r="K535">
        <v>6132</v>
      </c>
      <c r="L535">
        <v>1399</v>
      </c>
      <c r="M535" s="1">
        <v>772</v>
      </c>
      <c r="N535">
        <f t="shared" si="16"/>
        <v>888</v>
      </c>
      <c r="O535">
        <v>262</v>
      </c>
      <c r="P535">
        <v>12</v>
      </c>
      <c r="Q535">
        <v>237</v>
      </c>
      <c r="R535">
        <v>713</v>
      </c>
      <c r="S535">
        <v>490</v>
      </c>
      <c r="T535">
        <v>28</v>
      </c>
      <c r="U535">
        <f t="shared" si="17"/>
        <v>4190</v>
      </c>
      <c r="V535">
        <v>1244</v>
      </c>
      <c r="W535">
        <v>24</v>
      </c>
      <c r="X535">
        <v>60</v>
      </c>
      <c r="Y535">
        <v>73</v>
      </c>
      <c r="Z535">
        <v>53</v>
      </c>
      <c r="AA535">
        <v>7</v>
      </c>
      <c r="AB535">
        <v>125</v>
      </c>
      <c r="AC535">
        <v>74</v>
      </c>
      <c r="AD535" s="1">
        <v>78</v>
      </c>
      <c r="AE535" s="1">
        <v>84</v>
      </c>
      <c r="AF535">
        <v>4.46</v>
      </c>
    </row>
    <row r="536" spans="1:32" x14ac:dyDescent="0.2">
      <c r="A536" s="52">
        <v>2017</v>
      </c>
      <c r="B536" t="s">
        <v>21</v>
      </c>
      <c r="C536" t="s">
        <v>38</v>
      </c>
      <c r="D536">
        <v>664</v>
      </c>
      <c r="E536">
        <v>162</v>
      </c>
      <c r="F536">
        <v>3</v>
      </c>
      <c r="G536">
        <v>5</v>
      </c>
      <c r="H536">
        <v>159</v>
      </c>
      <c r="I536">
        <v>32</v>
      </c>
      <c r="J536">
        <v>1452</v>
      </c>
      <c r="K536">
        <v>6287</v>
      </c>
      <c r="L536">
        <v>1515</v>
      </c>
      <c r="M536" s="1">
        <v>776</v>
      </c>
      <c r="N536">
        <f t="shared" si="16"/>
        <v>978</v>
      </c>
      <c r="O536">
        <v>297</v>
      </c>
      <c r="P536">
        <v>58</v>
      </c>
      <c r="Q536">
        <v>182</v>
      </c>
      <c r="R536">
        <v>726</v>
      </c>
      <c r="S536">
        <v>496</v>
      </c>
      <c r="T536">
        <v>42</v>
      </c>
      <c r="U536">
        <f t="shared" si="17"/>
        <v>4226</v>
      </c>
      <c r="V536">
        <v>1234</v>
      </c>
      <c r="W536">
        <v>51</v>
      </c>
      <c r="X536">
        <v>39</v>
      </c>
      <c r="Y536">
        <v>55</v>
      </c>
      <c r="Z536">
        <v>50</v>
      </c>
      <c r="AA536">
        <v>3</v>
      </c>
      <c r="AB536">
        <v>116</v>
      </c>
      <c r="AC536">
        <v>61</v>
      </c>
      <c r="AD536" s="1">
        <v>64</v>
      </c>
      <c r="AE536" s="1">
        <v>98</v>
      </c>
      <c r="AF536">
        <v>4.5</v>
      </c>
    </row>
    <row r="537" spans="1:32" x14ac:dyDescent="0.2">
      <c r="A537" s="52">
        <v>2017</v>
      </c>
      <c r="B537" t="s">
        <v>156</v>
      </c>
      <c r="C537" t="s">
        <v>38</v>
      </c>
      <c r="D537">
        <v>708</v>
      </c>
      <c r="E537">
        <v>162</v>
      </c>
      <c r="F537">
        <v>3</v>
      </c>
      <c r="G537">
        <v>12</v>
      </c>
      <c r="H537">
        <v>159</v>
      </c>
      <c r="I537">
        <v>43</v>
      </c>
      <c r="J537">
        <v>1450.1</v>
      </c>
      <c r="K537">
        <v>6153</v>
      </c>
      <c r="L537">
        <v>1393</v>
      </c>
      <c r="M537" s="1">
        <v>705</v>
      </c>
      <c r="N537">
        <f t="shared" si="16"/>
        <v>917</v>
      </c>
      <c r="O537">
        <v>262</v>
      </c>
      <c r="P537">
        <v>31</v>
      </c>
      <c r="Q537">
        <v>183</v>
      </c>
      <c r="R537">
        <v>646</v>
      </c>
      <c r="S537">
        <v>493</v>
      </c>
      <c r="T537">
        <v>50</v>
      </c>
      <c r="U537">
        <f t="shared" si="17"/>
        <v>4200</v>
      </c>
      <c r="V537">
        <v>1351</v>
      </c>
      <c r="W537">
        <v>40</v>
      </c>
      <c r="X537">
        <v>45</v>
      </c>
      <c r="Y537">
        <v>38</v>
      </c>
      <c r="Z537">
        <v>67</v>
      </c>
      <c r="AA537">
        <v>0</v>
      </c>
      <c r="AB537">
        <v>145</v>
      </c>
      <c r="AC537">
        <v>68</v>
      </c>
      <c r="AD537" s="1">
        <v>83</v>
      </c>
      <c r="AE537" s="1">
        <v>79</v>
      </c>
      <c r="AF537">
        <v>4.01</v>
      </c>
    </row>
    <row r="538" spans="1:32" x14ac:dyDescent="0.2">
      <c r="A538" s="52">
        <v>2017</v>
      </c>
      <c r="B538" t="s">
        <v>165</v>
      </c>
      <c r="C538" t="s">
        <v>163</v>
      </c>
      <c r="D538">
        <v>673</v>
      </c>
      <c r="E538">
        <v>162</v>
      </c>
      <c r="F538">
        <v>0</v>
      </c>
      <c r="G538">
        <v>9</v>
      </c>
      <c r="H538">
        <v>162</v>
      </c>
      <c r="I538">
        <v>53</v>
      </c>
      <c r="J538">
        <v>1445</v>
      </c>
      <c r="K538">
        <v>6099</v>
      </c>
      <c r="L538">
        <v>1324</v>
      </c>
      <c r="M538" s="1">
        <v>704</v>
      </c>
      <c r="N538">
        <f t="shared" si="16"/>
        <v>844</v>
      </c>
      <c r="O538">
        <v>270</v>
      </c>
      <c r="P538">
        <v>17</v>
      </c>
      <c r="Q538">
        <v>193</v>
      </c>
      <c r="R538">
        <v>638</v>
      </c>
      <c r="S538">
        <v>503</v>
      </c>
      <c r="T538">
        <v>37</v>
      </c>
      <c r="U538">
        <f t="shared" si="17"/>
        <v>4224</v>
      </c>
      <c r="V538">
        <v>1352</v>
      </c>
      <c r="W538">
        <v>26</v>
      </c>
      <c r="X538">
        <v>38</v>
      </c>
      <c r="Y538">
        <v>83</v>
      </c>
      <c r="Z538">
        <v>48</v>
      </c>
      <c r="AA538">
        <v>4</v>
      </c>
      <c r="AB538">
        <v>113</v>
      </c>
      <c r="AC538">
        <v>73</v>
      </c>
      <c r="AD538" s="1">
        <v>80</v>
      </c>
      <c r="AE538" s="1">
        <v>82</v>
      </c>
      <c r="AF538">
        <v>3.97</v>
      </c>
    </row>
    <row r="539" spans="1:32" x14ac:dyDescent="0.2">
      <c r="A539" s="52">
        <v>2017</v>
      </c>
      <c r="B539" t="s">
        <v>95</v>
      </c>
      <c r="C539" t="s">
        <v>163</v>
      </c>
      <c r="D539">
        <v>626</v>
      </c>
      <c r="E539">
        <v>162</v>
      </c>
      <c r="F539">
        <v>2</v>
      </c>
      <c r="G539">
        <v>6</v>
      </c>
      <c r="H539">
        <v>160</v>
      </c>
      <c r="I539">
        <v>29</v>
      </c>
      <c r="J539">
        <v>1434.1</v>
      </c>
      <c r="K539">
        <v>6211</v>
      </c>
      <c r="L539">
        <v>1443</v>
      </c>
      <c r="M539" s="1">
        <v>816</v>
      </c>
      <c r="N539">
        <f t="shared" si="16"/>
        <v>929</v>
      </c>
      <c r="O539">
        <v>287</v>
      </c>
      <c r="P539">
        <v>13</v>
      </c>
      <c r="Q539">
        <v>214</v>
      </c>
      <c r="R539">
        <v>742</v>
      </c>
      <c r="S539">
        <v>559</v>
      </c>
      <c r="T539">
        <v>22</v>
      </c>
      <c r="U539">
        <f t="shared" si="17"/>
        <v>4135</v>
      </c>
      <c r="V539">
        <v>1107</v>
      </c>
      <c r="W539">
        <v>11</v>
      </c>
      <c r="X539">
        <v>40</v>
      </c>
      <c r="Y539">
        <v>63</v>
      </c>
      <c r="Z539">
        <v>74</v>
      </c>
      <c r="AA539">
        <v>7</v>
      </c>
      <c r="AB539">
        <v>156</v>
      </c>
      <c r="AC539">
        <v>67</v>
      </c>
      <c r="AD539" s="1">
        <v>78</v>
      </c>
      <c r="AE539" s="1">
        <v>84</v>
      </c>
      <c r="AF539">
        <v>4.66</v>
      </c>
    </row>
    <row r="540" spans="1:32" x14ac:dyDescent="0.2">
      <c r="A540" s="52">
        <v>2017</v>
      </c>
      <c r="B540" t="s">
        <v>97</v>
      </c>
      <c r="C540" t="s">
        <v>163</v>
      </c>
      <c r="D540">
        <v>740</v>
      </c>
      <c r="E540">
        <v>162</v>
      </c>
      <c r="F540">
        <v>2</v>
      </c>
      <c r="G540">
        <v>6</v>
      </c>
      <c r="H540">
        <v>160</v>
      </c>
      <c r="I540">
        <v>45</v>
      </c>
      <c r="J540">
        <v>1465</v>
      </c>
      <c r="K540">
        <v>6316</v>
      </c>
      <c r="L540">
        <v>1460</v>
      </c>
      <c r="M540" s="1">
        <v>784</v>
      </c>
      <c r="N540">
        <f t="shared" si="16"/>
        <v>921</v>
      </c>
      <c r="O540">
        <v>310</v>
      </c>
      <c r="P540">
        <v>26</v>
      </c>
      <c r="Q540">
        <v>203</v>
      </c>
      <c r="R540">
        <v>720</v>
      </c>
      <c r="S540">
        <v>549</v>
      </c>
      <c r="T540">
        <v>25</v>
      </c>
      <c r="U540">
        <f t="shared" si="17"/>
        <v>4259</v>
      </c>
      <c r="V540">
        <v>1372</v>
      </c>
      <c r="W540">
        <v>14</v>
      </c>
      <c r="X540">
        <v>38</v>
      </c>
      <c r="Y540">
        <v>53</v>
      </c>
      <c r="Z540">
        <v>48</v>
      </c>
      <c r="AA540">
        <v>4</v>
      </c>
      <c r="AB540">
        <v>128</v>
      </c>
      <c r="AC540">
        <v>63</v>
      </c>
      <c r="AD540" s="1">
        <v>76</v>
      </c>
      <c r="AE540" s="1">
        <v>86</v>
      </c>
      <c r="AF540">
        <v>4.42</v>
      </c>
    </row>
    <row r="541" spans="1:32" x14ac:dyDescent="0.2">
      <c r="A541" s="52">
        <v>2017</v>
      </c>
      <c r="B541" t="s">
        <v>101</v>
      </c>
      <c r="C541" t="s">
        <v>38</v>
      </c>
      <c r="D541">
        <v>649</v>
      </c>
      <c r="E541">
        <v>162</v>
      </c>
      <c r="F541">
        <v>3</v>
      </c>
      <c r="G541">
        <v>5</v>
      </c>
      <c r="H541">
        <v>159</v>
      </c>
      <c r="I541">
        <v>46</v>
      </c>
      <c r="J541">
        <v>1446.2</v>
      </c>
      <c r="K541">
        <v>6068</v>
      </c>
      <c r="L541">
        <v>1300</v>
      </c>
      <c r="M541" s="1">
        <v>672</v>
      </c>
      <c r="N541">
        <f t="shared" si="16"/>
        <v>845</v>
      </c>
      <c r="O541">
        <v>243</v>
      </c>
      <c r="P541">
        <v>23</v>
      </c>
      <c r="Q541">
        <v>189</v>
      </c>
      <c r="R541">
        <v>623</v>
      </c>
      <c r="S541">
        <v>495</v>
      </c>
      <c r="T541">
        <v>39</v>
      </c>
      <c r="U541">
        <f t="shared" si="17"/>
        <v>4213</v>
      </c>
      <c r="V541">
        <v>1457</v>
      </c>
      <c r="W541">
        <v>35</v>
      </c>
      <c r="X541">
        <v>31</v>
      </c>
      <c r="Y541">
        <v>44</v>
      </c>
      <c r="Z541">
        <v>60</v>
      </c>
      <c r="AA541">
        <v>5</v>
      </c>
      <c r="AB541">
        <v>119</v>
      </c>
      <c r="AC541">
        <v>57</v>
      </c>
      <c r="AD541" s="1">
        <v>97</v>
      </c>
      <c r="AE541" s="1">
        <v>65</v>
      </c>
      <c r="AF541">
        <v>3.88</v>
      </c>
    </row>
    <row r="542" spans="1:32" x14ac:dyDescent="0.2">
      <c r="A542" s="52">
        <v>2018</v>
      </c>
      <c r="B542" t="s">
        <v>37</v>
      </c>
      <c r="C542" t="s">
        <v>163</v>
      </c>
      <c r="D542">
        <v>763</v>
      </c>
      <c r="E542">
        <v>162</v>
      </c>
      <c r="F542">
        <v>1</v>
      </c>
      <c r="G542">
        <v>9</v>
      </c>
      <c r="H542">
        <v>161</v>
      </c>
      <c r="I542">
        <v>35</v>
      </c>
      <c r="J542">
        <v>1437.1</v>
      </c>
      <c r="K542">
        <v>6108</v>
      </c>
      <c r="L542">
        <v>1353</v>
      </c>
      <c r="M542" s="1">
        <v>722</v>
      </c>
      <c r="N542">
        <f t="shared" si="16"/>
        <v>873</v>
      </c>
      <c r="O542">
        <v>256</v>
      </c>
      <c r="P542">
        <v>19</v>
      </c>
      <c r="Q542">
        <v>205</v>
      </c>
      <c r="R542">
        <v>662</v>
      </c>
      <c r="S542">
        <v>546</v>
      </c>
      <c r="T542">
        <v>17</v>
      </c>
      <c r="U542">
        <f t="shared" si="17"/>
        <v>4144</v>
      </c>
      <c r="V542">
        <v>1386</v>
      </c>
      <c r="W542">
        <v>14</v>
      </c>
      <c r="X542">
        <v>35</v>
      </c>
      <c r="Y542">
        <v>87</v>
      </c>
      <c r="Z542">
        <v>65</v>
      </c>
      <c r="AA542">
        <v>3</v>
      </c>
      <c r="AB542">
        <v>147</v>
      </c>
      <c r="AC542">
        <v>61</v>
      </c>
      <c r="AD542" s="1">
        <v>80</v>
      </c>
      <c r="AE542" s="1">
        <v>82</v>
      </c>
      <c r="AF542">
        <v>4.1500000000000004</v>
      </c>
    </row>
    <row r="543" spans="1:32" x14ac:dyDescent="0.2">
      <c r="A543" s="52">
        <v>2018</v>
      </c>
      <c r="B543" t="s">
        <v>40</v>
      </c>
      <c r="C543" t="s">
        <v>38</v>
      </c>
      <c r="D543">
        <v>735</v>
      </c>
      <c r="E543">
        <v>162</v>
      </c>
      <c r="F543">
        <v>2</v>
      </c>
      <c r="G543">
        <v>9</v>
      </c>
      <c r="H543">
        <v>160</v>
      </c>
      <c r="I543">
        <v>39</v>
      </c>
      <c r="J543">
        <v>1463</v>
      </c>
      <c r="K543">
        <v>6139</v>
      </c>
      <c r="L543">
        <v>1313</v>
      </c>
      <c r="M543" s="1">
        <v>644</v>
      </c>
      <c r="N543">
        <f t="shared" si="16"/>
        <v>861</v>
      </c>
      <c r="O543">
        <v>259</v>
      </c>
      <c r="P543">
        <v>19</v>
      </c>
      <c r="Q543">
        <v>174</v>
      </c>
      <c r="R543">
        <v>605</v>
      </c>
      <c r="S543">
        <v>522</v>
      </c>
      <c r="T543">
        <v>43</v>
      </c>
      <c r="U543">
        <f t="shared" si="17"/>
        <v>4247</v>
      </c>
      <c r="V543">
        <v>1448</v>
      </c>
      <c r="W543">
        <v>29</v>
      </c>
      <c r="X543">
        <v>34</v>
      </c>
      <c r="Y543">
        <v>69</v>
      </c>
      <c r="Z543">
        <v>57</v>
      </c>
      <c r="AA543">
        <v>5</v>
      </c>
      <c r="AB543">
        <v>136</v>
      </c>
      <c r="AC543">
        <v>53</v>
      </c>
      <c r="AD543" s="1">
        <v>82</v>
      </c>
      <c r="AE543" s="1">
        <v>80</v>
      </c>
      <c r="AF543">
        <v>3.72</v>
      </c>
    </row>
    <row r="544" spans="1:32" x14ac:dyDescent="0.2">
      <c r="A544" s="52">
        <v>2018</v>
      </c>
      <c r="B544" t="s">
        <v>42</v>
      </c>
      <c r="C544" t="s">
        <v>38</v>
      </c>
      <c r="D544">
        <v>715</v>
      </c>
      <c r="E544">
        <v>162</v>
      </c>
      <c r="F544">
        <v>2</v>
      </c>
      <c r="G544">
        <v>11</v>
      </c>
      <c r="H544">
        <v>160</v>
      </c>
      <c r="I544">
        <v>40</v>
      </c>
      <c r="J544">
        <v>1456.2</v>
      </c>
      <c r="K544">
        <v>6155</v>
      </c>
      <c r="L544">
        <v>1236</v>
      </c>
      <c r="M544" s="1">
        <v>657</v>
      </c>
      <c r="N544">
        <f t="shared" si="16"/>
        <v>809</v>
      </c>
      <c r="O544">
        <v>248</v>
      </c>
      <c r="P544">
        <v>26</v>
      </c>
      <c r="Q544">
        <v>153</v>
      </c>
      <c r="R544">
        <v>607</v>
      </c>
      <c r="S544">
        <v>635</v>
      </c>
      <c r="T544">
        <v>43</v>
      </c>
      <c r="U544">
        <f t="shared" si="17"/>
        <v>4232</v>
      </c>
      <c r="V544">
        <v>1423</v>
      </c>
      <c r="W544">
        <v>39</v>
      </c>
      <c r="X544">
        <v>35</v>
      </c>
      <c r="Y544">
        <v>61</v>
      </c>
      <c r="Z544">
        <v>52</v>
      </c>
      <c r="AA544">
        <v>8</v>
      </c>
      <c r="AB544">
        <v>113</v>
      </c>
      <c r="AC544">
        <v>53</v>
      </c>
      <c r="AD544" s="1">
        <v>90</v>
      </c>
      <c r="AE544" s="1">
        <v>72</v>
      </c>
      <c r="AF544">
        <v>3.75</v>
      </c>
    </row>
    <row r="545" spans="1:32" x14ac:dyDescent="0.2">
      <c r="A545" s="52">
        <v>2018</v>
      </c>
      <c r="B545" t="s">
        <v>45</v>
      </c>
      <c r="C545" t="s">
        <v>163</v>
      </c>
      <c r="D545">
        <v>652</v>
      </c>
      <c r="E545">
        <v>162</v>
      </c>
      <c r="F545">
        <v>2</v>
      </c>
      <c r="G545">
        <v>7</v>
      </c>
      <c r="H545">
        <v>160</v>
      </c>
      <c r="I545">
        <v>28</v>
      </c>
      <c r="J545">
        <v>1431</v>
      </c>
      <c r="K545">
        <v>6340</v>
      </c>
      <c r="L545">
        <v>1552</v>
      </c>
      <c r="M545" s="1">
        <v>892</v>
      </c>
      <c r="N545">
        <f t="shared" si="16"/>
        <v>959</v>
      </c>
      <c r="O545">
        <v>325</v>
      </c>
      <c r="P545">
        <v>34</v>
      </c>
      <c r="Q545">
        <v>234</v>
      </c>
      <c r="R545">
        <v>824</v>
      </c>
      <c r="S545">
        <v>589</v>
      </c>
      <c r="T545">
        <v>29</v>
      </c>
      <c r="U545">
        <f t="shared" si="17"/>
        <v>4132</v>
      </c>
      <c r="V545">
        <v>1203</v>
      </c>
      <c r="W545">
        <v>17</v>
      </c>
      <c r="X545">
        <v>42</v>
      </c>
      <c r="Y545">
        <v>81</v>
      </c>
      <c r="Z545">
        <v>67</v>
      </c>
      <c r="AA545">
        <v>8</v>
      </c>
      <c r="AB545">
        <v>130</v>
      </c>
      <c r="AC545">
        <v>69</v>
      </c>
      <c r="AD545" s="1">
        <v>47</v>
      </c>
      <c r="AE545" s="1">
        <v>115</v>
      </c>
      <c r="AF545">
        <v>5.18</v>
      </c>
    </row>
    <row r="546" spans="1:32" x14ac:dyDescent="0.2">
      <c r="A546" s="52">
        <v>2018</v>
      </c>
      <c r="B546" t="s">
        <v>47</v>
      </c>
      <c r="C546" t="s">
        <v>163</v>
      </c>
      <c r="D546">
        <v>697</v>
      </c>
      <c r="E546">
        <v>162</v>
      </c>
      <c r="F546">
        <v>2</v>
      </c>
      <c r="G546">
        <v>14</v>
      </c>
      <c r="H546">
        <v>160</v>
      </c>
      <c r="I546">
        <v>46</v>
      </c>
      <c r="J546">
        <v>1458.2</v>
      </c>
      <c r="K546">
        <v>6166</v>
      </c>
      <c r="L546">
        <v>1305</v>
      </c>
      <c r="M546" s="1">
        <v>647</v>
      </c>
      <c r="N546">
        <f t="shared" si="16"/>
        <v>848</v>
      </c>
      <c r="O546">
        <v>246</v>
      </c>
      <c r="P546">
        <v>35</v>
      </c>
      <c r="Q546">
        <v>176</v>
      </c>
      <c r="R546">
        <v>608</v>
      </c>
      <c r="S546">
        <v>512</v>
      </c>
      <c r="T546">
        <v>8</v>
      </c>
      <c r="U546">
        <f t="shared" si="17"/>
        <v>4265</v>
      </c>
      <c r="V546">
        <v>1558</v>
      </c>
      <c r="W546">
        <v>9</v>
      </c>
      <c r="X546">
        <v>46</v>
      </c>
      <c r="Y546">
        <v>51</v>
      </c>
      <c r="Z546">
        <v>84</v>
      </c>
      <c r="AA546">
        <v>3</v>
      </c>
      <c r="AB546">
        <v>88</v>
      </c>
      <c r="AC546">
        <v>53</v>
      </c>
      <c r="AD546" s="1">
        <v>108</v>
      </c>
      <c r="AE546" s="1">
        <v>54</v>
      </c>
      <c r="AF546">
        <v>3.75</v>
      </c>
    </row>
    <row r="547" spans="1:32" x14ac:dyDescent="0.2">
      <c r="A547" s="52">
        <v>2018</v>
      </c>
      <c r="B547" t="s">
        <v>157</v>
      </c>
      <c r="C547" t="s">
        <v>38</v>
      </c>
      <c r="D547">
        <v>763</v>
      </c>
      <c r="E547">
        <v>163</v>
      </c>
      <c r="F547">
        <v>1</v>
      </c>
      <c r="G547">
        <v>18</v>
      </c>
      <c r="H547">
        <v>162</v>
      </c>
      <c r="I547">
        <v>46</v>
      </c>
      <c r="J547">
        <v>1476.1</v>
      </c>
      <c r="K547">
        <v>6264</v>
      </c>
      <c r="L547">
        <v>1319</v>
      </c>
      <c r="M547" s="1">
        <v>645</v>
      </c>
      <c r="N547">
        <f t="shared" si="16"/>
        <v>913</v>
      </c>
      <c r="O547">
        <v>221</v>
      </c>
      <c r="P547">
        <v>28</v>
      </c>
      <c r="Q547">
        <v>157</v>
      </c>
      <c r="R547">
        <v>598</v>
      </c>
      <c r="S547">
        <v>622</v>
      </c>
      <c r="T547">
        <v>33</v>
      </c>
      <c r="U547">
        <f t="shared" si="17"/>
        <v>4257</v>
      </c>
      <c r="V547">
        <v>1333</v>
      </c>
      <c r="W547">
        <v>39</v>
      </c>
      <c r="X547">
        <v>35</v>
      </c>
      <c r="Y547">
        <v>46</v>
      </c>
      <c r="Z547">
        <v>66</v>
      </c>
      <c r="AA547">
        <v>3</v>
      </c>
      <c r="AB547">
        <v>137</v>
      </c>
      <c r="AC547">
        <v>61</v>
      </c>
      <c r="AD547" s="1">
        <v>95</v>
      </c>
      <c r="AE547" s="1">
        <v>68</v>
      </c>
      <c r="AF547">
        <v>3.65</v>
      </c>
    </row>
    <row r="548" spans="1:32" x14ac:dyDescent="0.2">
      <c r="A548" s="52">
        <v>2018</v>
      </c>
      <c r="B548" t="s">
        <v>157</v>
      </c>
      <c r="C548" t="s">
        <v>163</v>
      </c>
      <c r="D548">
        <v>715</v>
      </c>
      <c r="E548">
        <v>162</v>
      </c>
      <c r="F548">
        <v>0</v>
      </c>
      <c r="G548">
        <v>8</v>
      </c>
      <c r="H548">
        <v>162</v>
      </c>
      <c r="I548">
        <v>34</v>
      </c>
      <c r="J548">
        <v>1437</v>
      </c>
      <c r="K548">
        <v>6339</v>
      </c>
      <c r="L548">
        <v>1405</v>
      </c>
      <c r="M548" s="1">
        <v>848</v>
      </c>
      <c r="N548">
        <f t="shared" si="16"/>
        <v>893</v>
      </c>
      <c r="O548">
        <v>292</v>
      </c>
      <c r="P548">
        <v>24</v>
      </c>
      <c r="Q548">
        <v>196</v>
      </c>
      <c r="R548">
        <v>772</v>
      </c>
      <c r="S548">
        <v>653</v>
      </c>
      <c r="T548">
        <v>25</v>
      </c>
      <c r="U548">
        <f t="shared" si="17"/>
        <v>4192</v>
      </c>
      <c r="V548">
        <v>1259</v>
      </c>
      <c r="W548">
        <v>18</v>
      </c>
      <c r="X548">
        <v>47</v>
      </c>
      <c r="Y548">
        <v>94</v>
      </c>
      <c r="Z548">
        <v>89</v>
      </c>
      <c r="AA548">
        <v>9</v>
      </c>
      <c r="AB548">
        <v>100</v>
      </c>
      <c r="AC548">
        <v>83</v>
      </c>
      <c r="AD548" s="1">
        <v>62</v>
      </c>
      <c r="AE548" s="1">
        <v>100</v>
      </c>
      <c r="AF548">
        <v>4.84</v>
      </c>
    </row>
    <row r="549" spans="1:32" x14ac:dyDescent="0.2">
      <c r="A549" s="52">
        <v>2018</v>
      </c>
      <c r="B549" t="s">
        <v>53</v>
      </c>
      <c r="C549" t="s">
        <v>38</v>
      </c>
      <c r="D549">
        <v>706</v>
      </c>
      <c r="E549">
        <v>162</v>
      </c>
      <c r="F549">
        <v>1</v>
      </c>
      <c r="G549">
        <v>6</v>
      </c>
      <c r="H549">
        <v>161</v>
      </c>
      <c r="I549">
        <v>38</v>
      </c>
      <c r="J549">
        <v>1441</v>
      </c>
      <c r="K549">
        <v>6279</v>
      </c>
      <c r="L549">
        <v>1491</v>
      </c>
      <c r="M549" s="1">
        <v>819</v>
      </c>
      <c r="N549">
        <f t="shared" si="16"/>
        <v>945</v>
      </c>
      <c r="O549">
        <v>291</v>
      </c>
      <c r="P549">
        <v>27</v>
      </c>
      <c r="Q549">
        <v>228</v>
      </c>
      <c r="R549">
        <v>741</v>
      </c>
      <c r="S549">
        <v>532</v>
      </c>
      <c r="T549">
        <v>60</v>
      </c>
      <c r="U549">
        <f t="shared" si="17"/>
        <v>4206</v>
      </c>
      <c r="V549">
        <v>1258</v>
      </c>
      <c r="W549">
        <v>43</v>
      </c>
      <c r="X549">
        <v>48</v>
      </c>
      <c r="Y549">
        <v>48</v>
      </c>
      <c r="Z549">
        <v>50</v>
      </c>
      <c r="AA549">
        <v>8</v>
      </c>
      <c r="AB549">
        <v>118</v>
      </c>
      <c r="AC549">
        <v>73</v>
      </c>
      <c r="AD549" s="1">
        <v>67</v>
      </c>
      <c r="AE549" s="1">
        <v>95</v>
      </c>
      <c r="AF549">
        <v>4.63</v>
      </c>
    </row>
    <row r="550" spans="1:32" x14ac:dyDescent="0.2">
      <c r="A550" s="52">
        <v>2018</v>
      </c>
      <c r="B550" t="s">
        <v>55</v>
      </c>
      <c r="C550" t="s">
        <v>163</v>
      </c>
      <c r="D550">
        <v>671</v>
      </c>
      <c r="E550">
        <v>162</v>
      </c>
      <c r="F550">
        <v>5</v>
      </c>
      <c r="G550">
        <v>17</v>
      </c>
      <c r="H550">
        <v>157</v>
      </c>
      <c r="I550">
        <v>41</v>
      </c>
      <c r="J550">
        <v>1457.1</v>
      </c>
      <c r="K550">
        <v>6071</v>
      </c>
      <c r="L550">
        <v>1349</v>
      </c>
      <c r="M550" s="1">
        <v>648</v>
      </c>
      <c r="N550">
        <f t="shared" si="16"/>
        <v>815</v>
      </c>
      <c r="O550">
        <v>311</v>
      </c>
      <c r="P550">
        <v>23</v>
      </c>
      <c r="Q550">
        <v>200</v>
      </c>
      <c r="R550">
        <v>611</v>
      </c>
      <c r="S550">
        <v>407</v>
      </c>
      <c r="T550">
        <v>29</v>
      </c>
      <c r="U550">
        <f t="shared" si="17"/>
        <v>4256</v>
      </c>
      <c r="V550">
        <v>1544</v>
      </c>
      <c r="W550">
        <v>16</v>
      </c>
      <c r="X550">
        <v>21</v>
      </c>
      <c r="Y550">
        <v>54</v>
      </c>
      <c r="Z550">
        <v>59</v>
      </c>
      <c r="AA550">
        <v>2</v>
      </c>
      <c r="AB550">
        <v>98</v>
      </c>
      <c r="AC550">
        <v>59</v>
      </c>
      <c r="AD550" s="1">
        <v>91</v>
      </c>
      <c r="AE550" s="1">
        <v>71</v>
      </c>
      <c r="AF550">
        <v>3.77</v>
      </c>
    </row>
    <row r="551" spans="1:32" x14ac:dyDescent="0.2">
      <c r="A551" s="52">
        <v>2018</v>
      </c>
      <c r="B551" t="s">
        <v>57</v>
      </c>
      <c r="C551" t="s">
        <v>38</v>
      </c>
      <c r="D551">
        <v>681</v>
      </c>
      <c r="E551">
        <v>163</v>
      </c>
      <c r="F551">
        <v>0</v>
      </c>
      <c r="G551">
        <v>10</v>
      </c>
      <c r="H551">
        <v>163</v>
      </c>
      <c r="I551">
        <v>51</v>
      </c>
      <c r="J551">
        <v>1452.1</v>
      </c>
      <c r="K551">
        <v>6154</v>
      </c>
      <c r="L551">
        <v>1378</v>
      </c>
      <c r="M551" s="1">
        <v>745</v>
      </c>
      <c r="N551">
        <f t="shared" si="16"/>
        <v>878</v>
      </c>
      <c r="O551">
        <v>268</v>
      </c>
      <c r="P551">
        <v>48</v>
      </c>
      <c r="Q551">
        <v>184</v>
      </c>
      <c r="R551">
        <v>699</v>
      </c>
      <c r="S551">
        <v>525</v>
      </c>
      <c r="T551">
        <v>24</v>
      </c>
      <c r="U551">
        <f t="shared" si="17"/>
        <v>4199</v>
      </c>
      <c r="V551">
        <v>1409</v>
      </c>
      <c r="W551">
        <v>25</v>
      </c>
      <c r="X551">
        <v>47</v>
      </c>
      <c r="Y551">
        <v>70</v>
      </c>
      <c r="Z551">
        <v>52</v>
      </c>
      <c r="AA551">
        <v>8</v>
      </c>
      <c r="AB551">
        <v>137</v>
      </c>
      <c r="AC551">
        <v>55</v>
      </c>
      <c r="AD551" s="1">
        <v>91</v>
      </c>
      <c r="AE551" s="1">
        <v>72</v>
      </c>
      <c r="AF551">
        <v>4.33</v>
      </c>
    </row>
    <row r="552" spans="1:32" x14ac:dyDescent="0.2">
      <c r="A552" s="52">
        <v>2018</v>
      </c>
      <c r="B552" t="s">
        <v>59</v>
      </c>
      <c r="C552" t="s">
        <v>163</v>
      </c>
      <c r="D552">
        <v>704</v>
      </c>
      <c r="E552">
        <v>162</v>
      </c>
      <c r="F552">
        <v>0</v>
      </c>
      <c r="G552">
        <v>2</v>
      </c>
      <c r="H552">
        <v>162</v>
      </c>
      <c r="I552">
        <v>37</v>
      </c>
      <c r="J552">
        <v>1425.1</v>
      </c>
      <c r="K552">
        <v>6130</v>
      </c>
      <c r="L552">
        <v>1423</v>
      </c>
      <c r="M552" s="1">
        <v>796</v>
      </c>
      <c r="N552">
        <f t="shared" si="16"/>
        <v>895</v>
      </c>
      <c r="O552">
        <v>278</v>
      </c>
      <c r="P552">
        <v>34</v>
      </c>
      <c r="Q552">
        <v>216</v>
      </c>
      <c r="R552">
        <v>726</v>
      </c>
      <c r="S552">
        <v>491</v>
      </c>
      <c r="T552">
        <v>20</v>
      </c>
      <c r="U552">
        <f t="shared" si="17"/>
        <v>4156</v>
      </c>
      <c r="V552">
        <v>1215</v>
      </c>
      <c r="W552">
        <v>16</v>
      </c>
      <c r="X552">
        <v>57</v>
      </c>
      <c r="Y552">
        <v>54</v>
      </c>
      <c r="Z552">
        <v>60</v>
      </c>
      <c r="AA552">
        <v>4</v>
      </c>
      <c r="AB552">
        <v>100</v>
      </c>
      <c r="AC552">
        <v>65</v>
      </c>
      <c r="AD552" s="1">
        <v>64</v>
      </c>
      <c r="AE552" s="1">
        <v>98</v>
      </c>
      <c r="AF552">
        <v>4.58</v>
      </c>
    </row>
    <row r="553" spans="1:32" x14ac:dyDescent="0.2">
      <c r="A553" s="52">
        <v>2018</v>
      </c>
      <c r="B553" t="s">
        <v>63</v>
      </c>
      <c r="C553" t="s">
        <v>163</v>
      </c>
      <c r="D553">
        <v>672</v>
      </c>
      <c r="E553">
        <v>162</v>
      </c>
      <c r="F553">
        <v>3</v>
      </c>
      <c r="G553">
        <v>12</v>
      </c>
      <c r="H553">
        <v>159</v>
      </c>
      <c r="I553">
        <v>46</v>
      </c>
      <c r="J553">
        <v>1455</v>
      </c>
      <c r="K553">
        <v>5913</v>
      </c>
      <c r="L553">
        <v>1164</v>
      </c>
      <c r="M553" s="1">
        <v>534</v>
      </c>
      <c r="N553">
        <f t="shared" si="16"/>
        <v>734</v>
      </c>
      <c r="O553">
        <v>257</v>
      </c>
      <c r="P553">
        <v>21</v>
      </c>
      <c r="Q553">
        <v>152</v>
      </c>
      <c r="R553">
        <v>503</v>
      </c>
      <c r="S553">
        <v>435</v>
      </c>
      <c r="T553">
        <v>4</v>
      </c>
      <c r="U553">
        <f t="shared" si="17"/>
        <v>4248</v>
      </c>
      <c r="V553">
        <v>1687</v>
      </c>
      <c r="W553">
        <v>12</v>
      </c>
      <c r="X553">
        <v>34</v>
      </c>
      <c r="Y553">
        <v>67</v>
      </c>
      <c r="Z553">
        <v>66</v>
      </c>
      <c r="AA553">
        <v>4</v>
      </c>
      <c r="AB553">
        <v>95</v>
      </c>
      <c r="AC553">
        <v>45</v>
      </c>
      <c r="AD553" s="1">
        <v>103</v>
      </c>
      <c r="AE553" s="1">
        <v>59</v>
      </c>
      <c r="AF553">
        <v>3.11</v>
      </c>
    </row>
    <row r="554" spans="1:32" x14ac:dyDescent="0.2">
      <c r="A554" s="52">
        <v>2018</v>
      </c>
      <c r="B554" t="s">
        <v>164</v>
      </c>
      <c r="C554" t="s">
        <v>163</v>
      </c>
      <c r="D554">
        <v>645</v>
      </c>
      <c r="E554">
        <v>162</v>
      </c>
      <c r="F554">
        <v>2</v>
      </c>
      <c r="G554">
        <v>8</v>
      </c>
      <c r="H554">
        <v>160</v>
      </c>
      <c r="I554">
        <v>33</v>
      </c>
      <c r="J554">
        <v>1432</v>
      </c>
      <c r="K554">
        <v>6284</v>
      </c>
      <c r="L554">
        <v>1542</v>
      </c>
      <c r="M554" s="1">
        <v>833</v>
      </c>
      <c r="N554">
        <f t="shared" si="16"/>
        <v>1030</v>
      </c>
      <c r="O554">
        <v>271</v>
      </c>
      <c r="P554">
        <v>36</v>
      </c>
      <c r="Q554">
        <v>205</v>
      </c>
      <c r="R554">
        <v>786</v>
      </c>
      <c r="S554">
        <v>549</v>
      </c>
      <c r="T554">
        <v>28</v>
      </c>
      <c r="U554">
        <f t="shared" si="17"/>
        <v>4142</v>
      </c>
      <c r="V554">
        <v>1157</v>
      </c>
      <c r="W554">
        <v>23</v>
      </c>
      <c r="X554">
        <v>57</v>
      </c>
      <c r="Y554">
        <v>68</v>
      </c>
      <c r="Z554">
        <v>51</v>
      </c>
      <c r="AA554">
        <v>4</v>
      </c>
      <c r="AB554">
        <v>121</v>
      </c>
      <c r="AC554">
        <v>52</v>
      </c>
      <c r="AD554" s="1">
        <v>58</v>
      </c>
      <c r="AE554" s="1">
        <v>104</v>
      </c>
      <c r="AF554">
        <v>4.9400000000000004</v>
      </c>
    </row>
    <row r="555" spans="1:32" x14ac:dyDescent="0.2">
      <c r="A555" s="52">
        <v>2018</v>
      </c>
      <c r="B555" t="s">
        <v>159</v>
      </c>
      <c r="C555" t="s">
        <v>38</v>
      </c>
      <c r="D555">
        <v>756</v>
      </c>
      <c r="E555">
        <v>163</v>
      </c>
      <c r="F555">
        <v>0</v>
      </c>
      <c r="G555">
        <v>11</v>
      </c>
      <c r="H555">
        <v>163</v>
      </c>
      <c r="I555">
        <v>48</v>
      </c>
      <c r="J555">
        <v>1476</v>
      </c>
      <c r="K555">
        <v>6096</v>
      </c>
      <c r="L555">
        <v>1279</v>
      </c>
      <c r="M555" s="1">
        <v>610</v>
      </c>
      <c r="N555">
        <f t="shared" si="16"/>
        <v>833</v>
      </c>
      <c r="O555">
        <v>242</v>
      </c>
      <c r="P555">
        <v>25</v>
      </c>
      <c r="Q555">
        <v>179</v>
      </c>
      <c r="R555">
        <v>554</v>
      </c>
      <c r="S555">
        <v>422</v>
      </c>
      <c r="T555">
        <v>39</v>
      </c>
      <c r="U555">
        <f t="shared" si="17"/>
        <v>4334</v>
      </c>
      <c r="V555">
        <v>1565</v>
      </c>
      <c r="W555">
        <v>25</v>
      </c>
      <c r="X555">
        <v>23</v>
      </c>
      <c r="Y555">
        <v>39</v>
      </c>
      <c r="Z555">
        <v>61</v>
      </c>
      <c r="AA555">
        <v>10</v>
      </c>
      <c r="AB555">
        <v>91</v>
      </c>
      <c r="AC555">
        <v>71</v>
      </c>
      <c r="AD555" s="1">
        <v>92</v>
      </c>
      <c r="AE555" s="1">
        <v>71</v>
      </c>
      <c r="AF555">
        <v>3.38</v>
      </c>
    </row>
    <row r="556" spans="1:32" x14ac:dyDescent="0.2">
      <c r="A556" s="52">
        <v>2018</v>
      </c>
      <c r="B556" t="s">
        <v>104</v>
      </c>
      <c r="C556" t="s">
        <v>38</v>
      </c>
      <c r="D556">
        <v>707</v>
      </c>
      <c r="E556">
        <v>161</v>
      </c>
      <c r="F556">
        <v>1</v>
      </c>
      <c r="G556">
        <v>12</v>
      </c>
      <c r="H556">
        <v>160</v>
      </c>
      <c r="I556">
        <v>30</v>
      </c>
      <c r="J556">
        <v>1442</v>
      </c>
      <c r="K556">
        <v>6236</v>
      </c>
      <c r="L556">
        <v>1388</v>
      </c>
      <c r="M556" s="1">
        <v>809</v>
      </c>
      <c r="N556">
        <f t="shared" si="16"/>
        <v>864</v>
      </c>
      <c r="O556">
        <v>309</v>
      </c>
      <c r="P556">
        <v>23</v>
      </c>
      <c r="Q556">
        <v>192</v>
      </c>
      <c r="R556">
        <v>762</v>
      </c>
      <c r="S556">
        <v>605</v>
      </c>
      <c r="T556">
        <v>73</v>
      </c>
      <c r="U556">
        <f t="shared" si="17"/>
        <v>4172</v>
      </c>
      <c r="V556">
        <v>1249</v>
      </c>
      <c r="W556">
        <v>38</v>
      </c>
      <c r="X556">
        <v>48</v>
      </c>
      <c r="Y556">
        <v>47</v>
      </c>
      <c r="Z556">
        <v>71</v>
      </c>
      <c r="AA556">
        <v>6</v>
      </c>
      <c r="AB556">
        <v>115</v>
      </c>
      <c r="AC556">
        <v>52</v>
      </c>
      <c r="AD556" s="1">
        <v>63</v>
      </c>
      <c r="AE556" s="1">
        <v>98</v>
      </c>
      <c r="AF556">
        <v>4.76</v>
      </c>
    </row>
    <row r="557" spans="1:32" x14ac:dyDescent="0.2">
      <c r="A557" s="52">
        <v>2018</v>
      </c>
      <c r="B557" t="s">
        <v>69</v>
      </c>
      <c r="C557" t="s">
        <v>38</v>
      </c>
      <c r="D557">
        <v>722</v>
      </c>
      <c r="E557">
        <v>163</v>
      </c>
      <c r="F557">
        <v>0</v>
      </c>
      <c r="G557">
        <v>14</v>
      </c>
      <c r="H557">
        <v>163</v>
      </c>
      <c r="I557">
        <v>49</v>
      </c>
      <c r="J557">
        <v>1461</v>
      </c>
      <c r="K557">
        <v>6114</v>
      </c>
      <c r="L557">
        <v>1259</v>
      </c>
      <c r="M557" s="1">
        <v>659</v>
      </c>
      <c r="N557">
        <f t="shared" si="16"/>
        <v>807</v>
      </c>
      <c r="O557">
        <v>239</v>
      </c>
      <c r="P557">
        <v>40</v>
      </c>
      <c r="Q557">
        <v>173</v>
      </c>
      <c r="R557">
        <v>606</v>
      </c>
      <c r="S557">
        <v>553</v>
      </c>
      <c r="T557">
        <v>34</v>
      </c>
      <c r="U557">
        <f t="shared" si="17"/>
        <v>4241</v>
      </c>
      <c r="V557">
        <v>1428</v>
      </c>
      <c r="W557">
        <v>42</v>
      </c>
      <c r="X557">
        <v>41</v>
      </c>
      <c r="Y557">
        <v>50</v>
      </c>
      <c r="Z557">
        <v>61</v>
      </c>
      <c r="AA557">
        <v>5</v>
      </c>
      <c r="AB557">
        <v>113</v>
      </c>
      <c r="AC557">
        <v>64</v>
      </c>
      <c r="AD557" s="1">
        <v>96</v>
      </c>
      <c r="AE557" s="1">
        <v>67</v>
      </c>
      <c r="AF557">
        <v>3.73</v>
      </c>
    </row>
    <row r="558" spans="1:32" x14ac:dyDescent="0.2">
      <c r="A558" s="52">
        <v>2018</v>
      </c>
      <c r="B558" t="s">
        <v>71</v>
      </c>
      <c r="C558" t="s">
        <v>163</v>
      </c>
      <c r="D558">
        <v>728</v>
      </c>
      <c r="E558">
        <v>162</v>
      </c>
      <c r="F558">
        <v>2</v>
      </c>
      <c r="G558">
        <v>7</v>
      </c>
      <c r="H558">
        <v>160</v>
      </c>
      <c r="I558">
        <v>37</v>
      </c>
      <c r="J558">
        <v>1443.1</v>
      </c>
      <c r="K558">
        <v>6287</v>
      </c>
      <c r="L558">
        <v>1425</v>
      </c>
      <c r="M558" s="1">
        <v>775</v>
      </c>
      <c r="N558">
        <f t="shared" si="16"/>
        <v>921</v>
      </c>
      <c r="O558">
        <v>280</v>
      </c>
      <c r="P558">
        <v>26</v>
      </c>
      <c r="Q558">
        <v>198</v>
      </c>
      <c r="R558">
        <v>721</v>
      </c>
      <c r="S558">
        <v>573</v>
      </c>
      <c r="T558">
        <v>34</v>
      </c>
      <c r="U558">
        <f t="shared" si="17"/>
        <v>4209</v>
      </c>
      <c r="V558">
        <v>1377</v>
      </c>
      <c r="W558">
        <v>25</v>
      </c>
      <c r="X558">
        <v>49</v>
      </c>
      <c r="Y558">
        <v>59</v>
      </c>
      <c r="Z558">
        <v>80</v>
      </c>
      <c r="AA558">
        <v>0</v>
      </c>
      <c r="AB558">
        <v>110</v>
      </c>
      <c r="AC558">
        <v>59</v>
      </c>
      <c r="AD558" s="1">
        <v>78</v>
      </c>
      <c r="AE558" s="1">
        <v>84</v>
      </c>
      <c r="AF558">
        <v>4.5</v>
      </c>
    </row>
    <row r="559" spans="1:32" x14ac:dyDescent="0.2">
      <c r="A559" s="52">
        <v>2018</v>
      </c>
      <c r="B559" t="s">
        <v>158</v>
      </c>
      <c r="C559" t="s">
        <v>38</v>
      </c>
      <c r="D559">
        <v>663</v>
      </c>
      <c r="E559">
        <v>162</v>
      </c>
      <c r="F559">
        <v>3</v>
      </c>
      <c r="G559">
        <v>15</v>
      </c>
      <c r="H559">
        <v>159</v>
      </c>
      <c r="I559">
        <v>41</v>
      </c>
      <c r="J559">
        <v>1460.2</v>
      </c>
      <c r="K559">
        <v>6178</v>
      </c>
      <c r="L559">
        <v>1364</v>
      </c>
      <c r="M559" s="1">
        <v>707</v>
      </c>
      <c r="N559">
        <f t="shared" si="16"/>
        <v>914</v>
      </c>
      <c r="O559">
        <v>241</v>
      </c>
      <c r="P559">
        <v>24</v>
      </c>
      <c r="Q559">
        <v>185</v>
      </c>
      <c r="R559">
        <v>661</v>
      </c>
      <c r="S559">
        <v>484</v>
      </c>
      <c r="T559">
        <v>32</v>
      </c>
      <c r="U559">
        <f t="shared" si="17"/>
        <v>4259</v>
      </c>
      <c r="V559">
        <v>1446</v>
      </c>
      <c r="W559">
        <v>42</v>
      </c>
      <c r="X559">
        <v>40</v>
      </c>
      <c r="Y559">
        <v>26</v>
      </c>
      <c r="Z559">
        <v>71</v>
      </c>
      <c r="AA559">
        <v>2</v>
      </c>
      <c r="AB559">
        <v>104</v>
      </c>
      <c r="AC559">
        <v>60</v>
      </c>
      <c r="AD559" s="1">
        <v>77</v>
      </c>
      <c r="AE559" s="1">
        <v>85</v>
      </c>
      <c r="AF559">
        <v>4.07</v>
      </c>
    </row>
    <row r="560" spans="1:32" x14ac:dyDescent="0.2">
      <c r="A560" s="52">
        <v>2018</v>
      </c>
      <c r="B560" t="s">
        <v>158</v>
      </c>
      <c r="C560" t="s">
        <v>163</v>
      </c>
      <c r="D560">
        <v>670</v>
      </c>
      <c r="E560">
        <v>162</v>
      </c>
      <c r="F560">
        <v>2</v>
      </c>
      <c r="G560">
        <v>11</v>
      </c>
      <c r="H560">
        <v>160</v>
      </c>
      <c r="I560">
        <v>49</v>
      </c>
      <c r="J560">
        <v>1456.1</v>
      </c>
      <c r="K560">
        <v>6141</v>
      </c>
      <c r="L560">
        <v>1311</v>
      </c>
      <c r="M560" s="1">
        <v>669</v>
      </c>
      <c r="N560">
        <f t="shared" si="16"/>
        <v>828</v>
      </c>
      <c r="O560">
        <v>293</v>
      </c>
      <c r="P560">
        <v>13</v>
      </c>
      <c r="Q560">
        <v>177</v>
      </c>
      <c r="R560">
        <v>611</v>
      </c>
      <c r="S560">
        <v>494</v>
      </c>
      <c r="T560">
        <v>9</v>
      </c>
      <c r="U560">
        <f t="shared" si="17"/>
        <v>4278</v>
      </c>
      <c r="V560">
        <v>1634</v>
      </c>
      <c r="W560">
        <v>17</v>
      </c>
      <c r="X560">
        <v>29</v>
      </c>
      <c r="Y560">
        <v>73</v>
      </c>
      <c r="Z560">
        <v>58</v>
      </c>
      <c r="AA560">
        <v>4</v>
      </c>
      <c r="AB560">
        <v>82</v>
      </c>
      <c r="AC560">
        <v>65</v>
      </c>
      <c r="AD560" s="1">
        <v>100</v>
      </c>
      <c r="AE560" s="1">
        <v>62</v>
      </c>
      <c r="AF560">
        <v>3.78</v>
      </c>
    </row>
    <row r="561" spans="1:32" x14ac:dyDescent="0.2">
      <c r="A561" s="52">
        <v>2018</v>
      </c>
      <c r="B561" t="s">
        <v>79</v>
      </c>
      <c r="C561" t="s">
        <v>163</v>
      </c>
      <c r="D561">
        <v>740</v>
      </c>
      <c r="E561">
        <v>162</v>
      </c>
      <c r="F561">
        <v>2</v>
      </c>
      <c r="G561">
        <v>14</v>
      </c>
      <c r="H561">
        <v>160</v>
      </c>
      <c r="I561">
        <v>44</v>
      </c>
      <c r="J561">
        <v>1465.2</v>
      </c>
      <c r="K561">
        <v>6099</v>
      </c>
      <c r="L561">
        <v>1303</v>
      </c>
      <c r="M561" s="1">
        <v>674</v>
      </c>
      <c r="N561">
        <f t="shared" si="16"/>
        <v>832</v>
      </c>
      <c r="O561">
        <v>268</v>
      </c>
      <c r="P561">
        <v>19</v>
      </c>
      <c r="Q561">
        <v>184</v>
      </c>
      <c r="R561">
        <v>621</v>
      </c>
      <c r="S561">
        <v>474</v>
      </c>
      <c r="T561">
        <v>19</v>
      </c>
      <c r="U561">
        <f t="shared" si="17"/>
        <v>4269</v>
      </c>
      <c r="V561">
        <v>1237</v>
      </c>
      <c r="W561">
        <v>23</v>
      </c>
      <c r="X561">
        <v>30</v>
      </c>
      <c r="Y561">
        <v>86</v>
      </c>
      <c r="Z561">
        <v>53</v>
      </c>
      <c r="AA561">
        <v>2</v>
      </c>
      <c r="AB561">
        <v>110</v>
      </c>
      <c r="AC561">
        <v>67</v>
      </c>
      <c r="AD561" s="1">
        <v>97</v>
      </c>
      <c r="AE561" s="1">
        <v>65</v>
      </c>
      <c r="AF561">
        <v>3.81</v>
      </c>
    </row>
    <row r="562" spans="1:32" x14ac:dyDescent="0.2">
      <c r="A562" s="52">
        <v>2018</v>
      </c>
      <c r="B562" t="s">
        <v>81</v>
      </c>
      <c r="C562" t="s">
        <v>38</v>
      </c>
      <c r="D562">
        <v>758</v>
      </c>
      <c r="E562">
        <v>162</v>
      </c>
      <c r="F562">
        <v>0</v>
      </c>
      <c r="G562">
        <v>12</v>
      </c>
      <c r="H562">
        <v>162</v>
      </c>
      <c r="I562">
        <v>44</v>
      </c>
      <c r="J562">
        <v>1445.2</v>
      </c>
      <c r="K562">
        <v>6138</v>
      </c>
      <c r="L562">
        <v>1366</v>
      </c>
      <c r="M562" s="1">
        <v>728</v>
      </c>
      <c r="N562">
        <f t="shared" si="16"/>
        <v>871</v>
      </c>
      <c r="O562">
        <v>292</v>
      </c>
      <c r="P562">
        <v>32</v>
      </c>
      <c r="Q562">
        <v>171</v>
      </c>
      <c r="R562">
        <v>665</v>
      </c>
      <c r="S562">
        <v>500</v>
      </c>
      <c r="T562">
        <v>35</v>
      </c>
      <c r="U562">
        <f t="shared" si="17"/>
        <v>4212</v>
      </c>
      <c r="V562">
        <v>1465</v>
      </c>
      <c r="W562">
        <v>39</v>
      </c>
      <c r="X562">
        <v>45</v>
      </c>
      <c r="Y562">
        <v>81</v>
      </c>
      <c r="Z562">
        <v>60</v>
      </c>
      <c r="AA562">
        <v>7</v>
      </c>
      <c r="AB562">
        <v>119</v>
      </c>
      <c r="AC562">
        <v>79</v>
      </c>
      <c r="AD562" s="1">
        <v>80</v>
      </c>
      <c r="AE562" s="1">
        <v>82</v>
      </c>
      <c r="AF562">
        <v>4.1399999999999997</v>
      </c>
    </row>
    <row r="563" spans="1:32" x14ac:dyDescent="0.2">
      <c r="A563" s="52">
        <v>2018</v>
      </c>
      <c r="B563" t="s">
        <v>83</v>
      </c>
      <c r="C563" t="s">
        <v>38</v>
      </c>
      <c r="D563">
        <v>641</v>
      </c>
      <c r="E563">
        <v>161</v>
      </c>
      <c r="F563">
        <v>3</v>
      </c>
      <c r="G563">
        <v>16</v>
      </c>
      <c r="H563">
        <v>158</v>
      </c>
      <c r="I563">
        <v>40</v>
      </c>
      <c r="J563">
        <v>1434</v>
      </c>
      <c r="K563">
        <v>6144</v>
      </c>
      <c r="L563">
        <v>1380</v>
      </c>
      <c r="M563" s="1">
        <v>693</v>
      </c>
      <c r="N563">
        <f t="shared" si="16"/>
        <v>893</v>
      </c>
      <c r="O563">
        <v>287</v>
      </c>
      <c r="P563">
        <v>26</v>
      </c>
      <c r="Q563">
        <v>174</v>
      </c>
      <c r="R563">
        <v>637</v>
      </c>
      <c r="S563">
        <v>497</v>
      </c>
      <c r="T563">
        <v>43</v>
      </c>
      <c r="U563">
        <f t="shared" si="17"/>
        <v>4198</v>
      </c>
      <c r="V563">
        <v>1336</v>
      </c>
      <c r="W563">
        <v>37</v>
      </c>
      <c r="X563">
        <v>35</v>
      </c>
      <c r="Y563">
        <v>95</v>
      </c>
      <c r="Z563">
        <v>69</v>
      </c>
      <c r="AA563">
        <v>6</v>
      </c>
      <c r="AB563">
        <v>98</v>
      </c>
      <c r="AC563">
        <v>77</v>
      </c>
      <c r="AD563" s="1">
        <v>82</v>
      </c>
      <c r="AE563" s="1">
        <v>79</v>
      </c>
      <c r="AF563">
        <v>4</v>
      </c>
    </row>
    <row r="564" spans="1:32" x14ac:dyDescent="0.2">
      <c r="A564" s="52">
        <v>2018</v>
      </c>
      <c r="B564" t="s">
        <v>161</v>
      </c>
      <c r="C564" t="s">
        <v>38</v>
      </c>
      <c r="D564">
        <v>697</v>
      </c>
      <c r="E564">
        <v>162</v>
      </c>
      <c r="F564">
        <v>0</v>
      </c>
      <c r="G564">
        <v>5</v>
      </c>
      <c r="H564">
        <v>162</v>
      </c>
      <c r="I564">
        <v>36</v>
      </c>
      <c r="J564">
        <v>1457</v>
      </c>
      <c r="K564">
        <v>6254</v>
      </c>
      <c r="L564">
        <v>1430</v>
      </c>
      <c r="M564" s="1">
        <v>767</v>
      </c>
      <c r="N564">
        <f t="shared" si="16"/>
        <v>930</v>
      </c>
      <c r="O564">
        <v>283</v>
      </c>
      <c r="P564">
        <v>32</v>
      </c>
      <c r="Q564">
        <v>185</v>
      </c>
      <c r="R564">
        <v>713</v>
      </c>
      <c r="S564">
        <v>519</v>
      </c>
      <c r="T564">
        <v>28</v>
      </c>
      <c r="U564">
        <f t="shared" si="17"/>
        <v>4237</v>
      </c>
      <c r="V564">
        <v>1399</v>
      </c>
      <c r="W564">
        <v>36</v>
      </c>
      <c r="X564">
        <v>39</v>
      </c>
      <c r="Y564">
        <v>52</v>
      </c>
      <c r="Z564">
        <v>68</v>
      </c>
      <c r="AA564">
        <v>4</v>
      </c>
      <c r="AB564">
        <v>114</v>
      </c>
      <c r="AC564">
        <v>55</v>
      </c>
      <c r="AD564" s="1">
        <v>66</v>
      </c>
      <c r="AE564" s="1">
        <v>96</v>
      </c>
      <c r="AF564">
        <v>4.4000000000000004</v>
      </c>
    </row>
    <row r="565" spans="1:32" x14ac:dyDescent="0.2">
      <c r="A565" s="52">
        <v>2018</v>
      </c>
      <c r="B565" t="s">
        <v>87</v>
      </c>
      <c r="C565" t="s">
        <v>163</v>
      </c>
      <c r="D565">
        <v>699</v>
      </c>
      <c r="E565">
        <v>162</v>
      </c>
      <c r="F565">
        <v>3</v>
      </c>
      <c r="G565">
        <v>12</v>
      </c>
      <c r="H565">
        <v>159</v>
      </c>
      <c r="I565">
        <v>60</v>
      </c>
      <c r="J565">
        <v>1448.2</v>
      </c>
      <c r="K565">
        <v>6073</v>
      </c>
      <c r="L565">
        <v>1396</v>
      </c>
      <c r="M565" s="1">
        <v>711</v>
      </c>
      <c r="N565">
        <f t="shared" si="16"/>
        <v>889</v>
      </c>
      <c r="O565">
        <v>289</v>
      </c>
      <c r="P565">
        <v>23</v>
      </c>
      <c r="Q565">
        <v>195</v>
      </c>
      <c r="R565">
        <v>664</v>
      </c>
      <c r="S565">
        <v>400</v>
      </c>
      <c r="T565">
        <v>21</v>
      </c>
      <c r="U565">
        <f t="shared" si="17"/>
        <v>4205</v>
      </c>
      <c r="V565">
        <v>1328</v>
      </c>
      <c r="W565">
        <v>12</v>
      </c>
      <c r="X565">
        <v>42</v>
      </c>
      <c r="Y565">
        <v>57</v>
      </c>
      <c r="Z565">
        <v>72</v>
      </c>
      <c r="AA565">
        <v>3</v>
      </c>
      <c r="AB565">
        <v>131</v>
      </c>
      <c r="AC565">
        <v>66</v>
      </c>
      <c r="AD565" s="1">
        <v>89</v>
      </c>
      <c r="AE565" s="1">
        <v>73</v>
      </c>
      <c r="AF565">
        <v>4.13</v>
      </c>
    </row>
    <row r="566" spans="1:32" x14ac:dyDescent="0.2">
      <c r="A566" s="52">
        <v>2018</v>
      </c>
      <c r="B566" t="s">
        <v>21</v>
      </c>
      <c r="C566" t="s">
        <v>38</v>
      </c>
      <c r="D566">
        <v>711</v>
      </c>
      <c r="E566">
        <v>162</v>
      </c>
      <c r="F566">
        <v>1</v>
      </c>
      <c r="G566">
        <v>15</v>
      </c>
      <c r="H566">
        <v>161</v>
      </c>
      <c r="I566">
        <v>36</v>
      </c>
      <c r="J566">
        <v>1461.1</v>
      </c>
      <c r="K566">
        <v>6191</v>
      </c>
      <c r="L566">
        <v>1387</v>
      </c>
      <c r="M566" s="1">
        <v>699</v>
      </c>
      <c r="N566">
        <f t="shared" si="16"/>
        <v>898</v>
      </c>
      <c r="O566">
        <v>291</v>
      </c>
      <c r="P566">
        <v>42</v>
      </c>
      <c r="Q566">
        <v>156</v>
      </c>
      <c r="R566">
        <v>641</v>
      </c>
      <c r="S566">
        <v>524</v>
      </c>
      <c r="T566">
        <v>37</v>
      </c>
      <c r="U566">
        <f t="shared" si="17"/>
        <v>4235</v>
      </c>
      <c r="V566">
        <v>1269</v>
      </c>
      <c r="W566">
        <v>49</v>
      </c>
      <c r="X566">
        <v>48</v>
      </c>
      <c r="Y566">
        <v>44</v>
      </c>
      <c r="Z566">
        <v>45</v>
      </c>
      <c r="AA566">
        <v>4</v>
      </c>
      <c r="AB566">
        <v>139</v>
      </c>
      <c r="AC566">
        <v>69</v>
      </c>
      <c r="AD566" s="1">
        <v>73</v>
      </c>
      <c r="AE566" s="1">
        <v>89</v>
      </c>
      <c r="AF566">
        <v>3.95</v>
      </c>
    </row>
    <row r="567" spans="1:32" x14ac:dyDescent="0.2">
      <c r="A567" s="52">
        <v>2018</v>
      </c>
      <c r="B567" t="s">
        <v>156</v>
      </c>
      <c r="C567" t="s">
        <v>38</v>
      </c>
      <c r="D567">
        <v>727</v>
      </c>
      <c r="E567">
        <v>162</v>
      </c>
      <c r="F567">
        <v>1</v>
      </c>
      <c r="G567">
        <v>8</v>
      </c>
      <c r="H567">
        <v>161</v>
      </c>
      <c r="I567">
        <v>43</v>
      </c>
      <c r="J567">
        <v>1455.1</v>
      </c>
      <c r="K567">
        <v>6271</v>
      </c>
      <c r="L567">
        <v>1354</v>
      </c>
      <c r="M567" s="1">
        <v>691</v>
      </c>
      <c r="N567">
        <f t="shared" si="16"/>
        <v>942</v>
      </c>
      <c r="O567">
        <v>242</v>
      </c>
      <c r="P567">
        <v>26</v>
      </c>
      <c r="Q567">
        <v>144</v>
      </c>
      <c r="R567">
        <v>622</v>
      </c>
      <c r="S567">
        <v>593</v>
      </c>
      <c r="T567">
        <v>49</v>
      </c>
      <c r="U567">
        <f t="shared" si="17"/>
        <v>4257</v>
      </c>
      <c r="V567">
        <v>1337</v>
      </c>
      <c r="W567">
        <v>55</v>
      </c>
      <c r="X567">
        <v>50</v>
      </c>
      <c r="Y567">
        <v>63</v>
      </c>
      <c r="Z567">
        <v>67</v>
      </c>
      <c r="AA567">
        <v>4</v>
      </c>
      <c r="AB567">
        <v>129</v>
      </c>
      <c r="AC567">
        <v>84</v>
      </c>
      <c r="AD567" s="1">
        <v>88</v>
      </c>
      <c r="AE567" s="1">
        <v>74</v>
      </c>
      <c r="AF567">
        <v>3.85</v>
      </c>
    </row>
    <row r="568" spans="1:32" x14ac:dyDescent="0.2">
      <c r="A568" s="52">
        <v>2018</v>
      </c>
      <c r="B568" t="s">
        <v>165</v>
      </c>
      <c r="C568" t="s">
        <v>163</v>
      </c>
      <c r="D568">
        <v>715</v>
      </c>
      <c r="E568">
        <v>162</v>
      </c>
      <c r="F568">
        <v>0</v>
      </c>
      <c r="G568">
        <v>14</v>
      </c>
      <c r="H568">
        <v>162</v>
      </c>
      <c r="I568">
        <v>52</v>
      </c>
      <c r="J568">
        <v>1448.1</v>
      </c>
      <c r="K568">
        <v>5992</v>
      </c>
      <c r="L568">
        <v>1236</v>
      </c>
      <c r="M568" s="1">
        <v>646</v>
      </c>
      <c r="N568">
        <f t="shared" si="16"/>
        <v>790</v>
      </c>
      <c r="O568">
        <v>262</v>
      </c>
      <c r="P568">
        <v>20</v>
      </c>
      <c r="Q568">
        <v>164</v>
      </c>
      <c r="R568">
        <v>602</v>
      </c>
      <c r="S568">
        <v>501</v>
      </c>
      <c r="T568">
        <v>34</v>
      </c>
      <c r="U568">
        <f t="shared" si="17"/>
        <v>4202</v>
      </c>
      <c r="V568">
        <v>1421</v>
      </c>
      <c r="W568">
        <v>16</v>
      </c>
      <c r="X568">
        <v>39</v>
      </c>
      <c r="Y568">
        <v>55</v>
      </c>
      <c r="Z568">
        <v>53</v>
      </c>
      <c r="AA568">
        <v>6</v>
      </c>
      <c r="AB568">
        <v>121</v>
      </c>
      <c r="AC568">
        <v>58</v>
      </c>
      <c r="AD568" s="1">
        <v>90</v>
      </c>
      <c r="AE568" s="1">
        <v>72</v>
      </c>
      <c r="AF568">
        <v>3.74</v>
      </c>
    </row>
    <row r="569" spans="1:32" x14ac:dyDescent="0.2">
      <c r="A569" s="52">
        <v>2018</v>
      </c>
      <c r="B569" t="s">
        <v>95</v>
      </c>
      <c r="C569" t="s">
        <v>163</v>
      </c>
      <c r="D569">
        <v>668</v>
      </c>
      <c r="E569">
        <v>162</v>
      </c>
      <c r="F569">
        <v>1</v>
      </c>
      <c r="G569">
        <v>5</v>
      </c>
      <c r="H569">
        <v>161</v>
      </c>
      <c r="I569">
        <v>42</v>
      </c>
      <c r="J569">
        <v>1431</v>
      </c>
      <c r="K569">
        <v>6231</v>
      </c>
      <c r="L569">
        <v>1516</v>
      </c>
      <c r="M569" s="1">
        <v>848</v>
      </c>
      <c r="N569">
        <f t="shared" si="16"/>
        <v>925</v>
      </c>
      <c r="O569">
        <v>325</v>
      </c>
      <c r="P569">
        <v>44</v>
      </c>
      <c r="Q569">
        <v>222</v>
      </c>
      <c r="R569">
        <v>783</v>
      </c>
      <c r="S569">
        <v>491</v>
      </c>
      <c r="T569">
        <v>23</v>
      </c>
      <c r="U569">
        <f t="shared" si="17"/>
        <v>4152</v>
      </c>
      <c r="V569">
        <v>1121</v>
      </c>
      <c r="W569">
        <v>20</v>
      </c>
      <c r="X569">
        <v>50</v>
      </c>
      <c r="Y569">
        <v>57</v>
      </c>
      <c r="Z569">
        <v>72</v>
      </c>
      <c r="AA569">
        <v>8</v>
      </c>
      <c r="AB569">
        <v>146</v>
      </c>
      <c r="AC569">
        <v>84</v>
      </c>
      <c r="AD569" s="1">
        <v>67</v>
      </c>
      <c r="AE569" s="1">
        <v>95</v>
      </c>
      <c r="AF569">
        <v>4.92</v>
      </c>
    </row>
    <row r="570" spans="1:32" x14ac:dyDescent="0.2">
      <c r="A570" s="52">
        <v>2018</v>
      </c>
      <c r="B570" t="s">
        <v>97</v>
      </c>
      <c r="C570" t="s">
        <v>163</v>
      </c>
      <c r="D570">
        <v>752</v>
      </c>
      <c r="E570">
        <v>162</v>
      </c>
      <c r="F570">
        <v>0</v>
      </c>
      <c r="G570">
        <v>3</v>
      </c>
      <c r="H570">
        <v>162</v>
      </c>
      <c r="I570">
        <v>39</v>
      </c>
      <c r="J570">
        <v>1433.2</v>
      </c>
      <c r="K570">
        <v>6265</v>
      </c>
      <c r="L570">
        <v>1476</v>
      </c>
      <c r="M570" s="1">
        <v>832</v>
      </c>
      <c r="N570">
        <f t="shared" si="16"/>
        <v>911</v>
      </c>
      <c r="O570">
        <v>325</v>
      </c>
      <c r="P570">
        <v>32</v>
      </c>
      <c r="Q570">
        <v>208</v>
      </c>
      <c r="R570">
        <v>772</v>
      </c>
      <c r="S570">
        <v>551</v>
      </c>
      <c r="T570">
        <v>19</v>
      </c>
      <c r="U570">
        <f t="shared" si="17"/>
        <v>4171</v>
      </c>
      <c r="V570">
        <v>1298</v>
      </c>
      <c r="W570">
        <v>18</v>
      </c>
      <c r="X570">
        <v>48</v>
      </c>
      <c r="Y570">
        <v>71</v>
      </c>
      <c r="Z570">
        <v>67</v>
      </c>
      <c r="AA570">
        <v>5</v>
      </c>
      <c r="AB570">
        <v>117</v>
      </c>
      <c r="AC570">
        <v>68</v>
      </c>
      <c r="AD570" s="1">
        <v>73</v>
      </c>
      <c r="AE570" s="1">
        <v>89</v>
      </c>
      <c r="AF570">
        <v>4.8499999999999996</v>
      </c>
    </row>
    <row r="571" spans="1:32" x14ac:dyDescent="0.2">
      <c r="A571" s="52">
        <v>2018</v>
      </c>
      <c r="B571" t="s">
        <v>101</v>
      </c>
      <c r="C571" t="s">
        <v>38</v>
      </c>
      <c r="D571">
        <v>724</v>
      </c>
      <c r="E571">
        <v>162</v>
      </c>
      <c r="F571">
        <v>2</v>
      </c>
      <c r="G571">
        <v>7</v>
      </c>
      <c r="H571">
        <v>160</v>
      </c>
      <c r="I571">
        <v>40</v>
      </c>
      <c r="J571">
        <v>1446</v>
      </c>
      <c r="K571">
        <v>6087</v>
      </c>
      <c r="L571">
        <v>1320</v>
      </c>
      <c r="M571" s="1">
        <v>682</v>
      </c>
      <c r="N571">
        <f t="shared" si="16"/>
        <v>823</v>
      </c>
      <c r="O571">
        <v>273</v>
      </c>
      <c r="P571">
        <v>26</v>
      </c>
      <c r="Q571">
        <v>198</v>
      </c>
      <c r="R571">
        <v>649</v>
      </c>
      <c r="S571">
        <v>487</v>
      </c>
      <c r="T571">
        <v>37</v>
      </c>
      <c r="U571">
        <f t="shared" si="17"/>
        <v>4204</v>
      </c>
      <c r="V571">
        <v>1417</v>
      </c>
      <c r="W571">
        <v>29</v>
      </c>
      <c r="X571">
        <v>41</v>
      </c>
      <c r="Y571">
        <v>42</v>
      </c>
      <c r="Z571">
        <v>76</v>
      </c>
      <c r="AA571">
        <v>6</v>
      </c>
      <c r="AB571">
        <v>98</v>
      </c>
      <c r="AC571">
        <v>41</v>
      </c>
      <c r="AD571" s="1">
        <v>82</v>
      </c>
      <c r="AE571" s="1">
        <v>80</v>
      </c>
      <c r="AF571">
        <v>4.04</v>
      </c>
    </row>
  </sheetData>
  <sortState xmlns:xlrd2="http://schemas.microsoft.com/office/spreadsheetml/2017/richdata2" ref="A543:AH571">
    <sortCondition ref="B542:B57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3FE1C-42AC-407E-A19C-2D75B0AA789A}">
  <sheetPr codeName="Sheet7"/>
  <dimension ref="A1:BF22"/>
  <sheetViews>
    <sheetView workbookViewId="0">
      <selection activeCell="H35" sqref="H35"/>
    </sheetView>
  </sheetViews>
  <sheetFormatPr baseColWidth="10" defaultColWidth="8.83203125" defaultRowHeight="16" x14ac:dyDescent="0.2"/>
  <sheetData>
    <row r="1" spans="1:58" s="55" customFormat="1" ht="19" x14ac:dyDescent="0.25">
      <c r="A1" s="60" t="s">
        <v>106</v>
      </c>
      <c r="B1" s="60" t="s">
        <v>11</v>
      </c>
      <c r="C1" s="60" t="s">
        <v>10</v>
      </c>
      <c r="D1" s="60" t="s">
        <v>12</v>
      </c>
      <c r="E1" s="60" t="s">
        <v>136</v>
      </c>
      <c r="F1" s="60" t="s">
        <v>13</v>
      </c>
      <c r="G1" s="60" t="s">
        <v>14</v>
      </c>
      <c r="H1" s="60" t="s">
        <v>15</v>
      </c>
      <c r="I1" s="60" t="s">
        <v>16</v>
      </c>
      <c r="J1" s="60" t="s">
        <v>20</v>
      </c>
      <c r="K1" s="60" t="s">
        <v>145</v>
      </c>
      <c r="P1" s="54"/>
      <c r="R1" s="54"/>
      <c r="T1" s="54"/>
      <c r="U1" s="54"/>
      <c r="V1" s="54"/>
      <c r="W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</row>
    <row r="2" spans="1:58" x14ac:dyDescent="0.2">
      <c r="A2" s="51">
        <v>2000</v>
      </c>
      <c r="B2" s="56">
        <f>SUM('Batting Data'!E$2:E$31)/30</f>
        <v>5576.333333333333</v>
      </c>
      <c r="C2" s="56">
        <f>SUM('Batting Data'!F$2:F$31)/30</f>
        <v>832.36666666666667</v>
      </c>
      <c r="D2" s="56">
        <f>SUM('Batting Data'!G$2:G$31)/30</f>
        <v>1508.2</v>
      </c>
      <c r="E2" s="56">
        <f>SUM('Batting Data'!H$2:H$31)/30</f>
        <v>990</v>
      </c>
      <c r="F2" s="56">
        <f>SUM('Batting Data'!I$2:I$31)/30</f>
        <v>296.7</v>
      </c>
      <c r="G2" s="56">
        <f>SUM('Batting Data'!J$2:J$31)/30</f>
        <v>31.733333333333334</v>
      </c>
      <c r="H2" s="56">
        <f>SUM('Batting Data'!K$2:K$31)/30</f>
        <v>189.76666666666668</v>
      </c>
      <c r="I2" s="56">
        <f>SUM('Batting Data'!L$2:L$31)/30</f>
        <v>607.9</v>
      </c>
      <c r="J2" s="56">
        <f>SUM('Batting Data'!M$2:M$31)/30</f>
        <v>52.43333333333333</v>
      </c>
      <c r="K2" s="56">
        <f>SUM('Batting Data'!N$2:N$31)/30</f>
        <v>3407.8</v>
      </c>
    </row>
    <row r="3" spans="1:58" x14ac:dyDescent="0.2">
      <c r="A3" s="51">
        <v>2001</v>
      </c>
      <c r="B3" s="56">
        <f>SUM('Batting Data'!E32:E61)/30</f>
        <v>5541.1333333333332</v>
      </c>
      <c r="C3" s="56">
        <f>SUM('Batting Data'!F32:F61)/30</f>
        <v>773.3</v>
      </c>
      <c r="D3" s="56">
        <f>SUM('Batting Data'!G32:G61)/30</f>
        <v>1462.6333333333334</v>
      </c>
      <c r="E3" s="56">
        <f>SUM('Batting Data'!H32:H61)/30</f>
        <v>956</v>
      </c>
      <c r="F3" s="56">
        <f>SUM('Batting Data'!I32:I61)/30</f>
        <v>293.76666666666665</v>
      </c>
      <c r="G3" s="56">
        <f>SUM('Batting Data'!J32:J61)/30</f>
        <v>30.933333333333334</v>
      </c>
      <c r="H3" s="56">
        <f>SUM('Batting Data'!K32:K61)/30</f>
        <v>181.93333333333334</v>
      </c>
      <c r="I3" s="56">
        <f>SUM('Batting Data'!L32:L61)/30</f>
        <v>526.86666666666667</v>
      </c>
      <c r="J3" s="56">
        <f>SUM('Batting Data'!M32:M61)/30</f>
        <v>63</v>
      </c>
      <c r="K3" s="56">
        <f>SUM('Batting Data'!N32:N61)/30</f>
        <v>3488.6333333333332</v>
      </c>
    </row>
    <row r="4" spans="1:58" x14ac:dyDescent="0.2">
      <c r="A4" s="51">
        <v>2002</v>
      </c>
      <c r="B4" s="56">
        <f>SUM('Batting Data'!E$62:E$91)/30</f>
        <v>5519.4</v>
      </c>
      <c r="C4" s="56">
        <f>SUM('Batting Data'!F$62:F$91)/30</f>
        <v>746.93333333333328</v>
      </c>
      <c r="D4" s="56">
        <f>SUM('Batting Data'!G$62:G$91)/30</f>
        <v>1442.4</v>
      </c>
      <c r="E4" s="56">
        <f>SUM('Batting Data'!H$62:H$91)/30</f>
        <v>953.06666666666672</v>
      </c>
      <c r="F4" s="56">
        <f>SUM('Batting Data'!I$62:I$91)/30</f>
        <v>290</v>
      </c>
      <c r="G4" s="56">
        <f>SUM('Batting Data'!J$62:J$91)/30</f>
        <v>30.7</v>
      </c>
      <c r="H4" s="56">
        <f>SUM('Batting Data'!K$62:K$91)/30</f>
        <v>168.63333333333333</v>
      </c>
      <c r="I4" s="56">
        <f>SUM('Batting Data'!L$62:L$91)/30</f>
        <v>541.5333333333333</v>
      </c>
      <c r="J4" s="56">
        <f>SUM('Batting Data'!M$62:M$91)/30</f>
        <v>58.2</v>
      </c>
      <c r="K4" s="56">
        <f>SUM('Batting Data'!N$62:N$91)/30</f>
        <v>3477.2666666666669</v>
      </c>
    </row>
    <row r="5" spans="1:58" x14ac:dyDescent="0.2">
      <c r="A5" s="51">
        <v>2003</v>
      </c>
      <c r="B5" s="56">
        <f>SUM('Batting Data'!E$92:E$121)/30</f>
        <v>5557.9</v>
      </c>
      <c r="C5" s="56">
        <f>SUM('Batting Data'!F$92:F$121)/30</f>
        <v>765.93333333333328</v>
      </c>
      <c r="D5" s="56">
        <f>SUM('Batting Data'!G$92:G$121)/30</f>
        <v>1468.5666666666666</v>
      </c>
      <c r="E5" s="56">
        <f>SUM('Batting Data'!H$92:H$121)/30</f>
        <v>969.63333333333333</v>
      </c>
      <c r="F5" s="56">
        <f>SUM('Batting Data'!I$92:I$121)/30</f>
        <v>294.23333333333335</v>
      </c>
      <c r="G5" s="56">
        <f>SUM('Batting Data'!J$92:J$121)/30</f>
        <v>31.133333333333333</v>
      </c>
      <c r="H5" s="56">
        <f>SUM('Batting Data'!K$92:K$121)/30</f>
        <v>173.56666666666666</v>
      </c>
      <c r="I5" s="56">
        <f>SUM('Batting Data'!L$92:L$121)/30</f>
        <v>529.63333333333333</v>
      </c>
      <c r="J5" s="56">
        <f>SUM('Batting Data'!M$92:M$121)/30</f>
        <v>61.633333333333333</v>
      </c>
      <c r="K5" s="56">
        <f>SUM('Batting Data'!N$92:N$121)/30</f>
        <v>3498.0666666666666</v>
      </c>
    </row>
    <row r="6" spans="1:58" x14ac:dyDescent="0.2">
      <c r="A6" s="51">
        <v>2004</v>
      </c>
      <c r="B6" s="56">
        <f>SUM('Batting Data'!E$122:E$151)/30</f>
        <v>5578.4333333333334</v>
      </c>
      <c r="C6" s="56">
        <f>SUM('Batting Data'!F$122:F$151)/30</f>
        <v>779.2</v>
      </c>
      <c r="D6" s="56">
        <f>SUM('Batting Data'!G$122:G$151)/30</f>
        <v>1484.0666666666666</v>
      </c>
      <c r="E6" s="56">
        <f>SUM('Batting Data'!H$122:H$151)/30</f>
        <v>975.13333333333333</v>
      </c>
      <c r="F6" s="56">
        <f>SUM('Batting Data'!I$122:I$151)/30</f>
        <v>297.3</v>
      </c>
      <c r="G6" s="56">
        <f>SUM('Batting Data'!J$122:J$151)/30</f>
        <v>29.933333333333334</v>
      </c>
      <c r="H6" s="56">
        <f>SUM('Batting Data'!K$122:K$151)/30</f>
        <v>181.7</v>
      </c>
      <c r="I6" s="56">
        <f>SUM('Batting Data'!L$122:L$151)/30</f>
        <v>540.73333333333335</v>
      </c>
      <c r="J6" s="56">
        <f>SUM('Batting Data'!M$122:M$151)/30</f>
        <v>61.666666666666664</v>
      </c>
      <c r="K6" s="56">
        <f>SUM('Batting Data'!N$122:N$151)/30</f>
        <v>3491.9666666666667</v>
      </c>
    </row>
    <row r="7" spans="1:58" x14ac:dyDescent="0.2">
      <c r="A7" s="51">
        <v>2005</v>
      </c>
      <c r="B7" s="56">
        <f>SUM('Batting Data'!E$152:E$181)/30</f>
        <v>5544.5</v>
      </c>
      <c r="C7" s="56">
        <f>SUM('Batting Data'!F$152:F$181)/30</f>
        <v>744.16666666666663</v>
      </c>
      <c r="D7" s="56">
        <f>SUM('Batting Data'!G$152:G$181)/30</f>
        <v>1466.3666666666666</v>
      </c>
      <c r="E7" s="56">
        <f>SUM('Batting Data'!H$152:H$181)/30</f>
        <v>974.1</v>
      </c>
      <c r="F7" s="56">
        <f>SUM('Batting Data'!I$152:I$181)/30</f>
        <v>295.43333333333334</v>
      </c>
      <c r="G7" s="56">
        <f>SUM('Batting Data'!J$152:J$181)/30</f>
        <v>29.6</v>
      </c>
      <c r="H7" s="56">
        <f>SUM('Batting Data'!K$152:K$181)/30</f>
        <v>167.23333333333332</v>
      </c>
      <c r="I7" s="56">
        <f>SUM('Batting Data'!L$152:L$181)/30</f>
        <v>506.9</v>
      </c>
      <c r="J7" s="56">
        <f>SUM('Batting Data'!M$152:M$181)/30</f>
        <v>59.9</v>
      </c>
      <c r="K7" s="56">
        <f>SUM('Batting Data'!N$152:N$181)/30</f>
        <v>3511.3333333333335</v>
      </c>
    </row>
    <row r="8" spans="1:58" x14ac:dyDescent="0.2">
      <c r="A8" s="51">
        <v>2006</v>
      </c>
      <c r="B8" s="56">
        <f>SUM('Batting Data'!E$182:E$211)/30</f>
        <v>5578.0333333333338</v>
      </c>
      <c r="C8" s="56">
        <f>SUM('Batting Data'!F$182:F$211)/30</f>
        <v>786.63333333333333</v>
      </c>
      <c r="D8" s="56">
        <f>SUM('Batting Data'!G$182:G$211)/30</f>
        <v>1502.4333333333334</v>
      </c>
      <c r="E8" s="56">
        <f>SUM('Batting Data'!H$182:H$211)/30</f>
        <v>986.66666666666663</v>
      </c>
      <c r="F8" s="56">
        <f>SUM('Batting Data'!I$182:I$211)/30</f>
        <v>304.5</v>
      </c>
      <c r="G8" s="56">
        <f>SUM('Batting Data'!J$182:J$211)/30</f>
        <v>31.733333333333334</v>
      </c>
      <c r="H8" s="56">
        <f>SUM('Batting Data'!K$182:K$211)/30</f>
        <v>179.53333333333333</v>
      </c>
      <c r="I8" s="56">
        <f>SUM('Batting Data'!L$182:L$211)/30</f>
        <v>528.23333333333335</v>
      </c>
      <c r="J8" s="56">
        <f>SUM('Batting Data'!M$182:M$211)/30</f>
        <v>60.56666666666667</v>
      </c>
      <c r="K8" s="56">
        <f>SUM('Batting Data'!N$182:N$211)/30</f>
        <v>3486.8</v>
      </c>
    </row>
    <row r="9" spans="1:58" x14ac:dyDescent="0.2">
      <c r="A9" s="51">
        <v>2007</v>
      </c>
      <c r="B9" s="56">
        <f>SUM('Batting Data'!E$212:E$241)/30</f>
        <v>5592.7666666666664</v>
      </c>
      <c r="C9" s="56">
        <f>SUM('Batting Data'!F$212:F$241)/30</f>
        <v>777.4</v>
      </c>
      <c r="D9" s="56">
        <f>SUM('Batting Data'!G$212:G$241)/30</f>
        <v>1499.2333333333333</v>
      </c>
      <c r="E9" s="56">
        <f>SUM('Batting Data'!H$212:H$241)/30</f>
        <v>996.16666666666663</v>
      </c>
      <c r="F9" s="56">
        <f>SUM('Batting Data'!I$212:I$241)/30</f>
        <v>306.56666666666666</v>
      </c>
      <c r="G9" s="56">
        <f>SUM('Batting Data'!J$212:J$241)/30</f>
        <v>31.266666666666666</v>
      </c>
      <c r="H9" s="56">
        <f>SUM('Batting Data'!K$212:K$241)/30</f>
        <v>165.23333333333332</v>
      </c>
      <c r="I9" s="56">
        <f>SUM('Batting Data'!L$212:L$241)/30</f>
        <v>535.9666666666667</v>
      </c>
      <c r="J9" s="56">
        <f>SUM('Batting Data'!M$212:M$241)/30</f>
        <v>58.5</v>
      </c>
      <c r="K9" s="56">
        <f>SUM('Batting Data'!N$212:N$241)/30</f>
        <v>3499.0666666666666</v>
      </c>
    </row>
    <row r="10" spans="1:58" x14ac:dyDescent="0.2">
      <c r="A10" s="51">
        <v>2008</v>
      </c>
      <c r="B10" s="56">
        <f>SUM('Batting Data'!E$242:E$271)/30</f>
        <v>5557.1333333333332</v>
      </c>
      <c r="C10" s="56">
        <f>SUM('Batting Data'!F$242:F$271)/30</f>
        <v>752.83333333333337</v>
      </c>
      <c r="D10" s="56">
        <f>SUM('Batting Data'!G$242:G$271)/30</f>
        <v>1465.7333333333333</v>
      </c>
      <c r="E10" s="56">
        <f>SUM('Batting Data'!H$242:H$271)/30</f>
        <v>973.13333333333333</v>
      </c>
      <c r="F10" s="56">
        <f>SUM('Batting Data'!I$242:I$271)/30</f>
        <v>300.46666666666664</v>
      </c>
      <c r="G10" s="56">
        <f>SUM('Batting Data'!J$242:J$271)/30</f>
        <v>29.533333333333335</v>
      </c>
      <c r="H10" s="56">
        <f>SUM('Batting Data'!K$242:K$271)/30</f>
        <v>162.6</v>
      </c>
      <c r="I10" s="56">
        <f>SUM('Batting Data'!L$242:L$271)/30</f>
        <v>544.56666666666672</v>
      </c>
      <c r="J10" s="56">
        <f>SUM('Batting Data'!M$242:M$271)/30</f>
        <v>55.733333333333334</v>
      </c>
      <c r="K10" s="56">
        <f>SUM('Batting Data'!N$242:N$271)/30</f>
        <v>3491.1</v>
      </c>
    </row>
    <row r="11" spans="1:58" x14ac:dyDescent="0.2">
      <c r="A11" s="51">
        <v>2009</v>
      </c>
      <c r="B11" s="56">
        <f>SUM('Batting Data'!E$272:E$301)/30</f>
        <v>5528.3</v>
      </c>
      <c r="C11" s="56">
        <f>SUM('Batting Data'!F$272:F$301)/30</f>
        <v>747.3</v>
      </c>
      <c r="D11" s="56">
        <f>SUM('Batting Data'!G$272:G$301)/30</f>
        <v>1450.8</v>
      </c>
      <c r="E11" s="56">
        <f>SUM('Batting Data'!H$272:H$301)/30</f>
        <v>959.86666666666667</v>
      </c>
      <c r="F11" s="56">
        <f>SUM('Batting Data'!I$272:I$301)/30</f>
        <v>291.23333333333335</v>
      </c>
      <c r="G11" s="56">
        <f>SUM('Batting Data'!J$272:J$301)/30</f>
        <v>31.633333333333333</v>
      </c>
      <c r="H11" s="56">
        <f>SUM('Batting Data'!K$272:K$301)/30</f>
        <v>168.06666666666666</v>
      </c>
      <c r="I11" s="56">
        <f>SUM('Batting Data'!L$272:L$301)/30</f>
        <v>554</v>
      </c>
      <c r="J11" s="56">
        <f>SUM('Batting Data'!M$272:M$301)/30</f>
        <v>53</v>
      </c>
      <c r="K11" s="56">
        <f>SUM('Batting Data'!N$272:N$301)/30</f>
        <v>3470.5</v>
      </c>
    </row>
    <row r="12" spans="1:58" x14ac:dyDescent="0.2">
      <c r="A12" s="51">
        <v>2010</v>
      </c>
      <c r="B12" s="56">
        <f>SUM('Batting Data'!E$302:E$331)/30</f>
        <v>5511.7666666666664</v>
      </c>
      <c r="C12" s="56">
        <f>SUM('Batting Data'!F$302:F$331)/30</f>
        <v>710.26666666666665</v>
      </c>
      <c r="D12" s="56">
        <f>SUM('Batting Data'!G$302:G$331)/30</f>
        <v>1418.4666666666667</v>
      </c>
      <c r="E12" s="56">
        <f>SUM('Batting Data'!H$302:H$331)/30</f>
        <v>952.9666666666667</v>
      </c>
      <c r="F12" s="56">
        <f>SUM('Batting Data'!I$302:I$331)/30</f>
        <v>282.86666666666667</v>
      </c>
      <c r="G12" s="56">
        <f>SUM('Batting Data'!J$302:J$331)/30</f>
        <v>28.866666666666667</v>
      </c>
      <c r="H12" s="56">
        <f>SUM('Batting Data'!K$302:K$331)/30</f>
        <v>153.76666666666668</v>
      </c>
      <c r="I12" s="56">
        <f>SUM('Batting Data'!L$302:L$331)/30</f>
        <v>525.93333333333328</v>
      </c>
      <c r="J12" s="56">
        <f>SUM('Batting Data'!M$302:M$331)/30</f>
        <v>51.633333333333333</v>
      </c>
      <c r="K12" s="56">
        <f>SUM('Batting Data'!N$302:N$331)/30</f>
        <v>3515.7333333333331</v>
      </c>
    </row>
    <row r="13" spans="1:58" x14ac:dyDescent="0.2">
      <c r="A13" s="51">
        <v>2011</v>
      </c>
      <c r="B13" s="56">
        <f>SUM('Batting Data'!E$332:E$361)/30</f>
        <v>5523.5</v>
      </c>
      <c r="C13" s="56">
        <f>SUM('Batting Data'!F$332:F$361)/30</f>
        <v>693.6</v>
      </c>
      <c r="D13" s="56">
        <f>SUM('Batting Data'!G$332:G$361)/30</f>
        <v>1408.9</v>
      </c>
      <c r="E13" s="56">
        <f>SUM('Batting Data'!H$332:H$361)/30</f>
        <v>947.26666666666665</v>
      </c>
      <c r="F13" s="56">
        <f>SUM('Batting Data'!I$332:I$361)/30</f>
        <v>279.96666666666664</v>
      </c>
      <c r="G13" s="56">
        <f>SUM('Batting Data'!J$332:J$361)/30</f>
        <v>29.933333333333334</v>
      </c>
      <c r="H13" s="56">
        <f>SUM('Batting Data'!K$332:K$361)/30</f>
        <v>151.73333333333332</v>
      </c>
      <c r="I13" s="56">
        <f>SUM('Batting Data'!L$332:L$361)/30</f>
        <v>500.6</v>
      </c>
      <c r="J13" s="56">
        <f>SUM('Batting Data'!M$332:M$361)/30</f>
        <v>51.8</v>
      </c>
      <c r="K13" s="56">
        <f>SUM('Batting Data'!N$332:N$361)/30</f>
        <v>3562.2</v>
      </c>
    </row>
    <row r="14" spans="1:58" x14ac:dyDescent="0.2">
      <c r="A14" s="51">
        <v>2012</v>
      </c>
      <c r="B14" s="56">
        <f>SUM('Batting Data'!E$362:E$391)/30</f>
        <v>5508.3666666666668</v>
      </c>
      <c r="C14" s="56">
        <f>SUM('Batting Data'!F$362:F$391)/30</f>
        <v>700.56666666666672</v>
      </c>
      <c r="D14" s="56">
        <f>SUM('Batting Data'!G$362:G$391)/30</f>
        <v>1402.1</v>
      </c>
      <c r="E14" s="56">
        <f>SUM('Batting Data'!H$362:H$391)/30</f>
        <v>931.36666666666667</v>
      </c>
      <c r="F14" s="56">
        <f>SUM('Batting Data'!I$362:I$391)/30</f>
        <v>275.36666666666667</v>
      </c>
      <c r="G14" s="56">
        <f>SUM('Batting Data'!J$362:J$391)/30</f>
        <v>30.9</v>
      </c>
      <c r="H14" s="56">
        <f>SUM('Batting Data'!K$362:K$391)/30</f>
        <v>164.46666666666667</v>
      </c>
      <c r="I14" s="56">
        <f>SUM('Batting Data'!L$362:L$391)/30</f>
        <v>490.3</v>
      </c>
      <c r="J14" s="56">
        <f>SUM('Batting Data'!M$362:M$391)/30</f>
        <v>49.8</v>
      </c>
      <c r="K14" s="56">
        <f>SUM('Batting Data'!N$362:N$391)/30</f>
        <v>3566.1666666666665</v>
      </c>
    </row>
    <row r="15" spans="1:58" x14ac:dyDescent="0.2">
      <c r="A15" s="51">
        <v>2013</v>
      </c>
      <c r="B15" s="56">
        <f>SUM('Batting Data'!E$392:E$421)/30</f>
        <v>5535.666666666667</v>
      </c>
      <c r="C15" s="56">
        <f>SUM('Batting Data'!F$392:F$421)/30</f>
        <v>675.16666666666663</v>
      </c>
      <c r="D15" s="56">
        <f>SUM('Batting Data'!G$392:G$421)/30</f>
        <v>1403.1</v>
      </c>
      <c r="E15" s="56">
        <f>SUM('Batting Data'!H$392:H$421)/30</f>
        <v>947.93333333333328</v>
      </c>
      <c r="F15" s="56">
        <f>SUM('Batting Data'!I$392:I$421)/30</f>
        <v>274.06666666666666</v>
      </c>
      <c r="G15" s="56">
        <f>SUM('Batting Data'!J$392:J$421)/30</f>
        <v>25.733333333333334</v>
      </c>
      <c r="H15" s="56">
        <f>SUM('Batting Data'!K$392:K$421)/30</f>
        <v>155.36666666666667</v>
      </c>
      <c r="I15" s="56">
        <f>SUM('Batting Data'!L$392:L$421)/30</f>
        <v>488</v>
      </c>
      <c r="J15" s="56">
        <f>SUM('Batting Data'!M$392:M$421)/30</f>
        <v>51.2</v>
      </c>
      <c r="K15" s="56">
        <f>SUM('Batting Data'!N$392:N$421)/30</f>
        <v>3593.3666666666668</v>
      </c>
    </row>
    <row r="16" spans="1:58" x14ac:dyDescent="0.2">
      <c r="A16" s="51">
        <v>2014</v>
      </c>
      <c r="B16" s="56">
        <f>SUM('Batting Data'!E$422:E$451)/30</f>
        <v>5520.4666666666662</v>
      </c>
      <c r="C16" s="56">
        <f>SUM('Batting Data'!F$422:F$451)/30</f>
        <v>658.7</v>
      </c>
      <c r="D16" s="56">
        <f>SUM('Batting Data'!G$422:G$451)/30</f>
        <v>1386.5</v>
      </c>
      <c r="E16" s="56">
        <f>SUM('Batting Data'!H$422:H$451)/30</f>
        <v>947.43333333333328</v>
      </c>
      <c r="F16" s="56">
        <f>SUM('Batting Data'!I$422:I$451)/30</f>
        <v>271.23333333333335</v>
      </c>
      <c r="G16" s="56">
        <f>SUM('Batting Data'!J$422:J$451)/30</f>
        <v>28.3</v>
      </c>
      <c r="H16" s="56">
        <f>SUM('Batting Data'!K$422:K$451)/30</f>
        <v>139.53333333333333</v>
      </c>
      <c r="I16" s="56">
        <f>SUM('Batting Data'!L$422:L$451)/30</f>
        <v>467.33333333333331</v>
      </c>
      <c r="J16" s="56">
        <f>SUM('Batting Data'!M$422:M$451)/30</f>
        <v>55.06666666666667</v>
      </c>
      <c r="K16" s="56">
        <f>SUM('Batting Data'!N$422:N$451)/30</f>
        <v>3611.5666666666666</v>
      </c>
    </row>
    <row r="17" spans="1:11" x14ac:dyDescent="0.2">
      <c r="A17" s="51">
        <v>2015</v>
      </c>
      <c r="B17" s="56">
        <f>SUM('Batting Data'!E$452:E$481)/30</f>
        <v>5516.2666666666664</v>
      </c>
      <c r="C17" s="56">
        <f>SUM('Batting Data'!F$452:F$481)/30</f>
        <v>688.23333333333335</v>
      </c>
      <c r="D17" s="56">
        <f>SUM('Batting Data'!G$452:G$481)/30</f>
        <v>1403.5333333333333</v>
      </c>
      <c r="E17" s="56">
        <f>SUM('Batting Data'!H$452:H$481)/30</f>
        <v>933.86666666666667</v>
      </c>
      <c r="F17" s="56">
        <f>SUM('Batting Data'!I$452:I$481)/30</f>
        <v>274.73333333333335</v>
      </c>
      <c r="G17" s="56">
        <f>SUM('Batting Data'!J$452:J$481)/30</f>
        <v>31.3</v>
      </c>
      <c r="H17" s="56">
        <f>SUM('Batting Data'!K$452:K$481)/30</f>
        <v>163.63333333333333</v>
      </c>
      <c r="I17" s="56">
        <f>SUM('Batting Data'!L$452:L$481)/30</f>
        <v>469.1</v>
      </c>
      <c r="J17" s="56">
        <f>SUM('Batting Data'!M$452:M$481)/30</f>
        <v>53.4</v>
      </c>
      <c r="K17" s="56">
        <f>SUM('Batting Data'!N$452:N$481)/30</f>
        <v>3590.2333333333331</v>
      </c>
    </row>
    <row r="18" spans="1:11" x14ac:dyDescent="0.2">
      <c r="A18" s="51">
        <v>2016</v>
      </c>
      <c r="B18" s="56">
        <f>SUM('Batting Data'!E$482:E$511)/30</f>
        <v>5518.7</v>
      </c>
      <c r="C18" s="56">
        <f>SUM('Batting Data'!F$482:F$511)/30</f>
        <v>724.8</v>
      </c>
      <c r="D18" s="56">
        <f>SUM('Batting Data'!G$482:G$511)/30</f>
        <v>1409.2</v>
      </c>
      <c r="E18" s="56">
        <f>SUM('Batting Data'!H$482:H$511)/30</f>
        <v>917.9666666666667</v>
      </c>
      <c r="F18" s="56">
        <f>SUM('Batting Data'!I$482:I$511)/30</f>
        <v>275.13333333333333</v>
      </c>
      <c r="G18" s="56">
        <f>SUM('Batting Data'!J$482:J$511)/30</f>
        <v>29.1</v>
      </c>
      <c r="H18" s="56">
        <f>SUM('Batting Data'!K$482:K$511)/30</f>
        <v>187</v>
      </c>
      <c r="I18" s="56">
        <f>SUM('Batting Data'!L$482:L$511)/30</f>
        <v>502.93333333333334</v>
      </c>
      <c r="J18" s="56">
        <f>SUM('Batting Data'!M$482:M$511)/30</f>
        <v>55.033333333333331</v>
      </c>
      <c r="K18" s="56">
        <f>SUM('Batting Data'!N$482:N$511)/30</f>
        <v>3551.5333333333333</v>
      </c>
    </row>
    <row r="19" spans="1:11" x14ac:dyDescent="0.2">
      <c r="A19" s="51">
        <v>2017</v>
      </c>
      <c r="B19" s="56">
        <f>SUM('Batting Data'!E$512:E$541)/30</f>
        <v>5518.9</v>
      </c>
      <c r="C19" s="56">
        <f>SUM('Batting Data'!F$512:F$541)/30</f>
        <v>752.73333333333335</v>
      </c>
      <c r="D19" s="56">
        <f>SUM('Batting Data'!G$512:G$541)/30</f>
        <v>1407.1666666666667</v>
      </c>
      <c r="E19" s="56">
        <f>SUM('Batting Data'!H$512:H$541)/30</f>
        <v>897.26666666666665</v>
      </c>
      <c r="F19" s="56">
        <f>SUM('Batting Data'!I$512:I$541)/30</f>
        <v>279.89999999999998</v>
      </c>
      <c r="G19" s="56">
        <f>SUM('Batting Data'!J$512:J$541)/30</f>
        <v>26.5</v>
      </c>
      <c r="H19" s="56">
        <f>SUM('Batting Data'!K$512:K$541)/30</f>
        <v>203.5</v>
      </c>
      <c r="I19" s="56">
        <f>SUM('Batting Data'!L$512:L$541)/30</f>
        <v>527.63333333333333</v>
      </c>
      <c r="J19" s="56">
        <f>SUM('Batting Data'!M$512:M$541)/30</f>
        <v>58.766666666666666</v>
      </c>
      <c r="K19" s="56">
        <f>SUM('Batting Data'!N$512:N$541)/30</f>
        <v>3525.3333333333335</v>
      </c>
    </row>
    <row r="20" spans="1:11" ht="17" thickBot="1" x14ac:dyDescent="0.25">
      <c r="A20" s="58">
        <v>2018</v>
      </c>
      <c r="B20" s="59">
        <f>SUM('Batting Data'!E$542:E$571)/30</f>
        <v>5514.4</v>
      </c>
      <c r="C20" s="59">
        <f>SUM('Batting Data'!F$542:F$571)/30</f>
        <v>721</v>
      </c>
      <c r="D20" s="59">
        <f>SUM('Batting Data'!G$542:G$571)/30</f>
        <v>1367.3333333333333</v>
      </c>
      <c r="E20" s="59">
        <f>SUM('Batting Data'!H$542:H$571)/30</f>
        <v>877.43333333333328</v>
      </c>
      <c r="F20" s="59">
        <f>SUM('Batting Data'!I$542:I$571)/30</f>
        <v>275.5</v>
      </c>
      <c r="G20" s="59">
        <f>SUM('Batting Data'!J$542:J$571)/30</f>
        <v>28.233333333333334</v>
      </c>
      <c r="H20" s="59">
        <f>SUM('Batting Data'!K$542:K$571)/30</f>
        <v>186.16666666666666</v>
      </c>
      <c r="I20" s="59">
        <f>SUM('Batting Data'!L$542:L$571)/30</f>
        <v>522.86666666666667</v>
      </c>
      <c r="J20" s="59">
        <f>SUM('Batting Data'!M$542:M$571)/30</f>
        <v>64.066666666666663</v>
      </c>
      <c r="K20" s="59">
        <f>SUM('Batting Data'!N$542:N$571)/30</f>
        <v>3560.1333333333332</v>
      </c>
    </row>
    <row r="21" spans="1:11" ht="6.5" customHeight="1" thickTop="1" x14ac:dyDescent="0.2"/>
    <row r="22" spans="1:11" ht="19" x14ac:dyDescent="0.25">
      <c r="A22" s="61" t="s">
        <v>162</v>
      </c>
      <c r="B22">
        <f>SUM(B2:B20)/19</f>
        <v>5539.0508771929817</v>
      </c>
      <c r="C22">
        <f t="shared" ref="C22:K22" si="0">SUM(C2:C20)/19</f>
        <v>738.48070175438602</v>
      </c>
      <c r="D22">
        <f t="shared" si="0"/>
        <v>1439.8280701754386</v>
      </c>
      <c r="E22">
        <f t="shared" si="0"/>
        <v>951.96140350877215</v>
      </c>
      <c r="F22">
        <f t="shared" si="0"/>
        <v>287.31403508771928</v>
      </c>
      <c r="G22">
        <f t="shared" si="0"/>
        <v>29.845614035087721</v>
      </c>
      <c r="H22">
        <f t="shared" si="0"/>
        <v>170.70701754385962</v>
      </c>
      <c r="I22">
        <f t="shared" si="0"/>
        <v>521.63333333333333</v>
      </c>
      <c r="J22">
        <f t="shared" si="0"/>
        <v>56.599999999999994</v>
      </c>
      <c r="K22">
        <f t="shared" si="0"/>
        <v>3520.9894736842098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57D-BE6F-7A45-B625-7043D3FB2ED8}">
  <sheetPr codeName="Sheet2"/>
  <dimension ref="A2:P4"/>
  <sheetViews>
    <sheetView topLeftCell="D1" workbookViewId="0">
      <selection activeCell="K4" sqref="K4"/>
    </sheetView>
  </sheetViews>
  <sheetFormatPr baseColWidth="10" defaultColWidth="11" defaultRowHeight="16" x14ac:dyDescent="0.2"/>
  <cols>
    <col min="6" max="6" width="19.1640625" customWidth="1"/>
    <col min="8" max="8" width="27.33203125" bestFit="1" customWidth="1"/>
    <col min="12" max="12" width="15" bestFit="1" customWidth="1"/>
    <col min="13" max="13" width="15.1640625" bestFit="1" customWidth="1"/>
  </cols>
  <sheetData>
    <row r="2" spans="1:16" ht="17" thickBot="1" x14ac:dyDescent="0.25">
      <c r="A2" s="11">
        <v>2</v>
      </c>
      <c r="L2" s="4"/>
      <c r="M2" s="4"/>
      <c r="N2" s="4"/>
      <c r="O2" s="4"/>
      <c r="P2" s="4"/>
    </row>
    <row r="3" spans="1:16" x14ac:dyDescent="0.2">
      <c r="H3" s="5" t="s">
        <v>105</v>
      </c>
      <c r="I3" s="6" t="s">
        <v>106</v>
      </c>
      <c r="J3" s="6" t="s">
        <v>3</v>
      </c>
      <c r="K3" s="6" t="s">
        <v>107</v>
      </c>
      <c r="L3" s="6" t="s">
        <v>110</v>
      </c>
      <c r="M3" s="12" t="s">
        <v>109</v>
      </c>
    </row>
    <row r="4" spans="1:16" ht="17" thickBot="1" x14ac:dyDescent="0.25">
      <c r="H4" s="7" t="str">
        <f>INDEX(Data!BD2:BD34,'Team &amp; Year'!A2)</f>
        <v>Arizona Diamondbacks</v>
      </c>
      <c r="I4" s="8">
        <v>2010</v>
      </c>
      <c r="J4" s="9">
        <f t="array" ref="J4">IFERROR(INDEX(Data!$E$2:$E$571,MATCH($H$4&amp;$I$4,Data!$C$2:$C$571&amp;Data!$B$2:$B$571,0)),"")</f>
        <v>5</v>
      </c>
      <c r="K4" s="9" t="str">
        <f>IFERROR(INDEX(Data!$J$2:$J$571,MATCH($H$4&amp;$I$4,Data!$C$2:$C$571&amp;Data!$B$2:$B$571,0)),"")</f>
        <v/>
      </c>
      <c r="L4" s="9" t="str">
        <f>IFERROR(INDEX(Data!$K$2:$K$571,MATCH($H$4&amp;$I$4,Data!$C$2:$C$571&amp;Data!$B$2:$B$571,0)),"")</f>
        <v/>
      </c>
      <c r="M4" s="13" t="str">
        <f>IFERROR(K4/L4,"")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List Box 1">
              <controlPr defaultSize="0" autoLine="0" autoPict="0">
                <anchor moveWithCells="1">
                  <from>
                    <xdr:col>1</xdr:col>
                    <xdr:colOff>279400</xdr:colOff>
                    <xdr:row>0</xdr:row>
                    <xdr:rowOff>190500</xdr:rowOff>
                  </from>
                  <to>
                    <xdr:col>4</xdr:col>
                    <xdr:colOff>88900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Scroll Bar 3">
              <controlPr defaultSize="0" autoPict="0">
                <anchor moveWithCells="1">
                  <from>
                    <xdr:col>4</xdr:col>
                    <xdr:colOff>342900</xdr:colOff>
                    <xdr:row>1</xdr:row>
                    <xdr:rowOff>203200</xdr:rowOff>
                  </from>
                  <to>
                    <xdr:col>6</xdr:col>
                    <xdr:colOff>596900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4F568-998B-7D41-BEF5-7A1AADE16469}">
  <sheetPr codeName="Sheet3"/>
  <dimension ref="A2:I39"/>
  <sheetViews>
    <sheetView workbookViewId="0">
      <selection activeCell="B4" sqref="B4"/>
    </sheetView>
  </sheetViews>
  <sheetFormatPr baseColWidth="10" defaultColWidth="11" defaultRowHeight="16" x14ac:dyDescent="0.2"/>
  <cols>
    <col min="1" max="1" width="26.1640625" bestFit="1" customWidth="1"/>
    <col min="2" max="2" width="9.1640625" bestFit="1" customWidth="1"/>
    <col min="3" max="3" width="8.1640625" bestFit="1" customWidth="1"/>
    <col min="4" max="5" width="9" bestFit="1" customWidth="1"/>
    <col min="6" max="6" width="9.1640625" bestFit="1" customWidth="1"/>
    <col min="9" max="9" width="16.33203125" bestFit="1" customWidth="1"/>
  </cols>
  <sheetData>
    <row r="2" spans="1:9" ht="17" thickBot="1" x14ac:dyDescent="0.25"/>
    <row r="3" spans="1:9" x14ac:dyDescent="0.2">
      <c r="A3" s="14" t="s">
        <v>105</v>
      </c>
      <c r="B3" t="s">
        <v>112</v>
      </c>
      <c r="C3" t="s">
        <v>113</v>
      </c>
      <c r="D3" t="s">
        <v>114</v>
      </c>
      <c r="E3" t="s">
        <v>115</v>
      </c>
      <c r="F3" t="s">
        <v>116</v>
      </c>
      <c r="H3" s="18" t="s">
        <v>117</v>
      </c>
      <c r="I3" s="16" t="str">
        <f>INDEX($A$4:$A$37,MATCH(C39,$C$4:$C$37,0))</f>
        <v>Boston Red Sox</v>
      </c>
    </row>
    <row r="4" spans="1:9" x14ac:dyDescent="0.2">
      <c r="A4" s="15" t="s">
        <v>46</v>
      </c>
      <c r="B4" s="23">
        <v>107101</v>
      </c>
      <c r="C4" s="23">
        <v>29100</v>
      </c>
      <c r="D4" s="23">
        <v>6418</v>
      </c>
      <c r="E4" s="2">
        <v>519</v>
      </c>
      <c r="F4" s="23">
        <v>3569</v>
      </c>
      <c r="H4" s="19" t="s">
        <v>118</v>
      </c>
      <c r="I4" s="17" t="str">
        <f>INDEX($A$4:$A$37,MATCH(D39,$D$4:$D$37,0))</f>
        <v>Boston Red Sox</v>
      </c>
    </row>
    <row r="5" spans="1:9" x14ac:dyDescent="0.2">
      <c r="A5" s="15" t="s">
        <v>94</v>
      </c>
      <c r="B5" s="23">
        <v>106262</v>
      </c>
      <c r="C5" s="23">
        <v>28334</v>
      </c>
      <c r="D5" s="23">
        <v>5655</v>
      </c>
      <c r="E5" s="2">
        <v>545</v>
      </c>
      <c r="F5" s="23">
        <v>3832</v>
      </c>
      <c r="H5" s="19" t="s">
        <v>119</v>
      </c>
      <c r="I5" s="17" t="str">
        <f>INDEX($A$4:$A$37,MATCH(E39,$E$4:$E$37,0))</f>
        <v>Colorado Rockies</v>
      </c>
    </row>
    <row r="6" spans="1:9" ht="17" thickBot="1" x14ac:dyDescent="0.25">
      <c r="A6" s="15" t="s">
        <v>58</v>
      </c>
      <c r="B6" s="23">
        <v>106086</v>
      </c>
      <c r="C6" s="23">
        <v>28324</v>
      </c>
      <c r="D6" s="23">
        <v>5430</v>
      </c>
      <c r="E6" s="2">
        <v>745</v>
      </c>
      <c r="F6" s="23">
        <v>3224</v>
      </c>
      <c r="H6" s="20" t="s">
        <v>120</v>
      </c>
      <c r="I6" s="10" t="str">
        <f>INDEX($A$4:$A$37,MATCH(F39,$F$4:$F$37,0))</f>
        <v>New York Yankees</v>
      </c>
    </row>
    <row r="7" spans="1:9" x14ac:dyDescent="0.2">
      <c r="A7" s="15" t="s">
        <v>44</v>
      </c>
      <c r="B7" s="23">
        <v>105963</v>
      </c>
      <c r="C7" s="23">
        <v>27633</v>
      </c>
      <c r="D7" s="23">
        <v>5389</v>
      </c>
      <c r="E7" s="2">
        <v>374</v>
      </c>
      <c r="F7" s="23">
        <v>3484</v>
      </c>
    </row>
    <row r="8" spans="1:9" x14ac:dyDescent="0.2">
      <c r="A8" s="15" t="s">
        <v>64</v>
      </c>
      <c r="B8" s="23">
        <v>105933</v>
      </c>
      <c r="C8" s="23">
        <v>28084</v>
      </c>
      <c r="D8" s="23">
        <v>5441</v>
      </c>
      <c r="E8" s="2">
        <v>670</v>
      </c>
      <c r="F8" s="23">
        <v>2592</v>
      </c>
    </row>
    <row r="9" spans="1:9" x14ac:dyDescent="0.2">
      <c r="A9" s="15" t="s">
        <v>70</v>
      </c>
      <c r="B9" s="23">
        <v>105888</v>
      </c>
      <c r="C9" s="23">
        <v>27895</v>
      </c>
      <c r="D9" s="23">
        <v>5632</v>
      </c>
      <c r="E9" s="2">
        <v>653</v>
      </c>
      <c r="F9" s="23">
        <v>2854</v>
      </c>
    </row>
    <row r="10" spans="1:9" x14ac:dyDescent="0.2">
      <c r="A10" s="15" t="s">
        <v>56</v>
      </c>
      <c r="B10" s="23">
        <v>105830</v>
      </c>
      <c r="C10" s="23">
        <v>28700</v>
      </c>
      <c r="D10" s="23">
        <v>5721</v>
      </c>
      <c r="E10" s="2">
        <v>821</v>
      </c>
      <c r="F10" s="23">
        <v>3393</v>
      </c>
    </row>
    <row r="11" spans="1:9" x14ac:dyDescent="0.2">
      <c r="A11" s="15" t="s">
        <v>74</v>
      </c>
      <c r="B11" s="23">
        <v>105779</v>
      </c>
      <c r="C11" s="23">
        <v>28183</v>
      </c>
      <c r="D11" s="23">
        <v>5376</v>
      </c>
      <c r="E11" s="2">
        <v>414</v>
      </c>
      <c r="F11" s="23">
        <v>4029</v>
      </c>
    </row>
    <row r="12" spans="1:9" x14ac:dyDescent="0.2">
      <c r="A12" s="15" t="s">
        <v>96</v>
      </c>
      <c r="B12" s="23">
        <v>105616</v>
      </c>
      <c r="C12" s="23">
        <v>27421</v>
      </c>
      <c r="D12" s="23">
        <v>5787</v>
      </c>
      <c r="E12" s="2">
        <v>478</v>
      </c>
      <c r="F12" s="23">
        <v>3691</v>
      </c>
    </row>
    <row r="13" spans="1:9" x14ac:dyDescent="0.2">
      <c r="A13" s="15" t="s">
        <v>86</v>
      </c>
      <c r="B13" s="23">
        <v>105599</v>
      </c>
      <c r="C13" s="23">
        <v>27338</v>
      </c>
      <c r="D13" s="23">
        <v>5132</v>
      </c>
      <c r="E13" s="2">
        <v>487</v>
      </c>
      <c r="F13" s="23">
        <v>3013</v>
      </c>
    </row>
    <row r="14" spans="1:9" x14ac:dyDescent="0.2">
      <c r="A14" s="15" t="s">
        <v>54</v>
      </c>
      <c r="B14" s="23">
        <v>105487</v>
      </c>
      <c r="C14" s="23">
        <v>27705</v>
      </c>
      <c r="D14" s="23">
        <v>5807</v>
      </c>
      <c r="E14" s="2">
        <v>504</v>
      </c>
      <c r="F14" s="23">
        <v>3365</v>
      </c>
    </row>
    <row r="15" spans="1:9" x14ac:dyDescent="0.2">
      <c r="A15" s="15" t="s">
        <v>80</v>
      </c>
      <c r="B15" s="23">
        <v>105406</v>
      </c>
      <c r="C15" s="23">
        <v>26931</v>
      </c>
      <c r="D15" s="23">
        <v>5413</v>
      </c>
      <c r="E15" s="2">
        <v>645</v>
      </c>
      <c r="F15" s="23">
        <v>3281</v>
      </c>
    </row>
    <row r="16" spans="1:9" x14ac:dyDescent="0.2">
      <c r="A16" s="15" t="s">
        <v>78</v>
      </c>
      <c r="B16" s="23">
        <v>105291</v>
      </c>
      <c r="C16" s="23">
        <v>26786</v>
      </c>
      <c r="D16" s="23">
        <v>5546</v>
      </c>
      <c r="E16" s="2">
        <v>465</v>
      </c>
      <c r="F16" s="23">
        <v>3295</v>
      </c>
    </row>
    <row r="17" spans="1:6" x14ac:dyDescent="0.2">
      <c r="A17" s="15" t="s">
        <v>39</v>
      </c>
      <c r="B17" s="23">
        <v>105194</v>
      </c>
      <c r="C17" s="23">
        <v>26984</v>
      </c>
      <c r="D17" s="23">
        <v>5589</v>
      </c>
      <c r="E17" s="2">
        <v>777</v>
      </c>
      <c r="F17" s="23">
        <v>3198</v>
      </c>
    </row>
    <row r="18" spans="1:6" x14ac:dyDescent="0.2">
      <c r="A18" s="15" t="s">
        <v>50</v>
      </c>
      <c r="B18" s="23">
        <v>105106</v>
      </c>
      <c r="C18" s="23">
        <v>26968</v>
      </c>
      <c r="D18" s="23">
        <v>5505</v>
      </c>
      <c r="E18" s="2">
        <v>555</v>
      </c>
      <c r="F18" s="23">
        <v>3363</v>
      </c>
    </row>
    <row r="19" spans="1:6" x14ac:dyDescent="0.2">
      <c r="A19" s="15" t="s">
        <v>41</v>
      </c>
      <c r="B19" s="23">
        <v>105048</v>
      </c>
      <c r="C19" s="23">
        <v>27391</v>
      </c>
      <c r="D19" s="23">
        <v>5461</v>
      </c>
      <c r="E19" s="2">
        <v>500</v>
      </c>
      <c r="F19" s="23">
        <v>3118</v>
      </c>
    </row>
    <row r="20" spans="1:6" x14ac:dyDescent="0.2">
      <c r="A20" s="15" t="s">
        <v>90</v>
      </c>
      <c r="B20" s="23">
        <v>105029</v>
      </c>
      <c r="C20" s="23">
        <v>27993</v>
      </c>
      <c r="D20" s="23">
        <v>5513</v>
      </c>
      <c r="E20" s="2">
        <v>486</v>
      </c>
      <c r="F20" s="23">
        <v>3312</v>
      </c>
    </row>
    <row r="21" spans="1:6" x14ac:dyDescent="0.2">
      <c r="A21" s="15" t="s">
        <v>48</v>
      </c>
      <c r="B21" s="23">
        <v>105005</v>
      </c>
      <c r="C21" s="23">
        <v>27325</v>
      </c>
      <c r="D21" s="23">
        <v>5147</v>
      </c>
      <c r="E21" s="2">
        <v>479</v>
      </c>
      <c r="F21" s="23">
        <v>3671</v>
      </c>
    </row>
    <row r="22" spans="1:6" x14ac:dyDescent="0.2">
      <c r="A22" s="15" t="s">
        <v>88</v>
      </c>
      <c r="B22" s="23">
        <v>104967</v>
      </c>
      <c r="C22" s="23">
        <v>27263</v>
      </c>
      <c r="D22" s="23">
        <v>5455</v>
      </c>
      <c r="E22" s="2">
        <v>715</v>
      </c>
      <c r="F22" s="23">
        <v>2812</v>
      </c>
    </row>
    <row r="23" spans="1:6" x14ac:dyDescent="0.2">
      <c r="A23" s="15" t="s">
        <v>52</v>
      </c>
      <c r="B23" s="23">
        <v>104965</v>
      </c>
      <c r="C23" s="23">
        <v>26753</v>
      </c>
      <c r="D23" s="23">
        <v>5312</v>
      </c>
      <c r="E23" s="2">
        <v>469</v>
      </c>
      <c r="F23" s="23">
        <v>3460</v>
      </c>
    </row>
    <row r="24" spans="1:6" x14ac:dyDescent="0.2">
      <c r="A24" s="15" t="s">
        <v>62</v>
      </c>
      <c r="B24" s="23">
        <v>104556</v>
      </c>
      <c r="C24" s="23">
        <v>26914</v>
      </c>
      <c r="D24" s="23">
        <v>5396</v>
      </c>
      <c r="E24" s="2">
        <v>515</v>
      </c>
      <c r="F24" s="23">
        <v>3344</v>
      </c>
    </row>
    <row r="25" spans="1:6" x14ac:dyDescent="0.2">
      <c r="A25" s="15" t="s">
        <v>76</v>
      </c>
      <c r="B25" s="23">
        <v>104551</v>
      </c>
      <c r="C25" s="23">
        <v>26477</v>
      </c>
      <c r="D25" s="23">
        <v>5293</v>
      </c>
      <c r="E25" s="2">
        <v>540</v>
      </c>
      <c r="F25" s="23">
        <v>3052</v>
      </c>
    </row>
    <row r="26" spans="1:6" x14ac:dyDescent="0.2">
      <c r="A26" s="15" t="s">
        <v>66</v>
      </c>
      <c r="B26" s="23">
        <v>104535</v>
      </c>
      <c r="C26" s="23">
        <v>27003</v>
      </c>
      <c r="D26" s="23">
        <v>5219</v>
      </c>
      <c r="E26" s="2">
        <v>556</v>
      </c>
      <c r="F26" s="23">
        <v>3069</v>
      </c>
    </row>
    <row r="27" spans="1:6" x14ac:dyDescent="0.2">
      <c r="A27" s="15" t="s">
        <v>82</v>
      </c>
      <c r="B27" s="23">
        <v>104499</v>
      </c>
      <c r="C27" s="23">
        <v>26570</v>
      </c>
      <c r="D27" s="23">
        <v>5334</v>
      </c>
      <c r="E27" s="2">
        <v>598</v>
      </c>
      <c r="F27" s="23">
        <v>2803</v>
      </c>
    </row>
    <row r="28" spans="1:6" x14ac:dyDescent="0.2">
      <c r="A28" s="15" t="s">
        <v>68</v>
      </c>
      <c r="B28" s="23">
        <v>104342</v>
      </c>
      <c r="C28" s="23">
        <v>26527</v>
      </c>
      <c r="D28" s="23">
        <v>5389</v>
      </c>
      <c r="E28" s="2">
        <v>561</v>
      </c>
      <c r="F28" s="23">
        <v>3479</v>
      </c>
    </row>
    <row r="29" spans="1:6" x14ac:dyDescent="0.2">
      <c r="A29" s="15" t="s">
        <v>84</v>
      </c>
      <c r="B29" s="23">
        <v>104146</v>
      </c>
      <c r="C29" s="23">
        <v>25790</v>
      </c>
      <c r="D29" s="23">
        <v>4993</v>
      </c>
      <c r="E29" s="2">
        <v>610</v>
      </c>
      <c r="F29" s="23">
        <v>2753</v>
      </c>
    </row>
    <row r="30" spans="1:6" x14ac:dyDescent="0.2">
      <c r="A30" s="15" t="s">
        <v>98</v>
      </c>
      <c r="B30" s="23">
        <v>77461</v>
      </c>
      <c r="C30" s="23">
        <v>20320</v>
      </c>
      <c r="D30" s="23">
        <v>3912</v>
      </c>
      <c r="E30" s="2">
        <v>363</v>
      </c>
      <c r="F30" s="23">
        <v>2309</v>
      </c>
    </row>
    <row r="31" spans="1:6" x14ac:dyDescent="0.2">
      <c r="A31" s="15" t="s">
        <v>100</v>
      </c>
      <c r="B31" s="23">
        <v>76865</v>
      </c>
      <c r="C31" s="23">
        <v>19566</v>
      </c>
      <c r="D31" s="23">
        <v>3942</v>
      </c>
      <c r="E31" s="2">
        <v>379</v>
      </c>
      <c r="F31" s="23">
        <v>2273</v>
      </c>
    </row>
    <row r="32" spans="1:6" x14ac:dyDescent="0.2">
      <c r="A32" s="15" t="s">
        <v>60</v>
      </c>
      <c r="B32" s="23">
        <v>66264</v>
      </c>
      <c r="C32" s="23">
        <v>17349</v>
      </c>
      <c r="D32" s="23">
        <v>3567</v>
      </c>
      <c r="E32" s="2">
        <v>399</v>
      </c>
      <c r="F32" s="23">
        <v>1956</v>
      </c>
    </row>
    <row r="33" spans="1:6" x14ac:dyDescent="0.2">
      <c r="A33" s="15" t="s">
        <v>102</v>
      </c>
      <c r="B33" s="23">
        <v>60249</v>
      </c>
      <c r="C33" s="23">
        <v>15090</v>
      </c>
      <c r="D33" s="23">
        <v>3024</v>
      </c>
      <c r="E33" s="2">
        <v>363</v>
      </c>
      <c r="F33" s="23">
        <v>1929</v>
      </c>
    </row>
    <row r="34" spans="1:6" x14ac:dyDescent="0.2">
      <c r="A34" s="15" t="s">
        <v>92</v>
      </c>
      <c r="B34" s="23">
        <v>44389</v>
      </c>
      <c r="C34" s="23">
        <v>11589</v>
      </c>
      <c r="D34" s="23">
        <v>2284</v>
      </c>
      <c r="E34" s="2">
        <v>271</v>
      </c>
      <c r="F34" s="23">
        <v>1232</v>
      </c>
    </row>
    <row r="35" spans="1:6" x14ac:dyDescent="0.2">
      <c r="A35" s="15" t="s">
        <v>103</v>
      </c>
      <c r="B35" s="23">
        <v>38524</v>
      </c>
      <c r="C35" s="23">
        <v>9663</v>
      </c>
      <c r="D35" s="23">
        <v>1722</v>
      </c>
      <c r="E35" s="2">
        <v>243</v>
      </c>
      <c r="F35" s="23">
        <v>924</v>
      </c>
    </row>
    <row r="36" spans="1:6" x14ac:dyDescent="0.2">
      <c r="A36" s="15" t="s">
        <v>36</v>
      </c>
      <c r="B36" s="23">
        <v>28019</v>
      </c>
      <c r="C36" s="23">
        <v>7700</v>
      </c>
      <c r="D36" s="23">
        <v>1465</v>
      </c>
      <c r="E36" s="2">
        <v>162</v>
      </c>
      <c r="F36" s="23">
        <v>858</v>
      </c>
    </row>
    <row r="37" spans="1:6" x14ac:dyDescent="0.2">
      <c r="A37" s="15" t="s">
        <v>72</v>
      </c>
      <c r="B37" s="23">
        <v>27304</v>
      </c>
      <c r="C37" s="23">
        <v>7033</v>
      </c>
      <c r="D37" s="23">
        <v>1500</v>
      </c>
      <c r="E37" s="2">
        <v>151</v>
      </c>
      <c r="F37" s="23">
        <v>766</v>
      </c>
    </row>
    <row r="38" spans="1:6" ht="17" thickBot="1" x14ac:dyDescent="0.25">
      <c r="A38" s="15" t="s">
        <v>111</v>
      </c>
      <c r="B38" s="2">
        <v>3157259</v>
      </c>
      <c r="C38" s="2">
        <v>820702</v>
      </c>
      <c r="D38" s="2">
        <v>163769</v>
      </c>
      <c r="E38" s="2">
        <v>17012</v>
      </c>
      <c r="F38" s="2">
        <v>97303</v>
      </c>
    </row>
    <row r="39" spans="1:6" ht="17" thickBot="1" x14ac:dyDescent="0.25">
      <c r="A39" s="21" t="s">
        <v>121</v>
      </c>
      <c r="B39" s="22" t="s">
        <v>122</v>
      </c>
      <c r="C39" s="24">
        <f>MAX(C4:C37)</f>
        <v>29100</v>
      </c>
      <c r="D39" s="24">
        <f>MAX(D4:D37)</f>
        <v>6418</v>
      </c>
      <c r="E39" s="24">
        <f>MAX(E4:E37)</f>
        <v>821</v>
      </c>
      <c r="F39" s="25">
        <f>MAX(F4:F37)</f>
        <v>4029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2DA24-AAC2-3D45-AEA0-1CB818941BC2}">
  <sheetPr codeName="Sheet4"/>
  <dimension ref="B1:I33"/>
  <sheetViews>
    <sheetView topLeftCell="A4" workbookViewId="0">
      <selection activeCell="G12" sqref="G12"/>
    </sheetView>
  </sheetViews>
  <sheetFormatPr baseColWidth="10" defaultColWidth="11" defaultRowHeight="16" x14ac:dyDescent="0.2"/>
  <cols>
    <col min="1" max="1" width="3.83203125" customWidth="1"/>
    <col min="2" max="2" width="18.5" bestFit="1" customWidth="1"/>
    <col min="3" max="3" width="13.5" bestFit="1" customWidth="1"/>
    <col min="4" max="4" width="17.5" customWidth="1"/>
    <col min="5" max="5" width="18.1640625" bestFit="1" customWidth="1"/>
    <col min="6" max="6" width="18" bestFit="1" customWidth="1"/>
    <col min="9" max="9" width="11.1640625" bestFit="1" customWidth="1"/>
  </cols>
  <sheetData>
    <row r="1" spans="2:9" ht="17" thickBot="1" x14ac:dyDescent="0.25"/>
    <row r="2" spans="2:9" ht="20" thickBot="1" x14ac:dyDescent="0.3">
      <c r="B2" s="63" t="s">
        <v>123</v>
      </c>
      <c r="C2" s="64"/>
      <c r="D2" s="64"/>
      <c r="E2" s="64"/>
      <c r="F2" s="65"/>
    </row>
    <row r="4" spans="2:9" x14ac:dyDescent="0.2">
      <c r="B4" s="26" t="s">
        <v>124</v>
      </c>
      <c r="E4" s="27">
        <v>0.05</v>
      </c>
      <c r="F4" s="28" t="s">
        <v>125</v>
      </c>
    </row>
    <row r="5" spans="2:9" x14ac:dyDescent="0.2">
      <c r="B5" s="26" t="s">
        <v>126</v>
      </c>
      <c r="E5" s="27">
        <v>2.5000000000000001E-3</v>
      </c>
      <c r="F5" s="28" t="s">
        <v>127</v>
      </c>
    </row>
    <row r="6" spans="2:9" x14ac:dyDescent="0.2">
      <c r="B6" s="26" t="s">
        <v>128</v>
      </c>
      <c r="E6" s="29">
        <v>14</v>
      </c>
      <c r="F6" s="28" t="s">
        <v>129</v>
      </c>
      <c r="I6">
        <v>2</v>
      </c>
    </row>
    <row r="7" spans="2:9" x14ac:dyDescent="0.2">
      <c r="I7">
        <v>2</v>
      </c>
    </row>
    <row r="8" spans="2:9" x14ac:dyDescent="0.2">
      <c r="I8">
        <v>3</v>
      </c>
    </row>
    <row r="9" spans="2:9" x14ac:dyDescent="0.2">
      <c r="I9" s="37">
        <f>simulation(I6,I7,I8)</f>
        <v>1.6</v>
      </c>
    </row>
    <row r="11" spans="2:9" ht="17" thickBot="1" x14ac:dyDescent="0.25"/>
    <row r="12" spans="2:9" ht="21" thickTop="1" thickBot="1" x14ac:dyDescent="0.3">
      <c r="B12" s="66" t="s">
        <v>130</v>
      </c>
      <c r="C12" s="67"/>
      <c r="D12" s="67"/>
      <c r="E12" s="67"/>
      <c r="F12" s="68"/>
    </row>
    <row r="13" spans="2:9" ht="17" thickBot="1" x14ac:dyDescent="0.25">
      <c r="B13" s="30" t="s">
        <v>131</v>
      </c>
      <c r="C13" s="31" t="s">
        <v>132</v>
      </c>
      <c r="D13" s="31" t="s">
        <v>133</v>
      </c>
      <c r="E13" s="31" t="s">
        <v>134</v>
      </c>
      <c r="F13" s="32" t="s">
        <v>135</v>
      </c>
    </row>
    <row r="14" spans="2:9" ht="17" thickBot="1" x14ac:dyDescent="0.25">
      <c r="B14" s="33">
        <v>0.05</v>
      </c>
      <c r="C14" s="34">
        <v>530292162.33058238</v>
      </c>
      <c r="D14" s="35">
        <v>20.377152225615117</v>
      </c>
      <c r="E14" s="35">
        <v>19.406811643442968</v>
      </c>
      <c r="F14" s="36">
        <v>527.09997478393905</v>
      </c>
    </row>
    <row r="15" spans="2:9" ht="17" thickBot="1" x14ac:dyDescent="0.25">
      <c r="B15" s="33">
        <v>5.2500000000000005E-2</v>
      </c>
      <c r="C15" s="35">
        <v>505414413.75470197</v>
      </c>
      <c r="D15" s="35">
        <v>20.033100828677703</v>
      </c>
      <c r="E15" s="35">
        <v>19.033825015370741</v>
      </c>
      <c r="F15" s="36">
        <v>510.19745610921149</v>
      </c>
    </row>
    <row r="16" spans="2:9" ht="17" thickBot="1" x14ac:dyDescent="0.25">
      <c r="B16" s="33">
        <v>5.5000000000000007E-2</v>
      </c>
      <c r="C16" s="35">
        <v>482149276.97470349</v>
      </c>
      <c r="D16" s="35">
        <v>19.693952750561856</v>
      </c>
      <c r="E16" s="35">
        <v>18.667253792001759</v>
      </c>
      <c r="F16" s="36">
        <v>493.81020393401548</v>
      </c>
    </row>
    <row r="17" spans="2:6" ht="17" thickBot="1" x14ac:dyDescent="0.25">
      <c r="B17" s="33">
        <v>5.7500000000000009E-2</v>
      </c>
      <c r="C17" s="35">
        <v>460373090.40371889</v>
      </c>
      <c r="D17" s="35">
        <v>19.359759330909046</v>
      </c>
      <c r="E17" s="35">
        <v>18.307101022136212</v>
      </c>
      <c r="F17" s="36">
        <v>477.92666299240005</v>
      </c>
    </row>
    <row r="18" spans="2:6" ht="17" thickBot="1" x14ac:dyDescent="0.25">
      <c r="B18" s="33">
        <v>6.0000000000000012E-2</v>
      </c>
      <c r="C18" s="35">
        <v>439972859.90209848</v>
      </c>
      <c r="D18" s="35">
        <v>19.030565504095808</v>
      </c>
      <c r="E18" s="35">
        <v>17.953363683109252</v>
      </c>
      <c r="F18" s="36">
        <v>462.53526717798138</v>
      </c>
    </row>
    <row r="19" spans="2:6" ht="17" thickBot="1" x14ac:dyDescent="0.25">
      <c r="B19" s="33">
        <v>6.2500000000000014E-2</v>
      </c>
      <c r="C19" s="35">
        <v>420845250.16871548</v>
      </c>
      <c r="D19" s="35">
        <v>18.706409813625157</v>
      </c>
      <c r="E19" s="35">
        <v>17.606032765764855</v>
      </c>
      <c r="F19" s="36">
        <v>447.62445868839893</v>
      </c>
    </row>
    <row r="20" spans="2:6" ht="17" thickBot="1" x14ac:dyDescent="0.25">
      <c r="B20" s="33">
        <v>6.5000000000000016E-2</v>
      </c>
      <c r="C20" s="35">
        <v>402895678.97292918</v>
      </c>
      <c r="D20" s="35">
        <v>18.387324451813264</v>
      </c>
      <c r="E20" s="35">
        <v>17.265093381984286</v>
      </c>
      <c r="F20" s="36">
        <v>433.18269944467812</v>
      </c>
    </row>
    <row r="21" spans="2:6" ht="17" thickBot="1" x14ac:dyDescent="0.25">
      <c r="B21" s="33">
        <v>6.7500000000000018E-2</v>
      </c>
      <c r="C21" s="35">
        <v>386037503.04640067</v>
      </c>
      <c r="D21" s="35">
        <v>18.073335324637601</v>
      </c>
      <c r="E21" s="35">
        <v>16.930524894274097</v>
      </c>
      <c r="F21" s="36">
        <v>419.19848724210493</v>
      </c>
    </row>
    <row r="22" spans="2:6" ht="17" thickBot="1" x14ac:dyDescent="0.25">
      <c r="B22" s="33">
        <v>7.0000000000000021E-2</v>
      </c>
      <c r="C22" s="35">
        <v>370191285.73923838</v>
      </c>
      <c r="D22" s="35">
        <v>17.764462139738562</v>
      </c>
      <c r="E22" s="35">
        <v>16.602301065176224</v>
      </c>
      <c r="F22" s="36">
        <v>405.66036945061444</v>
      </c>
    </row>
    <row r="23" spans="2:6" ht="17" thickBot="1" x14ac:dyDescent="0.25">
      <c r="B23" s="33">
        <v>7.2500000000000023E-2</v>
      </c>
      <c r="C23" s="35">
        <v>355284137.67497092</v>
      </c>
      <c r="D23" s="35">
        <v>17.460718516609049</v>
      </c>
      <c r="E23" s="35">
        <v>16.280390225276502</v>
      </c>
      <c r="F23" s="36">
        <v>392.55695709346315</v>
      </c>
    </row>
    <row r="24" spans="2:6" ht="17" thickBot="1" x14ac:dyDescent="0.25">
      <c r="B24" s="33">
        <v>7.5000000000000025E-2</v>
      </c>
      <c r="C24" s="35">
        <v>341249122.633331</v>
      </c>
      <c r="D24" s="35">
        <v>17.16211211720119</v>
      </c>
      <c r="E24" s="35">
        <v>15.964755457861573</v>
      </c>
      <c r="F24" s="36">
        <v>379.8769384952181</v>
      </c>
    </row>
    <row r="25" spans="2:6" ht="17" thickBot="1" x14ac:dyDescent="0.25">
      <c r="B25" s="33">
        <v>7.7500000000000027E-2</v>
      </c>
      <c r="C25" s="35">
        <v>328024721.76564598</v>
      </c>
      <c r="D25" s="35">
        <v>16.868644795462277</v>
      </c>
      <c r="E25" s="35">
        <v>15.655354798572878</v>
      </c>
      <c r="F25" s="36">
        <v>367.60909166097872</v>
      </c>
    </row>
    <row r="26" spans="2:6" ht="17" thickBot="1" x14ac:dyDescent="0.25">
      <c r="B26" s="33">
        <v>8.0000000000000029E-2</v>
      </c>
      <c r="C26" s="35">
        <v>315554350.01970136</v>
      </c>
      <c r="D26" s="35">
        <v>16.580312763929044</v>
      </c>
      <c r="E26" s="35">
        <v>15.352141448082445</v>
      </c>
      <c r="F26" s="36">
        <v>355.74229495217867</v>
      </c>
    </row>
    <row r="27" spans="2:6" ht="17" thickBot="1" x14ac:dyDescent="0.25">
      <c r="B27" s="33">
        <v>8.2500000000000032E-2</v>
      </c>
      <c r="C27" s="35">
        <v>303785919.33200938</v>
      </c>
      <c r="D27" s="35">
        <v>16.297106775950912</v>
      </c>
      <c r="E27" s="35">
        <v>15.055063996259502</v>
      </c>
      <c r="F27" s="36">
        <v>344.26554442377801</v>
      </c>
    </row>
    <row r="28" spans="2:6" ht="17" thickBot="1" x14ac:dyDescent="0.25">
      <c r="B28" s="33"/>
      <c r="C28" s="35"/>
      <c r="D28" s="35"/>
      <c r="E28" s="35"/>
      <c r="F28" s="36"/>
    </row>
    <row r="29" spans="2:6" ht="17" thickBot="1" x14ac:dyDescent="0.25">
      <c r="B29" s="33"/>
      <c r="C29" s="35"/>
      <c r="D29" s="35"/>
      <c r="E29" s="35"/>
      <c r="F29" s="36"/>
    </row>
    <row r="30" spans="2:6" ht="17" thickBot="1" x14ac:dyDescent="0.25">
      <c r="B30" s="33"/>
      <c r="C30" s="35"/>
      <c r="D30" s="35"/>
      <c r="E30" s="35"/>
      <c r="F30" s="36"/>
    </row>
    <row r="31" spans="2:6" ht="17" thickBot="1" x14ac:dyDescent="0.25">
      <c r="B31" s="33"/>
      <c r="C31" s="35"/>
      <c r="D31" s="35"/>
      <c r="E31" s="35"/>
      <c r="F31" s="36"/>
    </row>
    <row r="32" spans="2:6" ht="17" thickBot="1" x14ac:dyDescent="0.25">
      <c r="B32" s="33"/>
      <c r="C32" s="35"/>
      <c r="D32" s="35"/>
      <c r="E32" s="35"/>
      <c r="F32" s="36"/>
    </row>
    <row r="33" spans="2:6" ht="17" thickBot="1" x14ac:dyDescent="0.25">
      <c r="B33" s="33"/>
      <c r="C33" s="35"/>
      <c r="D33" s="35"/>
      <c r="E33" s="35"/>
      <c r="F33" s="36"/>
    </row>
  </sheetData>
  <mergeCells count="2">
    <mergeCell ref="B2:F2"/>
    <mergeCell ref="B12:F1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11B8E-4963-FF48-BE33-3B969C6680FE}">
  <sheetPr codeName="Sheet8"/>
  <dimension ref="A3:J16"/>
  <sheetViews>
    <sheetView tabSelected="1" workbookViewId="0">
      <selection activeCell="A14" sqref="A14"/>
    </sheetView>
  </sheetViews>
  <sheetFormatPr baseColWidth="10" defaultRowHeight="16" x14ac:dyDescent="0.2"/>
  <cols>
    <col min="1" max="1" width="10.83203125" style="71"/>
    <col min="2" max="2" width="10.83203125" style="71" customWidth="1"/>
    <col min="3" max="3" width="16" style="71" customWidth="1"/>
    <col min="4" max="6" width="10.83203125" style="71"/>
    <col min="7" max="7" width="15.83203125" style="71" customWidth="1"/>
    <col min="8" max="16384" width="10.83203125" style="71"/>
  </cols>
  <sheetData>
    <row r="3" spans="1:10" x14ac:dyDescent="0.2">
      <c r="B3" s="78"/>
      <c r="C3" s="78"/>
      <c r="D3" s="78"/>
      <c r="E3" s="78"/>
    </row>
    <row r="4" spans="1:10" ht="21" x14ac:dyDescent="0.25">
      <c r="B4" s="77" t="s">
        <v>186</v>
      </c>
      <c r="C4" s="77"/>
      <c r="D4" s="77"/>
      <c r="E4" s="77"/>
      <c r="F4" s="77"/>
      <c r="G4" s="77"/>
      <c r="H4" s="77"/>
      <c r="I4" s="77"/>
      <c r="J4" s="77"/>
    </row>
    <row r="6" spans="1:10" x14ac:dyDescent="0.2">
      <c r="B6" s="80" t="s">
        <v>166</v>
      </c>
      <c r="C6" s="80"/>
      <c r="D6" s="80"/>
      <c r="F6" s="80" t="s">
        <v>166</v>
      </c>
      <c r="G6" s="80"/>
      <c r="H6" s="80"/>
      <c r="I6" s="79" t="s">
        <v>185</v>
      </c>
      <c r="J6" s="79"/>
    </row>
    <row r="7" spans="1:10" x14ac:dyDescent="0.2">
      <c r="I7" s="79"/>
      <c r="J7" s="79">
        <v>1</v>
      </c>
    </row>
    <row r="9" spans="1:10" x14ac:dyDescent="0.2">
      <c r="B9" s="79"/>
      <c r="C9" s="79"/>
      <c r="D9" s="79"/>
    </row>
    <row r="10" spans="1:10" x14ac:dyDescent="0.2">
      <c r="B10" s="71">
        <v>2</v>
      </c>
      <c r="F10" s="71">
        <v>24</v>
      </c>
      <c r="J10" s="71">
        <v>19</v>
      </c>
    </row>
    <row r="12" spans="1:10" x14ac:dyDescent="0.2">
      <c r="B12" s="73" t="s">
        <v>185</v>
      </c>
      <c r="C12" s="74">
        <f>INDEX(Data!BE2:BE20,J10)</f>
        <v>2018</v>
      </c>
    </row>
    <row r="14" spans="1:10" x14ac:dyDescent="0.2">
      <c r="A14" s="72">
        <f>IFERROR(INDEX(Data!L1:L571,MATCH(1,INDEX((C12=Data!B1:B571)*(B14=Data!C1:C571),0,1),0)),0)</f>
        <v>693</v>
      </c>
      <c r="B14" s="79" t="str">
        <f>INDEX(Data!BD2:BD34,B10)</f>
        <v>Arizona Diamondbacks</v>
      </c>
      <c r="C14" s="79"/>
      <c r="D14" s="79"/>
      <c r="E14" s="75" t="s">
        <v>184</v>
      </c>
      <c r="F14" s="79" t="str">
        <f>INDEX(Data!BD2:BD34,F10)</f>
        <v>Philadelphia Phillies</v>
      </c>
      <c r="G14" s="79"/>
      <c r="H14" s="79"/>
      <c r="I14" s="71">
        <f>IFERROR(INDEX(Data!L1:L571,MATCH(1,INDEX((C12=Data!B1:B571)*(F14=Data!C1:C571),0,1),0)),"")</f>
        <v>677</v>
      </c>
    </row>
    <row r="15" spans="1:10" x14ac:dyDescent="0.2">
      <c r="A15" s="71">
        <f>IFERROR(INDEX(Data!Z1:Z571,MATCH(1,INDEX((C12=Data!B1:B571)*(B14=Data!C1:C571),0,1),0)),0)</f>
        <v>644</v>
      </c>
      <c r="I15" s="71">
        <f>IFERROR(INDEX(Data!Z1:Z571,MATCH(1,INDEX((C12=Data!B1:B571)*(F14=Data!C1:C571),0,1),0)),"")</f>
        <v>728</v>
      </c>
    </row>
    <row r="16" spans="1:10" x14ac:dyDescent="0.2">
      <c r="B16" s="76">
        <f>IFERROR(CalculateWin(A14,A15),0)</f>
        <v>0.53660005474952099</v>
      </c>
      <c r="C16" s="76"/>
      <c r="D16" s="76"/>
      <c r="F16" s="76">
        <f>CalculateWin(I14,I15)</f>
        <v>0.46374883260667421</v>
      </c>
      <c r="G16" s="76"/>
      <c r="H16" s="76"/>
    </row>
  </sheetData>
  <mergeCells count="10">
    <mergeCell ref="I7:J7"/>
    <mergeCell ref="B4:J4"/>
    <mergeCell ref="B6:D6"/>
    <mergeCell ref="F6:H6"/>
    <mergeCell ref="I6:J6"/>
    <mergeCell ref="F16:H16"/>
    <mergeCell ref="B16:D16"/>
    <mergeCell ref="B9:D9"/>
    <mergeCell ref="B14:D14"/>
    <mergeCell ref="F14:H14"/>
  </mergeCells>
  <conditionalFormatting sqref="B16 F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3" name="Drop Down 4">
              <controlPr defaultSize="0" autoLine="0" autoPict="0">
                <anchor>
                  <from>
                    <xdr:col>1</xdr:col>
                    <xdr:colOff>12700</xdr:colOff>
                    <xdr:row>6</xdr:row>
                    <xdr:rowOff>152400</xdr:rowOff>
                  </from>
                  <to>
                    <xdr:col>3</xdr:col>
                    <xdr:colOff>800100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4" name="Drop Down 5">
              <controlPr defaultSize="0" autoLine="0" autoPict="0">
                <anchor moveWithCells="1">
                  <from>
                    <xdr:col>5</xdr:col>
                    <xdr:colOff>12700</xdr:colOff>
                    <xdr:row>6</xdr:row>
                    <xdr:rowOff>152400</xdr:rowOff>
                  </from>
                  <to>
                    <xdr:col>7</xdr:col>
                    <xdr:colOff>812800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Drop Down 7">
              <controlPr defaultSize="0" autoLine="0" autoPict="0">
                <anchor>
                  <from>
                    <xdr:col>8</xdr:col>
                    <xdr:colOff>508000</xdr:colOff>
                    <xdr:row>6</xdr:row>
                    <xdr:rowOff>152400</xdr:rowOff>
                  </from>
                  <to>
                    <xdr:col>9</xdr:col>
                    <xdr:colOff>723900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BAF34D1508C87479C054FD510CD9FF5" ma:contentTypeVersion="12" ma:contentTypeDescription="Create a new document." ma:contentTypeScope="" ma:versionID="2b45c815d3e248a16a2bd89b19ea1387">
  <xsd:schema xmlns:xsd="http://www.w3.org/2001/XMLSchema" xmlns:xs="http://www.w3.org/2001/XMLSchema" xmlns:p="http://schemas.microsoft.com/office/2006/metadata/properties" xmlns:ns1="http://schemas.microsoft.com/sharepoint/v3" xmlns:ns3="33e67b9b-db47-448e-8c3f-53a235879bb1" xmlns:ns4="af3d63d2-a452-4c7a-99be-786bf95f8536" targetNamespace="http://schemas.microsoft.com/office/2006/metadata/properties" ma:root="true" ma:fieldsID="7994e5aae010c56f13be1f4444fc88ad" ns1:_="" ns3:_="" ns4:_="">
    <xsd:import namespace="http://schemas.microsoft.com/sharepoint/v3"/>
    <xsd:import namespace="33e67b9b-db47-448e-8c3f-53a235879bb1"/>
    <xsd:import namespace="af3d63d2-a452-4c7a-99be-786bf95f8536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1:_ip_UnifiedCompliancePolicyProperties" minOccurs="0"/>
                <xsd:element ref="ns1:_ip_UnifiedCompliancePolicyUIAction" minOccurs="0"/>
                <xsd:element ref="ns4:MediaServiceAutoTags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e67b9b-db47-448e-8c3f-53a235879bb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3d63d2-a452-4c7a-99be-786bf95f85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internalName="MediaServiceAutoTags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EAD731A-27FE-49B3-A005-F15BF4EACB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33e67b9b-db47-448e-8c3f-53a235879bb1"/>
    <ds:schemaRef ds:uri="af3d63d2-a452-4c7a-99be-786bf95f85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94CD042-4A2E-4025-944F-A49B181DC9E8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3e67b9b-db47-448e-8c3f-53a235879bb1"/>
    <ds:schemaRef ds:uri="http://schemas.microsoft.com/sharepoint/v3"/>
    <ds:schemaRef ds:uri="af3d63d2-a452-4c7a-99be-786bf95f8536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5F1196E-9662-4C2C-B78F-797FB4335C4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Data</vt:lpstr>
      <vt:lpstr>Batting Data</vt:lpstr>
      <vt:lpstr>Pitching Data</vt:lpstr>
      <vt:lpstr>MLB Avg</vt:lpstr>
      <vt:lpstr>Team &amp; Year</vt:lpstr>
      <vt:lpstr>Pivot Hits</vt:lpstr>
      <vt:lpstr>Data Table</vt:lpstr>
      <vt:lpstr>Prediction</vt:lpstr>
      <vt:lpstr>_RA1</vt:lpstr>
      <vt:lpstr>_RA2</vt:lpstr>
      <vt:lpstr>_RS1</vt:lpstr>
      <vt:lpstr>_RS2</vt:lpstr>
      <vt:lpstr>RA</vt:lpstr>
      <vt:lpstr>RS</vt:lpstr>
      <vt:lpstr>Data!TeamFinalProject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Zakaria Alsahfi</cp:lastModifiedBy>
  <dcterms:created xsi:type="dcterms:W3CDTF">2019-11-23T21:45:50Z</dcterms:created>
  <dcterms:modified xsi:type="dcterms:W3CDTF">2019-12-02T04:14:24Z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0x010100CBAF34D1508C87479C054FD510CD9FF5</vt:lpwstr>
  </property>
</Properties>
</file>